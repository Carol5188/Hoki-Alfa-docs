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5417e72a4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现网明细" sheetId="1" r:id="R91143fe2b8684e93"/>
    <x:sheet xmlns:r="http://schemas.openxmlformats.org/officeDocument/2006/relationships" name="参数与口径" sheetId="2" r:id="R315c090401bc4f65"/>
    <x:sheet xmlns:r="http://schemas.openxmlformats.org/officeDocument/2006/relationships" name="等级配置" sheetId="3" r:id="Rc1f94c71fa06466c"/>
    <x:sheet xmlns:r="http://schemas.openxmlformats.org/officeDocument/2006/relationships" name="当前CP样本" sheetId="4" r:id="R2aa2521fe0534c19"/>
    <x:sheet xmlns:r="http://schemas.openxmlformats.org/officeDocument/2006/relationships" name="分布分析" sheetId="5" r:id="R2d06fd092c4a402b"/>
    <x:sheet xmlns:r="http://schemas.openxmlformats.org/officeDocument/2006/relationships" name="评审摘要" sheetId="6" r:id="R3e7cb014110d45c0"/>
    <x:sheet xmlns:r="http://schemas.openxmlformats.org/officeDocument/2006/relationships" name="平台曲线参考" sheetId="7" r:id="R0b43f67f7a394f6c"/>
    <x:sheet xmlns:r="http://schemas.openxmlformats.org/officeDocument/2006/relationships" name="20级阶段与礼物风险" sheetId="8" r:id="R03d830d27eeb4698"/>
    <x:sheet xmlns:r="http://schemas.openxmlformats.org/officeDocument/2006/relationships" name="CP礼物配置" sheetId="9" r:id="Ra7454a573fc1437f"/>
    <x:sheet xmlns:r="http://schemas.openxmlformats.org/officeDocument/2006/relationships" name="互动与任务口径" sheetId="10" r:id="R425c26a1d24f438c"/>
  </x:sheets>
</x:workbook>
</file>

<file path=xl/comments1.xml><?xml version="1.0" encoding="utf-8"?>
<x:comments xmlns:x="http://schemas.openxmlformats.org/spreadsheetml/2006/main">
  <x:authors>
    <x:author>tc={DA95FF9C-3F57-4B75-8157-8B06284F2F9E}</x:author>
    <x:author>tc={B2105DD0-E2E7-4F8C-B4C7-51ED3C2D886B}</x:author>
    <x:author>tc={A1842E9F-1A21-4F4E-8BF3-D2800EF6E726}</x:author>
    <x:author>tc={C3305DD1-27EC-42C2-97DC-6075B17554B0}</x:author>
  </x:authors>
  <x:commentList>
    <x:comment ref="E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现状约束：3500只作为建立CP与Lv1的门槛，不作为每一级的固定倍数。亲密值原值、增长来源和衰减逻辑均不改变。</x:t>
        </x:r>
      </x:text>
    </x:comment>
    <x:comment ref="E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推荐2100万：平台活跃等级Lv90累计进度约75.6%，映射后Lv90门槛约1588万，高于现网最高1570.6万，因此最高样本为Lv89。</x:t>
        </x:r>
      </x:text>
    </x:comment>
    <x:comment ref="E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缩放系数只用于生成等级门槛，不折算用户亲密值，也不改变现网增长或衰减逻辑。</x:t>
        </x:r>
      </x:text>
    </x:comment>
    <x:comment ref="E1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Lv100=500万基于现存CP分布：仅1对达到满级，第二高值355万仍保留成长空间。需用30/90天增量流水复核长期到达时间。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<x:sst xmlns:x="http://schemas.openxmlformats.org/spreadsheetml/2006/main">
  <x:si>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婚姻记录ID</x:t>
  </x:si>
  <x:si>
    <x:t xml:space="preserve">用户ID1</x:t>
  </x:si>
  <x:si>
    <x:t xml:space="preserve">用户ID2</x:t>
  </x:si>
  <x:si>
    <x:t xml:space="preserve">婚姻状态</x:t>
  </x:si>
  <x:si>
    <x:t xml:space="preserve">结婚日期</x:t>
  </x:si>
  <x:si>
    <x:t xml:space="preserve">离婚日期</x:t>
  </x:si>
  <x:si>
    <x:t xml:space="preserve">亲密度</x:t>
  </x:si>
  <x:si>
    <x:t xml:space="preserve">计算等级</x:t>
  </x:si>
  <x:si>
    <x:t xml:space="preserve">成长阶段</x:t>
  </x:si>
  <x:si>
    <x:t xml:space="preserve">兼容标记</x:t>
  </x:si>
  <x:si>
    <x:t xml:space="preserve">数据质量提示</x:t>
  </x:si>
  <x:si>
    <x:t xml:space="preserve">199</x:t>
  </x:si>
  <x:si>
    <x:t xml:space="preserve">36901111</x:t>
  </x:si>
  <x:si>
    <x:t xml:space="preserve">69854243</x:t>
  </x:si>
  <x:si>
    <x:t xml:space="preserve">当前已婚</x:t>
  </x:si>
  <x:si>
    <x:t xml:space="preserve">2025-06-18 11:20:55</x:t>
  </x:si>
  <x:si>
    <x:t xml:space="preserve">383</x:t>
  </x:si>
  <x:si>
    <x:t xml:space="preserve">18865134</x:t>
  </x:si>
  <x:si>
    <x:t xml:space="preserve">55839108</x:t>
  </x:si>
  <x:si>
    <x:t xml:space="preserve">2025-11-15 19:16:47</x:t>
  </x:si>
  <x:si>
    <x:t xml:space="preserve">170</x:t>
  </x:si>
  <x:si>
    <x:t xml:space="preserve">66292442</x:t>
  </x:si>
  <x:si>
    <x:t xml:space="preserve">90364587</x:t>
  </x:si>
  <x:si>
    <x:t xml:space="preserve">2025-05-26 20:26:20</x:t>
  </x:si>
  <x:si>
    <x:t xml:space="preserve">261</x:t>
  </x:si>
  <x:si>
    <x:t xml:space="preserve">51820359</x:t>
  </x:si>
  <x:si>
    <x:t xml:space="preserve">72161184</x:t>
  </x:si>
  <x:si>
    <x:t xml:space="preserve">2025-08-25 10:01:12</x:t>
  </x:si>
  <x:si>
    <x:t xml:space="preserve">633</x:t>
  </x:si>
  <x:si>
    <x:t xml:space="preserve">57106829</x:t>
  </x:si>
  <x:si>
    <x:t xml:space="preserve">77916385</x:t>
  </x:si>
  <x:si>
    <x:t xml:space="preserve">2026-05-08 15:02:20</x:t>
  </x:si>
  <x:si>
    <x:t xml:space="preserve">720</x:t>
  </x:si>
  <x:si>
    <x:t xml:space="preserve">57561840</x:t>
  </x:si>
  <x:si>
    <x:t xml:space="preserve">78719809</x:t>
  </x:si>
  <x:si>
    <x:t xml:space="preserve">2026-07-15 12:46:13</x:t>
  </x:si>
  <x:si>
    <x:t xml:space="preserve">711</x:t>
  </x:si>
  <x:si>
    <x:t xml:space="preserve">29818244</x:t>
  </x:si>
  <x:si>
    <x:t xml:space="preserve">75085472</x:t>
  </x:si>
  <x:si>
    <x:t xml:space="preserve">2026-07-06 19:43:39</x:t>
  </x:si>
  <x:si>
    <x:t xml:space="preserve">684</x:t>
  </x:si>
  <x:si>
    <x:t xml:space="preserve">16120163</x:t>
  </x:si>
  <x:si>
    <x:t xml:space="preserve">88044085</x:t>
  </x:si>
  <x:si>
    <x:t xml:space="preserve">2026-06-25 07:26:02</x:t>
  </x:si>
  <x:si>
    <x:t xml:space="preserve">2026-06-16 10:46:03</x:t>
  </x:si>
  <x:si>
    <x:t xml:space="preserve">634</x:t>
  </x:si>
  <x:si>
    <x:t xml:space="preserve">19965440</x:t>
  </x:si>
  <x:si>
    <x:t xml:space="preserve">61056246</x:t>
  </x:si>
  <x:si>
    <x:t xml:space="preserve">2026-05-09 15:15:46</x:t>
  </x:si>
  <x:si>
    <x:t xml:space="preserve">769</x:t>
  </x:si>
  <x:si>
    <x:t xml:space="preserve">82613997</x:t>
  </x:si>
  <x:si>
    <x:t xml:space="preserve">96496846</x:t>
  </x:si>
  <x:si>
    <x:t xml:space="preserve">2026-08-12 22:26:59</x:t>
  </x:si>
  <x:si>
    <x:t xml:space="preserve">748</x:t>
  </x:si>
  <x:si>
    <x:t xml:space="preserve">17739725</x:t>
  </x:si>
  <x:si>
    <x:t xml:space="preserve">91547613</x:t>
  </x:si>
  <x:si>
    <x:t xml:space="preserve">2026-08-02 14:08:41</x:t>
  </x:si>
  <x:si>
    <x:t xml:space="preserve">797</x:t>
  </x:si>
  <x:si>
    <x:t xml:space="preserve">49981716</x:t>
  </x:si>
  <x:si>
    <x:t xml:space="preserve">85754918</x:t>
  </x:si>
  <x:si>
    <x:t xml:space="preserve">2026-08-22 02:24:48</x:t>
  </x:si>
  <x:si>
    <x:t xml:space="preserve">9</x:t>
  </x:si>
  <x:si>
    <x:t xml:space="preserve">25324403</x:t>
  </x:si>
  <x:si>
    <x:t xml:space="preserve">58623713</x:t>
  </x:si>
  <x:si>
    <x:t xml:space="preserve">2025-05-31 17:05:32</x:t>
  </x:si>
  <x:si>
    <x:t xml:space="preserve">2025-05-28 21:32:01</x:t>
  </x:si>
  <x:si>
    <x:t xml:space="preserve">677</x:t>
  </x:si>
  <x:si>
    <x:t xml:space="preserve">54419607</x:t>
  </x:si>
  <x:si>
    <x:t xml:space="preserve">97585938</x:t>
  </x:si>
  <x:si>
    <x:t xml:space="preserve">2026-06-09 06:58:27</x:t>
  </x:si>
  <x:si>
    <x:t xml:space="preserve">216</x:t>
  </x:si>
  <x:si>
    <x:t xml:space="preserve">34107278</x:t>
  </x:si>
  <x:si>
    <x:t xml:space="preserve">98456059</x:t>
  </x:si>
  <x:si>
    <x:t xml:space="preserve">2026-03-14 22:04:25</x:t>
  </x:si>
  <x:si>
    <x:t xml:space="preserve">2025-12-12 12:57:19</x:t>
  </x:si>
  <x:si>
    <x:t xml:space="preserve">314</x:t>
  </x:si>
  <x:si>
    <x:t xml:space="preserve">44729492</x:t>
  </x:si>
  <x:si>
    <x:t xml:space="preserve">58263929</x:t>
  </x:si>
  <x:si>
    <x:t xml:space="preserve">2025-10-07 15:21:04</x:t>
  </x:si>
  <x:si>
    <x:t xml:space="preserve">756</x:t>
  </x:si>
  <x:si>
    <x:t xml:space="preserve">20686938</x:t>
  </x:si>
  <x:si>
    <x:t xml:space="preserve">94367387</x:t>
  </x:si>
  <x:si>
    <x:t xml:space="preserve">2026-08-04 23:11:50</x:t>
  </x:si>
  <x:si>
    <x:t xml:space="preserve">754</x:t>
  </x:si>
  <x:si>
    <x:t xml:space="preserve">34169356</x:t>
  </x:si>
  <x:si>
    <x:t xml:space="preserve">75882239</x:t>
  </x:si>
  <x:si>
    <x:t xml:space="preserve">2026-08-04 22:06:07</x:t>
  </x:si>
  <x:si>
    <x:t xml:space="preserve">608</x:t>
  </x:si>
  <x:si>
    <x:t xml:space="preserve">13787174</x:t>
  </x:si>
  <x:si>
    <x:t xml:space="preserve">74520060</x:t>
  </x:si>
  <x:si>
    <x:t xml:space="preserve">2026-04-18 21:36:34</x:t>
  </x:si>
  <x:si>
    <x:t xml:space="preserve">480</x:t>
  </x:si>
  <x:si>
    <x:t xml:space="preserve">70238818</x:t>
  </x:si>
  <x:si>
    <x:t xml:space="preserve">70311833</x:t>
  </x:si>
  <x:si>
    <x:t xml:space="preserve">2026-01-11 22:42:15</x:t>
  </x:si>
  <x:si>
    <x:t xml:space="preserve">346</x:t>
  </x:si>
  <x:si>
    <x:t xml:space="preserve">23467715</x:t>
  </x:si>
  <x:si>
    <x:t xml:space="preserve">45696166</x:t>
  </x:si>
  <x:si>
    <x:t xml:space="preserve">2025-10-30 15:36:06</x:t>
  </x:si>
  <x:si>
    <x:t xml:space="preserve">482</x:t>
  </x:si>
  <x:si>
    <x:t xml:space="preserve">45473840</x:t>
  </x:si>
  <x:si>
    <x:t xml:space="preserve">98604166</x:t>
  </x:si>
  <x:si>
    <x:t xml:space="preserve">2026-01-13 23:09:52</x:t>
  </x:si>
  <x:si>
    <x:t xml:space="preserve">92</x:t>
  </x:si>
  <x:si>
    <x:t xml:space="preserve">34597644</x:t>
  </x:si>
  <x:si>
    <x:t xml:space="preserve">64978095</x:t>
  </x:si>
  <x:si>
    <x:t xml:space="preserve">2025-03-24 17:45:05</x:t>
  </x:si>
  <x:si>
    <x:t xml:space="preserve">28</x:t>
  </x:si>
  <x:si>
    <x:t xml:space="preserve">44916072</x:t>
  </x:si>
  <x:si>
    <x:t xml:space="preserve">93961790</x:t>
  </x:si>
  <x:si>
    <x:t xml:space="preserve">2025-02-04 20:58:20</x:t>
  </x:si>
  <x:si>
    <x:t xml:space="preserve">542</x:t>
  </x:si>
  <x:si>
    <x:t xml:space="preserve">50322714</x:t>
  </x:si>
  <x:si>
    <x:t xml:space="preserve">87326808</x:t>
  </x:si>
  <x:si>
    <x:t xml:space="preserve">2026-02-21 18:19:31</x:t>
  </x:si>
  <x:si>
    <x:t xml:space="preserve">68</x:t>
  </x:si>
  <x:si>
    <x:t xml:space="preserve">45934613</x:t>
  </x:si>
  <x:si>
    <x:t xml:space="preserve">59724393</x:t>
  </x:si>
  <x:si>
    <x:t xml:space="preserve">2025-03-06 02:27:01</x:t>
  </x:si>
  <x:si>
    <x:t xml:space="preserve">601</x:t>
  </x:si>
  <x:si>
    <x:t xml:space="preserve">39219626</x:t>
  </x:si>
  <x:si>
    <x:t xml:space="preserve">54487011</x:t>
  </x:si>
  <x:si>
    <x:t xml:space="preserve">2026-04-12 12:04:27</x:t>
  </x:si>
  <x:si>
    <x:t xml:space="preserve">384</x:t>
  </x:si>
  <x:si>
    <x:t xml:space="preserve">18443286</x:t>
  </x:si>
  <x:si>
    <x:t xml:space="preserve">20920954</x:t>
  </x:si>
  <x:si>
    <x:t xml:space="preserve">2025-11-16 00:05:44</x:t>
  </x:si>
  <x:si>
    <x:t xml:space="preserve">806</x:t>
  </x:si>
  <x:si>
    <x:t xml:space="preserve">50438627</x:t>
  </x:si>
  <x:si>
    <x:t xml:space="preserve">95578149</x:t>
  </x:si>
  <x:si>
    <x:t xml:space="preserve">2026-08-29 11:36:06</x:t>
  </x:si>
  <x:si>
    <x:t xml:space="preserve">614</x:t>
  </x:si>
  <x:si>
    <x:t xml:space="preserve">18326195</x:t>
  </x:si>
  <x:si>
    <x:t xml:space="preserve">19367778</x:t>
  </x:si>
  <x:si>
    <x:t xml:space="preserve">2026-04-22 15:21:18</x:t>
  </x:si>
  <x:si>
    <x:t xml:space="preserve">723</x:t>
  </x:si>
  <x:si>
    <x:t xml:space="preserve">22873598</x:t>
  </x:si>
  <x:si>
    <x:t xml:space="preserve">83785797</x:t>
  </x:si>
  <x:si>
    <x:t xml:space="preserve">2026-07-22 08:15:29</x:t>
  </x:si>
  <x:si>
    <x:t xml:space="preserve">2026-07-21 19:20:17</x:t>
  </x:si>
  <x:si>
    <x:t xml:space="preserve">24</x:t>
  </x:si>
  <x:si>
    <x:t xml:space="preserve">11835713</x:t>
  </x:si>
  <x:si>
    <x:t xml:space="preserve">18279738</x:t>
  </x:si>
  <x:si>
    <x:t xml:space="preserve">2025-02-01 09:51:53</x:t>
  </x:si>
  <x:si>
    <x:t xml:space="preserve">60</x:t>
  </x:si>
  <x:si>
    <x:t xml:space="preserve">14900991</x:t>
  </x:si>
  <x:si>
    <x:t xml:space="preserve">82021126</x:t>
  </x:si>
  <x:si>
    <x:t xml:space="preserve">2025-03-06 01:12:56</x:t>
  </x:si>
  <x:si>
    <x:t xml:space="preserve">569</x:t>
  </x:si>
  <x:si>
    <x:t xml:space="preserve">31010708</x:t>
  </x:si>
  <x:si>
    <x:t xml:space="preserve">74648988</x:t>
  </x:si>
  <x:si>
    <x:t xml:space="preserve">2026-03-16 20:40:17</x:t>
  </x:si>
  <x:si>
    <x:t xml:space="preserve">267</x:t>
  </x:si>
  <x:si>
    <x:t xml:space="preserve">53723265</x:t>
  </x:si>
  <x:si>
    <x:t xml:space="preserve">88250309</x:t>
  </x:si>
  <x:si>
    <x:t xml:space="preserve">2026-07-22 19:24:09</x:t>
  </x:si>
  <x:si>
    <x:t xml:space="preserve">2026-06-16 16:18:35</x:t>
  </x:si>
  <x:si>
    <x:t xml:space="preserve">456</x:t>
  </x:si>
  <x:si>
    <x:t xml:space="preserve">56928484</x:t>
  </x:si>
  <x:si>
    <x:t xml:space="preserve">72613663</x:t>
  </x:si>
  <x:si>
    <x:t xml:space="preserve">2026-01-01 12:03:47</x:t>
  </x:si>
  <x:si>
    <x:t xml:space="preserve">780</x:t>
  </x:si>
  <x:si>
    <x:t xml:space="preserve">36660072</x:t>
  </x:si>
  <x:si>
    <x:t xml:space="preserve">75893397</x:t>
  </x:si>
  <x:si>
    <x:t xml:space="preserve">2026-08-18 15:05:56</x:t>
  </x:si>
  <x:si>
    <x:t xml:space="preserve">279</x:t>
  </x:si>
  <x:si>
    <x:t xml:space="preserve">35875778</x:t>
  </x:si>
  <x:si>
    <x:t xml:space="preserve">86887057</x:t>
  </x:si>
  <x:si>
    <x:t xml:space="preserve">2025-09-08 18:00:50</x:t>
  </x:si>
  <x:si>
    <x:t xml:space="preserve">50</x:t>
  </x:si>
  <x:si>
    <x:t xml:space="preserve">50932832</x:t>
  </x:si>
  <x:si>
    <x:t xml:space="preserve">55755719</x:t>
  </x:si>
  <x:si>
    <x:t xml:space="preserve">2025-03-03 14:41:17</x:t>
  </x:si>
  <x:si>
    <x:t xml:space="preserve">620</x:t>
  </x:si>
  <x:si>
    <x:t xml:space="preserve">27645560</x:t>
  </x:si>
  <x:si>
    <x:t xml:space="preserve">55187887</x:t>
  </x:si>
  <x:si>
    <x:t xml:space="preserve">2026-04-29 17:55:58</x:t>
  </x:si>
  <x:si>
    <x:t xml:space="preserve">805</x:t>
  </x:si>
  <x:si>
    <x:t xml:space="preserve">49626891</x:t>
  </x:si>
  <x:si>
    <x:t xml:space="preserve">81834247</x:t>
  </x:si>
  <x:si>
    <x:t xml:space="preserve">2026-08-26 17:39:48</x:t>
  </x:si>
  <x:si>
    <x:t xml:space="preserve">679</x:t>
  </x:si>
  <x:si>
    <x:t xml:space="preserve">40109616</x:t>
  </x:si>
  <x:si>
    <x:t xml:space="preserve">79223484</x:t>
  </x:si>
  <x:si>
    <x:t xml:space="preserve">2026-07-26 07:32:09</x:t>
  </x:si>
  <x:si>
    <x:t xml:space="preserve">2026-07-15 20:26:25</x:t>
  </x:si>
  <x:si>
    <x:t xml:space="preserve">462</x:t>
  </x:si>
  <x:si>
    <x:t xml:space="preserve">58184086</x:t>
  </x:si>
  <x:si>
    <x:t xml:space="preserve">74579110</x:t>
  </x:si>
  <x:si>
    <x:t xml:space="preserve">2026-01-02 22:46:48</x:t>
  </x:si>
  <x:si>
    <x:t xml:space="preserve">630</x:t>
  </x:si>
  <x:si>
    <x:t xml:space="preserve">36997448</x:t>
  </x:si>
  <x:si>
    <x:t xml:space="preserve">49547655</x:t>
  </x:si>
  <x:si>
    <x:t xml:space="preserve">2026-05-04 22:57:31</x:t>
  </x:si>
  <x:si>
    <x:t xml:space="preserve">772</x:t>
  </x:si>
  <x:si>
    <x:t xml:space="preserve">60555553</x:t>
  </x:si>
  <x:si>
    <x:t xml:space="preserve">61201423</x:t>
  </x:si>
  <x:si>
    <x:t xml:space="preserve">2026-08-14 23:23:09</x:t>
  </x:si>
  <x:si>
    <x:t xml:space="preserve">764</x:t>
  </x:si>
  <x:si>
    <x:t xml:space="preserve">15569644</x:t>
  </x:si>
  <x:si>
    <x:t xml:space="preserve">59917554</x:t>
  </x:si>
  <x:si>
    <x:t xml:space="preserve">2026-08-10 23:00:12</x:t>
  </x:si>
  <x:si>
    <x:t xml:space="preserve">750</x:t>
  </x:si>
  <x:si>
    <x:t xml:space="preserve">25720319</x:t>
  </x:si>
  <x:si>
    <x:t xml:space="preserve">42805762</x:t>
  </x:si>
  <x:si>
    <x:t xml:space="preserve">2026-08-02 22:33:31</x:t>
  </x:si>
  <x:si>
    <x:t xml:space="preserve">494</x:t>
  </x:si>
  <x:si>
    <x:t xml:space="preserve">43271989</x:t>
  </x:si>
  <x:si>
    <x:t xml:space="preserve">49145654</x:t>
  </x:si>
  <x:si>
    <x:t xml:space="preserve">2026-01-19 19:17:42</x:t>
  </x:si>
  <x:si>
    <x:t xml:space="preserve">656</x:t>
  </x:si>
  <x:si>
    <x:t xml:space="preserve">17684097</x:t>
  </x:si>
  <x:si>
    <x:t xml:space="preserve">67200312</x:t>
  </x:si>
  <x:si>
    <x:t xml:space="preserve">2026-05-27 22:14:09</x:t>
  </x:si>
  <x:si>
    <x:t xml:space="preserve">174</x:t>
  </x:si>
  <x:si>
    <x:t xml:space="preserve">52484032</x:t>
  </x:si>
  <x:si>
    <x:t xml:space="preserve">62540938</x:t>
  </x:si>
  <x:si>
    <x:t xml:space="preserve">2025-06-01 09:10:32</x:t>
  </x:si>
  <x:si>
    <x:t xml:space="preserve">762</x:t>
  </x:si>
  <x:si>
    <x:t xml:space="preserve">53351237</x:t>
  </x:si>
  <x:si>
    <x:t xml:space="preserve">53702979</x:t>
  </x:si>
  <x:si>
    <x:t xml:space="preserve">2026-08-09 23:15:00</x:t>
  </x:si>
  <x:si>
    <x:t xml:space="preserve">628</x:t>
  </x:si>
  <x:si>
    <x:t xml:space="preserve">17156657</x:t>
  </x:si>
  <x:si>
    <x:t xml:space="preserve">84635357</x:t>
  </x:si>
  <x:si>
    <x:t xml:space="preserve">2026-05-02 22:54:06</x:t>
  </x:si>
  <x:si>
    <x:t xml:space="preserve">134</x:t>
  </x:si>
  <x:si>
    <x:t xml:space="preserve">25391719</x:t>
  </x:si>
  <x:si>
    <x:t xml:space="preserve">66040684</x:t>
  </x:si>
  <x:si>
    <x:t xml:space="preserve">2025-11-01 09:09:50</x:t>
  </x:si>
  <x:si>
    <x:t xml:space="preserve">2025-05-16 10:44:32</x:t>
  </x:si>
  <x:si>
    <x:t xml:space="preserve">402</x:t>
  </x:si>
  <x:si>
    <x:t xml:space="preserve">35372676</x:t>
  </x:si>
  <x:si>
    <x:t xml:space="preserve">75333830</x:t>
  </x:si>
  <x:si>
    <x:t xml:space="preserve">2025-11-27 18:27:35</x:t>
  </x:si>
  <x:si>
    <x:t xml:space="preserve">290</x:t>
  </x:si>
  <x:si>
    <x:t xml:space="preserve">13277951</x:t>
  </x:si>
  <x:si>
    <x:t xml:space="preserve">81926028</x:t>
  </x:si>
  <x:si>
    <x:t xml:space="preserve">2025-09-16 18:21:14</x:t>
  </x:si>
  <x:si>
    <x:t xml:space="preserve">77</x:t>
  </x:si>
  <x:si>
    <x:t xml:space="preserve">49020726</x:t>
  </x:si>
  <x:si>
    <x:t xml:space="preserve">97821229</x:t>
  </x:si>
  <x:si>
    <x:t xml:space="preserve">2025-03-11 22:03:22</x:t>
  </x:si>
  <x:si>
    <x:t xml:space="preserve">295</x:t>
  </x:si>
  <x:si>
    <x:t xml:space="preserve">75731223</x:t>
  </x:si>
  <x:si>
    <x:t xml:space="preserve">99414537</x:t>
  </x:si>
  <x:si>
    <x:t xml:space="preserve">2025-09-18 20:21:19</x:t>
  </x:si>
  <x:si>
    <x:t xml:space="preserve">293</x:t>
  </x:si>
  <x:si>
    <x:t xml:space="preserve">34557063</x:t>
  </x:si>
  <x:si>
    <x:t xml:space="preserve">69279023</x:t>
  </x:si>
  <x:si>
    <x:t xml:space="preserve">2026-05-26 05:59:03</x:t>
  </x:si>
  <x:si>
    <x:t xml:space="preserve">2026-04-20 08:24:31</x:t>
  </x:si>
  <x:si>
    <x:t xml:space="preserve">514</x:t>
  </x:si>
  <x:si>
    <x:t xml:space="preserve">17036854</x:t>
  </x:si>
  <x:si>
    <x:t xml:space="preserve">38302796</x:t>
  </x:si>
  <x:si>
    <x:t xml:space="preserve">2026-02-05 10:51:28</x:t>
  </x:si>
  <x:si>
    <x:t xml:space="preserve">425</x:t>
  </x:si>
  <x:si>
    <x:t xml:space="preserve">15389903</x:t>
  </x:si>
  <x:si>
    <x:t xml:space="preserve">93993687</x:t>
  </x:si>
  <x:si>
    <x:t xml:space="preserve">2025-12-09 05:33:54</x:t>
  </x:si>
  <x:si>
    <x:t xml:space="preserve">433</x:t>
  </x:si>
  <x:si>
    <x:t xml:space="preserve">16208973</x:t>
  </x:si>
  <x:si>
    <x:t xml:space="preserve">86504328</x:t>
  </x:si>
  <x:si>
    <x:t xml:space="preserve">2026-08-01 12:26:21</x:t>
  </x:si>
  <x:si>
    <x:t xml:space="preserve">2026-07-27 22:38:01</x:t>
  </x:si>
  <x:si>
    <x:t xml:space="preserve">650</x:t>
  </x:si>
  <x:si>
    <x:t xml:space="preserve">12463837</x:t>
  </x:si>
  <x:si>
    <x:t xml:space="preserve">61979659</x:t>
  </x:si>
  <x:si>
    <x:t xml:space="preserve">2026-08-16 04:16:04</x:t>
  </x:si>
  <x:si>
    <x:t xml:space="preserve">2026-08-15 09:09:01</x:t>
  </x:si>
  <x:si>
    <x:t xml:space="preserve">330</x:t>
  </x:si>
  <x:si>
    <x:t xml:space="preserve">13377392</x:t>
  </x:si>
  <x:si>
    <x:t xml:space="preserve">29330610</x:t>
  </x:si>
  <x:si>
    <x:t xml:space="preserve">2025-10-19 08:55:55</x:t>
  </x:si>
  <x:si>
    <x:t xml:space="preserve">581</x:t>
  </x:si>
  <x:si>
    <x:t xml:space="preserve">29099534</x:t>
  </x:si>
  <x:si>
    <x:t xml:space="preserve">65308922</x:t>
  </x:si>
  <x:si>
    <x:t xml:space="preserve">2026-03-30 00:16:43</x:t>
  </x:si>
  <x:si>
    <x:t xml:space="preserve">438</x:t>
  </x:si>
  <x:si>
    <x:t xml:space="preserve">41215230</x:t>
  </x:si>
  <x:si>
    <x:t xml:space="preserve">62665692</x:t>
  </x:si>
  <x:si>
    <x:t xml:space="preserve">2025-12-16 14:37:03</x:t>
  </x:si>
  <x:si>
    <x:t xml:space="preserve">178</x:t>
  </x:si>
  <x:si>
    <x:t xml:space="preserve">37182601</x:t>
  </x:si>
  <x:si>
    <x:t xml:space="preserve">94133197</x:t>
  </x:si>
  <x:si>
    <x:t xml:space="preserve">2025-06-01 18:52:00</x:t>
  </x:si>
  <x:si>
    <x:t xml:space="preserve">308</x:t>
  </x:si>
  <x:si>
    <x:t xml:space="preserve">37031934</x:t>
  </x:si>
  <x:si>
    <x:t xml:space="preserve">59475478</x:t>
  </x:si>
  <x:si>
    <x:t xml:space="preserve">2026-02-27 02:16:14</x:t>
  </x:si>
  <x:si>
    <x:t xml:space="preserve">2026-02-14 04:20:28</x:t>
  </x:si>
  <x:si>
    <x:t xml:space="preserve">793</x:t>
  </x:si>
  <x:si>
    <x:t xml:space="preserve">81598251</x:t>
  </x:si>
  <x:si>
    <x:t xml:space="preserve">86919829</x:t>
  </x:si>
  <x:si>
    <x:t xml:space="preserve">2026-08-21 12:17:33</x:t>
  </x:si>
  <x:si>
    <x:t xml:space="preserve">47</x:t>
  </x:si>
  <x:si>
    <x:t xml:space="preserve">32960089</x:t>
  </x:si>
  <x:si>
    <x:t xml:space="preserve">79512442</x:t>
  </x:si>
  <x:si>
    <x:t xml:space="preserve">2025-03-01 23:09:22</x:t>
  </x:si>
  <x:si>
    <x:t xml:space="preserve">770</x:t>
  </x:si>
  <x:si>
    <x:t xml:space="preserve">80370882</x:t>
  </x:si>
  <x:si>
    <x:t xml:space="preserve">83039249</x:t>
  </x:si>
  <x:si>
    <x:t xml:space="preserve">2026-08-13 20:09:41</x:t>
  </x:si>
  <x:si>
    <x:t xml:space="preserve">667</x:t>
  </x:si>
  <x:si>
    <x:t xml:space="preserve">38213242</x:t>
  </x:si>
  <x:si>
    <x:t xml:space="preserve">38669952</x:t>
  </x:si>
  <x:si>
    <x:t xml:space="preserve">2026-06-05 21:57:52</x:t>
  </x:si>
  <x:si>
    <x:t xml:space="preserve">687</x:t>
  </x:si>
  <x:si>
    <x:t xml:space="preserve">21231062</x:t>
  </x:si>
  <x:si>
    <x:t xml:space="preserve">27362343</x:t>
  </x:si>
  <x:si>
    <x:t xml:space="preserve">2026-06-16 08:10:41</x:t>
  </x:si>
  <x:si>
    <x:t xml:space="preserve">811</x:t>
  </x:si>
  <x:si>
    <x:t xml:space="preserve">16798400</x:t>
  </x:si>
  <x:si>
    <x:t xml:space="preserve">64686576</x:t>
  </x:si>
  <x:si>
    <x:t xml:space="preserve">2026-08-28 19:56:26</x:t>
  </x:si>
  <x:si>
    <x:t xml:space="preserve">655</x:t>
  </x:si>
  <x:si>
    <x:t xml:space="preserve">89657030</x:t>
  </x:si>
  <x:si>
    <x:t xml:space="preserve">92624429</x:t>
  </x:si>
  <x:si>
    <x:t xml:space="preserve">2026-05-26 16:41:48</x:t>
  </x:si>
  <x:si>
    <x:t xml:space="preserve">544</x:t>
  </x:si>
  <x:si>
    <x:t xml:space="preserve">40454253</x:t>
  </x:si>
  <x:si>
    <x:t xml:space="preserve">51357613</x:t>
  </x:si>
  <x:si>
    <x:t xml:space="preserve">2026-08-12 18:37:51</x:t>
  </x:si>
  <x:si>
    <x:t xml:space="preserve">2026-05-22 12:51:57</x:t>
  </x:si>
  <x:si>
    <x:t xml:space="preserve">771</x:t>
  </x:si>
  <x:si>
    <x:t xml:space="preserve">36290677</x:t>
  </x:si>
  <x:si>
    <x:t xml:space="preserve">82017584</x:t>
  </x:si>
  <x:si>
    <x:t xml:space="preserve">2026-08-31 19:16:45</x:t>
  </x:si>
  <x:si>
    <x:t xml:space="preserve">2026-08-31 09:51:05</x:t>
  </x:si>
  <x:si>
    <x:t xml:space="preserve">701</x:t>
  </x:si>
  <x:si>
    <x:t xml:space="preserve">56553850</x:t>
  </x:si>
  <x:si>
    <x:t xml:space="preserve">95889876</x:t>
  </x:si>
  <x:si>
    <x:t xml:space="preserve">2026-06-29 19:04:29</x:t>
  </x:si>
  <x:si>
    <x:t xml:space="preserve">206</x:t>
  </x:si>
  <x:si>
    <x:t xml:space="preserve">11489525</x:t>
  </x:si>
  <x:si>
    <x:t xml:space="preserve">70050439</x:t>
  </x:si>
  <x:si>
    <x:t xml:space="preserve">2025-08-18 18:03:08</x:t>
  </x:si>
  <x:si>
    <x:t xml:space="preserve">2025-07-12 17:12:57</x:t>
  </x:si>
  <x:si>
    <x:t xml:space="preserve">686</x:t>
  </x:si>
  <x:si>
    <x:t xml:space="preserve">15511608</x:t>
  </x:si>
  <x:si>
    <x:t xml:space="preserve">90129299</x:t>
  </x:si>
  <x:si>
    <x:t xml:space="preserve">2026-07-28 02:04:05</x:t>
  </x:si>
  <x:si>
    <x:t xml:space="preserve">2026-07-27 02:14:20</x:t>
  </x:si>
  <x:si>
    <x:t xml:space="preserve">452</x:t>
  </x:si>
  <x:si>
    <x:t xml:space="preserve">18923728</x:t>
  </x:si>
  <x:si>
    <x:t xml:space="preserve">85335734</x:t>
  </x:si>
  <x:si>
    <x:t xml:space="preserve">2026-08-16 18:35:55</x:t>
  </x:si>
  <x:si>
    <x:t xml:space="preserve">2026-08-06 19:01:39</x:t>
  </x:si>
  <x:si>
    <x:t xml:space="preserve">54</x:t>
  </x:si>
  <x:si>
    <x:t xml:space="preserve">40959454</x:t>
  </x:si>
  <x:si>
    <x:t xml:space="preserve">65245326</x:t>
  </x:si>
  <x:si>
    <x:t xml:space="preserve">2025-03-06 00:51:40</x:t>
  </x:si>
  <x:si>
    <x:t xml:space="preserve">148</x:t>
  </x:si>
  <x:si>
    <x:t xml:space="preserve">33046732</x:t>
  </x:si>
  <x:si>
    <x:t xml:space="preserve">86432294</x:t>
  </x:si>
  <x:si>
    <x:t xml:space="preserve">2025-05-07 20:55:37</x:t>
  </x:si>
  <x:si>
    <x:t xml:space="preserve">759</x:t>
  </x:si>
  <x:si>
    <x:t xml:space="preserve">18366957</x:t>
  </x:si>
  <x:si>
    <x:t xml:space="preserve">85515107</x:t>
  </x:si>
  <x:si>
    <x:t xml:space="preserve">2026-08-06 10:58:35</x:t>
  </x:si>
  <x:si>
    <x:t xml:space="preserve">704</x:t>
  </x:si>
  <x:si>
    <x:t xml:space="preserve">52297489</x:t>
  </x:si>
  <x:si>
    <x:t xml:space="preserve">96231961</x:t>
  </x:si>
  <x:si>
    <x:t xml:space="preserve">2026-08-16 09:46:23</x:t>
  </x:si>
  <x:si>
    <x:t xml:space="preserve">2026-08-11 21:45:52</x:t>
  </x:si>
  <x:si>
    <x:t xml:space="preserve">763</x:t>
  </x:si>
  <x:si>
    <x:t xml:space="preserve">31329689</x:t>
  </x:si>
  <x:si>
    <x:t xml:space="preserve">87985471</x:t>
  </x:si>
  <x:si>
    <x:t xml:space="preserve">2026-08-10 14:25:19</x:t>
  </x:si>
  <x:si>
    <x:t xml:space="preserve">725</x:t>
  </x:si>
  <x:si>
    <x:t xml:space="preserve">59806695</x:t>
  </x:si>
  <x:si>
    <x:t xml:space="preserve">93836317</x:t>
  </x:si>
  <x:si>
    <x:t xml:space="preserve">2026-07-17 20:11:51</x:t>
  </x:si>
  <x:si>
    <x:t xml:space="preserve">94</x:t>
  </x:si>
  <x:si>
    <x:t xml:space="preserve">44011696</x:t>
  </x:si>
  <x:si>
    <x:t xml:space="preserve">82016020</x:t>
  </x:si>
  <x:si>
    <x:t xml:space="preserve">2025-03-24 22:46:30</x:t>
  </x:si>
  <x:si>
    <x:t xml:space="preserve">225</x:t>
  </x:si>
  <x:si>
    <x:t xml:space="preserve">54326108</x:t>
  </x:si>
  <x:si>
    <x:t xml:space="preserve">57002418</x:t>
  </x:si>
  <x:si>
    <x:t xml:space="preserve">2025-07-19 17:54:21</x:t>
  </x:si>
  <x:si>
    <x:t xml:space="preserve">251</x:t>
  </x:si>
  <x:si>
    <x:t xml:space="preserve">43301412</x:t>
  </x:si>
  <x:si>
    <x:t xml:space="preserve">62620485</x:t>
  </x:si>
  <x:si>
    <x:t xml:space="preserve">2025-08-17 21:46:41</x:t>
  </x:si>
  <x:si>
    <x:t xml:space="preserve">731</x:t>
  </x:si>
  <x:si>
    <x:t xml:space="preserve">22446477</x:t>
  </x:si>
  <x:si>
    <x:t xml:space="preserve">49298867</x:t>
  </x:si>
  <x:si>
    <x:t xml:space="preserve">2026-07-22 20:48:42</x:t>
  </x:si>
  <x:si>
    <x:t xml:space="preserve">760</x:t>
  </x:si>
  <x:si>
    <x:t xml:space="preserve">21332049</x:t>
  </x:si>
  <x:si>
    <x:t xml:space="preserve">53751206</x:t>
  </x:si>
  <x:si>
    <x:t xml:space="preserve">2026-08-06 14:29:05</x:t>
  </x:si>
  <x:si>
    <x:t xml:space="preserve">374</x:t>
  </x:si>
  <x:si>
    <x:t xml:space="preserve">31277147</x:t>
  </x:si>
  <x:si>
    <x:t xml:space="preserve">96844452</x:t>
  </x:si>
  <x:si>
    <x:t xml:space="preserve">2025-11-10 05:13:17</x:t>
  </x:si>
  <x:si>
    <x:t xml:space="preserve">629</x:t>
  </x:si>
  <x:si>
    <x:t xml:space="preserve">21234894</x:t>
  </x:si>
  <x:si>
    <x:t xml:space="preserve">95558019</x:t>
  </x:si>
  <x:si>
    <x:t xml:space="preserve">2026-05-04 18:58:02</x:t>
  </x:si>
  <x:si>
    <x:t xml:space="preserve">43</x:t>
  </x:si>
  <x:si>
    <x:t xml:space="preserve">41658014</x:t>
  </x:si>
  <x:si>
    <x:t xml:space="preserve">78235705</x:t>
  </x:si>
  <x:si>
    <x:t xml:space="preserve">2025-04-03 19:02:13</x:t>
  </x:si>
  <x:si>
    <x:t xml:space="preserve">2025-04-02 20:57:05</x:t>
  </x:si>
  <x:si>
    <x:t xml:space="preserve">786</x:t>
  </x:si>
  <x:si>
    <x:t xml:space="preserve">17553647</x:t>
  </x:si>
  <x:si>
    <x:t xml:space="preserve">19321882</x:t>
  </x:si>
  <x:si>
    <x:t xml:space="preserve">2026-08-20 10:55:20</x:t>
  </x:si>
  <x:si>
    <x:t xml:space="preserve">580</x:t>
  </x:si>
  <x:si>
    <x:t xml:space="preserve">28389069</x:t>
  </x:si>
  <x:si>
    <x:t xml:space="preserve">65035992</x:t>
  </x:si>
  <x:si>
    <x:t xml:space="preserve">2026-03-27 17:35:16</x:t>
  </x:si>
  <x:si>
    <x:t xml:space="preserve">324</x:t>
  </x:si>
  <x:si>
    <x:t xml:space="preserve">37564690</x:t>
  </x:si>
  <x:si>
    <x:t xml:space="preserve">89848292</x:t>
  </x:si>
  <x:si>
    <x:t xml:space="preserve">2025-10-15 18:26:32</x:t>
  </x:si>
  <x:si>
    <x:t xml:space="preserve">100</x:t>
  </x:si>
  <x:si>
    <x:t xml:space="preserve">16080121</x:t>
  </x:si>
  <x:si>
    <x:t xml:space="preserve">43897054</x:t>
  </x:si>
  <x:si>
    <x:t xml:space="preserve">2025-05-17 18:10:17</x:t>
  </x:si>
  <x:si>
    <x:t xml:space="preserve">2025-04-03 01:49:11</x:t>
  </x:si>
  <x:si>
    <x:t xml:space="preserve">524</x:t>
  </x:si>
  <x:si>
    <x:t xml:space="preserve">33251964</x:t>
  </x:si>
  <x:si>
    <x:t xml:space="preserve">51835874</x:t>
  </x:si>
  <x:si>
    <x:t xml:space="preserve">2026-08-28 14:38:03</x:t>
  </x:si>
  <x:si>
    <x:t xml:space="preserve">2026-08-26 20:52:06</x:t>
  </x:si>
  <x:si>
    <x:t xml:space="preserve">738</x:t>
  </x:si>
  <x:si>
    <x:t xml:space="preserve">41997469</x:t>
  </x:si>
  <x:si>
    <x:t xml:space="preserve">55314232</x:t>
  </x:si>
  <x:si>
    <x:t xml:space="preserve">2026-07-27 09:57:27</x:t>
  </x:si>
  <x:si>
    <x:t xml:space="preserve">744</x:t>
  </x:si>
  <x:si>
    <x:t xml:space="preserve">10560526</x:t>
  </x:si>
  <x:si>
    <x:t xml:space="preserve">81604719</x:t>
  </x:si>
  <x:si>
    <x:t xml:space="preserve">2026-07-31 20:23:55</x:t>
  </x:si>
  <x:si>
    <x:t xml:space="preserve">733</x:t>
  </x:si>
  <x:si>
    <x:t xml:space="preserve">84770919</x:t>
  </x:si>
  <x:si>
    <x:t xml:space="preserve">89026675</x:t>
  </x:si>
  <x:si>
    <x:t xml:space="preserve">2026-07-23 00:50:15</x:t>
  </x:si>
  <x:si>
    <x:t xml:space="preserve">531</x:t>
  </x:si>
  <x:si>
    <x:t xml:space="preserve">49575782</x:t>
  </x:si>
  <x:si>
    <x:t xml:space="preserve">86714016</x:t>
  </x:si>
  <x:si>
    <x:t xml:space="preserve">2026-02-14 17:48:15</x:t>
  </x:si>
  <x:si>
    <x:t xml:space="preserve">606</x:t>
  </x:si>
  <x:si>
    <x:t xml:space="preserve">49616970</x:t>
  </x:si>
  <x:si>
    <x:t xml:space="preserve">94415564</x:t>
  </x:si>
  <x:si>
    <x:t xml:space="preserve">2026-08-07 16:46:59</x:t>
  </x:si>
  <x:si>
    <x:t xml:space="preserve">2026-07-31 20:00:20</x:t>
  </x:si>
  <x:si>
    <x:t xml:space="preserve">690</x:t>
  </x:si>
  <x:si>
    <x:t xml:space="preserve">17783541</x:t>
  </x:si>
  <x:si>
    <x:t xml:space="preserve">19685391</x:t>
  </x:si>
  <x:si>
    <x:t xml:space="preserve">2026-06-16 20:34:26</x:t>
  </x:si>
  <x:si>
    <x:t xml:space="preserve">718</x:t>
  </x:si>
  <x:si>
    <x:t xml:space="preserve">30271948</x:t>
  </x:si>
  <x:si>
    <x:t xml:space="preserve">54100174</x:t>
  </x:si>
  <x:si>
    <x:t xml:space="preserve">2026-07-12 17:03:44</x:t>
  </x:si>
  <x:si>
    <x:t xml:space="preserve">587</x:t>
  </x:si>
  <x:si>
    <x:t xml:space="preserve">17187374</x:t>
  </x:si>
  <x:si>
    <x:t xml:space="preserve">66876919</x:t>
  </x:si>
  <x:si>
    <x:t xml:space="preserve">2026-04-01 17:24:12</x:t>
  </x:si>
  <x:si>
    <x:t xml:space="preserve">85</x:t>
  </x:si>
  <x:si>
    <x:t xml:space="preserve">23071302</x:t>
  </x:si>
  <x:si>
    <x:t xml:space="preserve">59276446</x:t>
  </x:si>
  <x:si>
    <x:t xml:space="preserve">2025-03-15 22:18:25</x:t>
  </x:si>
  <x:si>
    <x:t xml:space="preserve">306</x:t>
  </x:si>
  <x:si>
    <x:t xml:space="preserve">34221624</x:t>
  </x:si>
  <x:si>
    <x:t xml:space="preserve">87929921</x:t>
  </x:si>
  <x:si>
    <x:t xml:space="preserve">2025-10-02 06:32:09</x:t>
  </x:si>
  <x:si>
    <x:t xml:space="preserve">110</x:t>
  </x:si>
  <x:si>
    <x:t xml:space="preserve">14885357</x:t>
  </x:si>
  <x:si>
    <x:t xml:space="preserve">16521979</x:t>
  </x:si>
  <x:si>
    <x:t xml:space="preserve">2025-04-05 06:18:39</x:t>
  </x:si>
  <x:si>
    <x:t xml:space="preserve">408</x:t>
  </x:si>
  <x:si>
    <x:t xml:space="preserve">30685232</x:t>
  </x:si>
  <x:si>
    <x:t xml:space="preserve">42134874</x:t>
  </x:si>
  <x:si>
    <x:t xml:space="preserve">2026-01-02 09:35:02</x:t>
  </x:si>
  <x:si>
    <x:t xml:space="preserve">2026-01-02 07:55:13</x:t>
  </x:si>
  <x:si>
    <x:t xml:space="preserve">377</x:t>
  </x:si>
  <x:si>
    <x:t xml:space="preserve">20659660</x:t>
  </x:si>
  <x:si>
    <x:t xml:space="preserve">76070687</x:t>
  </x:si>
  <x:si>
    <x:t xml:space="preserve">2025-11-10 21:40:47</x:t>
  </x:si>
  <x:si>
    <x:t xml:space="preserve">367</x:t>
  </x:si>
  <x:si>
    <x:t xml:space="preserve">30581025</x:t>
  </x:si>
  <x:si>
    <x:t xml:space="preserve">96785810</x:t>
  </x:si>
  <x:si>
    <x:t xml:space="preserve">2025-11-06 12:11:33</x:t>
  </x:si>
  <x:si>
    <x:t xml:space="preserve">774</x:t>
  </x:si>
  <x:si>
    <x:t xml:space="preserve">39750694</x:t>
  </x:si>
  <x:si>
    <x:t xml:space="preserve">71166548</x:t>
  </x:si>
  <x:si>
    <x:t xml:space="preserve">2026-08-16 10:07:39</x:t>
  </x:si>
  <x:si>
    <x:t xml:space="preserve">676</x:t>
  </x:si>
  <x:si>
    <x:t xml:space="preserve">66906097</x:t>
  </x:si>
  <x:si>
    <x:t xml:space="preserve">84364938</x:t>
  </x:si>
  <x:si>
    <x:t xml:space="preserve">2026-06-08 19:07:56</x:t>
  </x:si>
  <x:si>
    <x:t xml:space="preserve">554</x:t>
  </x:si>
  <x:si>
    <x:t xml:space="preserve">52091436</x:t>
  </x:si>
  <x:si>
    <x:t xml:space="preserve">54971742</x:t>
  </x:si>
  <x:si>
    <x:t xml:space="preserve">2026-03-03 02:57:22</x:t>
  </x:si>
  <x:si>
    <x:t xml:space="preserve">528</x:t>
  </x:si>
  <x:si>
    <x:t xml:space="preserve">20614663</x:t>
  </x:si>
  <x:si>
    <x:t xml:space="preserve">33736829</x:t>
  </x:si>
  <x:si>
    <x:t xml:space="preserve">2026-02-14 11:00:26</x:t>
  </x:si>
  <x:si>
    <x:t xml:space="preserve">618</x:t>
  </x:si>
  <x:si>
    <x:t xml:space="preserve">40448779</x:t>
  </x:si>
  <x:si>
    <x:t xml:space="preserve">62865815</x:t>
  </x:si>
  <x:si>
    <x:t xml:space="preserve">2026-04-26 18:00:02</x:t>
  </x:si>
  <x:si>
    <x:t xml:space="preserve">782</x:t>
  </x:si>
  <x:si>
    <x:t xml:space="preserve">69533401</x:t>
  </x:si>
  <x:si>
    <x:t xml:space="preserve">69936678</x:t>
  </x:si>
  <x:si>
    <x:t xml:space="preserve">2026-08-18 23:54:59</x:t>
  </x:si>
  <x:si>
    <x:t xml:space="preserve">761</x:t>
  </x:si>
  <x:si>
    <x:t xml:space="preserve">54345687</x:t>
  </x:si>
  <x:si>
    <x:t xml:space="preserve">71747647</x:t>
  </x:si>
  <x:si>
    <x:t xml:space="preserve">2026-08-08 18:25:28</x:t>
  </x:si>
  <x:si>
    <x:t xml:space="preserve">695</x:t>
  </x:si>
  <x:si>
    <x:t xml:space="preserve">18429856</x:t>
  </x:si>
  <x:si>
    <x:t xml:space="preserve">49286681</x:t>
  </x:si>
  <x:si>
    <x:t xml:space="preserve">2026-06-19 21:06:45</x:t>
  </x:si>
  <x:si>
    <x:t xml:space="preserve">506</x:t>
  </x:si>
  <x:si>
    <x:t xml:space="preserve">29890529</x:t>
  </x:si>
  <x:si>
    <x:t xml:space="preserve">75253260</x:t>
  </x:si>
  <x:si>
    <x:t xml:space="preserve">2026-06-11 07:59:12</x:t>
  </x:si>
  <x:si>
    <x:t xml:space="preserve">2026-03-12 14:08:34</x:t>
  </x:si>
  <x:si>
    <x:t xml:space="preserve">807</x:t>
  </x:si>
  <x:si>
    <x:t xml:space="preserve">10637993</x:t>
  </x:si>
  <x:si>
    <x:t xml:space="preserve">13424205</x:t>
  </x:si>
  <x:si>
    <x:t xml:space="preserve">2026-08-28 03:50:56</x:t>
  </x:si>
  <x:si>
    <x:t xml:space="preserve">755</x:t>
  </x:si>
  <x:si>
    <x:t xml:space="preserve">12934195</x:t>
  </x:si>
  <x:si>
    <x:t xml:space="preserve">68656605</x:t>
  </x:si>
  <x:si>
    <x:t xml:space="preserve">2026-08-04 22:23:43</x:t>
  </x:si>
  <x:si>
    <x:t xml:space="preserve">89</x:t>
  </x:si>
  <x:si>
    <x:t xml:space="preserve">23461018</x:t>
  </x:si>
  <x:si>
    <x:t xml:space="preserve">35422333</x:t>
  </x:si>
  <x:si>
    <x:t xml:space="preserve">2025-06-11 14:21:28</x:t>
  </x:si>
  <x:si>
    <x:t xml:space="preserve">2025-04-14 22:07:16</x:t>
  </x:si>
  <x:si>
    <x:t xml:space="preserve">640</x:t>
  </x:si>
  <x:si>
    <x:t xml:space="preserve">28139232</x:t>
  </x:si>
  <x:si>
    <x:t xml:space="preserve">31663006</x:t>
  </x:si>
  <x:si>
    <x:t xml:space="preserve">2026-05-16 22:20:12</x:t>
  </x:si>
  <x:si>
    <x:t xml:space="preserve">632</x:t>
  </x:si>
  <x:si>
    <x:t xml:space="preserve">51849030</x:t>
  </x:si>
  <x:si>
    <x:t xml:space="preserve">52488009</x:t>
  </x:si>
  <x:si>
    <x:t xml:space="preserve">2026-05-08 13:26:00</x:t>
  </x:si>
  <x:si>
    <x:t xml:space="preserve">737</x:t>
  </x:si>
  <x:si>
    <x:t xml:space="preserve">61024326</x:t>
  </x:si>
  <x:si>
    <x:t xml:space="preserve">96976338</x:t>
  </x:si>
  <x:si>
    <x:t xml:space="preserve">2026-07-27 04:38:53</x:t>
  </x:si>
  <x:si>
    <x:t xml:space="preserve">565</x:t>
  </x:si>
  <x:si>
    <x:t xml:space="preserve">16873721</x:t>
  </x:si>
  <x:si>
    <x:t xml:space="preserve">25911691</x:t>
  </x:si>
  <x:si>
    <x:t xml:space="preserve">2026-03-14 21:30:36</x:t>
  </x:si>
  <x:si>
    <x:t xml:space="preserve">625</x:t>
  </x:si>
  <x:si>
    <x:t xml:space="preserve">21016472</x:t>
  </x:si>
  <x:si>
    <x:t xml:space="preserve">63282135</x:t>
  </x:si>
  <x:si>
    <x:t xml:space="preserve">2026-05-02 15:17:57</x:t>
  </x:si>
  <x:si>
    <x:t xml:space="preserve">619</x:t>
  </x:si>
  <x:si>
    <x:t xml:space="preserve">25350788</x:t>
  </x:si>
  <x:si>
    <x:t xml:space="preserve">28363662</x:t>
  </x:si>
  <x:si>
    <x:t xml:space="preserve">2026-04-27 18:39:40</x:t>
  </x:si>
  <x:si>
    <x:t xml:space="preserve">369</x:t>
  </x:si>
  <x:si>
    <x:t xml:space="preserve">11050198</x:t>
  </x:si>
  <x:si>
    <x:t xml:space="preserve">45350044</x:t>
  </x:si>
  <x:si>
    <x:t xml:space="preserve">2025-11-08 14:33:18</x:t>
  </x:si>
  <x:si>
    <x:t xml:space="preserve">579</x:t>
  </x:si>
  <x:si>
    <x:t xml:space="preserve">32388542</x:t>
  </x:si>
  <x:si>
    <x:t xml:space="preserve">63225015</x:t>
  </x:si>
  <x:si>
    <x:t xml:space="preserve">2026-03-26 22:18:07</x:t>
  </x:si>
  <x:si>
    <x:t xml:space="preserve">804</x:t>
  </x:si>
  <x:si>
    <x:t xml:space="preserve">34170705</x:t>
  </x:si>
  <x:si>
    <x:t xml:space="preserve">76882729</x:t>
  </x:si>
  <x:si>
    <x:t xml:space="preserve">2026-08-26 06:58:02</x:t>
  </x:si>
  <x:si>
    <x:t xml:space="preserve">716</x:t>
  </x:si>
  <x:si>
    <x:t xml:space="preserve">72598057</x:t>
  </x:si>
  <x:si>
    <x:t xml:space="preserve">97907831</x:t>
  </x:si>
  <x:si>
    <x:t xml:space="preserve">2026-07-11 22:38:49</x:t>
  </x:si>
  <x:si>
    <x:t xml:space="preserve">448</x:t>
  </x:si>
  <x:si>
    <x:t xml:space="preserve">38359206</x:t>
  </x:si>
  <x:si>
    <x:t xml:space="preserve">83040226</x:t>
  </x:si>
  <x:si>
    <x:t xml:space="preserve">2025-12-23 15:19:35</x:t>
  </x:si>
  <x:si>
    <x:t xml:space="preserve">673</x:t>
  </x:si>
  <x:si>
    <x:t xml:space="preserve">14154498</x:t>
  </x:si>
  <x:si>
    <x:t xml:space="preserve">49764353</x:t>
  </x:si>
  <x:si>
    <x:t xml:space="preserve">2026-06-06 22:18:33</x:t>
  </x:si>
  <x:si>
    <x:t xml:space="preserve">33</x:t>
  </x:si>
  <x:si>
    <x:t xml:space="preserve">54049603</x:t>
  </x:si>
  <x:si>
    <x:t xml:space="preserve">70735238</x:t>
  </x:si>
  <x:si>
    <x:t xml:space="preserve">2025-03-06 03:21:15</x:t>
  </x:si>
  <x:si>
    <x:t xml:space="preserve">2025-03-05 04:24:09</x:t>
  </x:si>
  <x:si>
    <x:t xml:space="preserve">80</x:t>
  </x:si>
  <x:si>
    <x:t xml:space="preserve">30437122</x:t>
  </x:si>
  <x:si>
    <x:t xml:space="preserve">52631783</x:t>
  </x:si>
  <x:si>
    <x:t xml:space="preserve">2025-03-13 21:04:20</x:t>
  </x:si>
  <x:si>
    <x:t xml:space="preserve">418</x:t>
  </x:si>
  <x:si>
    <x:t xml:space="preserve">40246846</x:t>
  </x:si>
  <x:si>
    <x:t xml:space="preserve">54466305</x:t>
  </x:si>
  <x:si>
    <x:t xml:space="preserve">2025-12-06 16:25:01</x:t>
  </x:si>
  <x:si>
    <x:t xml:space="preserve">727</x:t>
  </x:si>
  <x:si>
    <x:t xml:space="preserve">54058427</x:t>
  </x:si>
  <x:si>
    <x:t xml:space="preserve">83351357</x:t>
  </x:si>
  <x:si>
    <x:t xml:space="preserve">2026-07-18 14:08:40</x:t>
  </x:si>
  <x:si>
    <x:t xml:space="preserve">691</x:t>
  </x:si>
  <x:si>
    <x:t xml:space="preserve">34735627</x:t>
  </x:si>
  <x:si>
    <x:t xml:space="preserve">82621409</x:t>
  </x:si>
  <x:si>
    <x:t xml:space="preserve">2026-06-16 21:56:05</x:t>
  </x:si>
  <x:si>
    <x:t xml:space="preserve">490</x:t>
  </x:si>
  <x:si>
    <x:t xml:space="preserve">34416242</x:t>
  </x:si>
  <x:si>
    <x:t xml:space="preserve">38892130</x:t>
  </x:si>
  <x:si>
    <x:t xml:space="preserve">2026-01-17 00:23:27</x:t>
  </x:si>
  <x:si>
    <x:t xml:space="preserve">626</x:t>
  </x:si>
  <x:si>
    <x:t xml:space="preserve">79463103</x:t>
  </x:si>
  <x:si>
    <x:t xml:space="preserve">85997121</x:t>
  </x:si>
  <x:si>
    <x:t xml:space="preserve">2026-05-02 18:48:56</x:t>
  </x:si>
  <x:si>
    <x:t xml:space="preserve">334</x:t>
  </x:si>
  <x:si>
    <x:t xml:space="preserve">44005923</x:t>
  </x:si>
  <x:si>
    <x:t xml:space="preserve">60892160</x:t>
  </x:si>
  <x:si>
    <x:t xml:space="preserve">2025-10-21 09:17:18</x:t>
  </x:si>
  <x:si>
    <x:t xml:space="preserve">220</x:t>
  </x:si>
  <x:si>
    <x:t xml:space="preserve">35474074</x:t>
  </x:si>
  <x:si>
    <x:t xml:space="preserve">35487239</x:t>
  </x:si>
  <x:si>
    <x:t xml:space="preserve">2025-07-16 07:10:25</x:t>
  </x:si>
  <x:si>
    <x:t xml:space="preserve">488</x:t>
  </x:si>
  <x:si>
    <x:t xml:space="preserve">43272748</x:t>
  </x:si>
  <x:si>
    <x:t xml:space="preserve">58962818</x:t>
  </x:si>
  <x:si>
    <x:t xml:space="preserve">2026-01-16 19:41:44</x:t>
  </x:si>
  <x:si>
    <x:t xml:space="preserve">810</x:t>
  </x:si>
  <x:si>
    <x:t xml:space="preserve">22157748</x:t>
  </x:si>
  <x:si>
    <x:t xml:space="preserve">39088673</x:t>
  </x:si>
  <x:si>
    <x:t xml:space="preserve">2026-08-28 18:30:14</x:t>
  </x:si>
  <x:si>
    <x:t xml:space="preserve">703</x:t>
  </x:si>
  <x:si>
    <x:t xml:space="preserve">40319847</x:t>
  </x:si>
  <x:si>
    <x:t xml:space="preserve">90426080</x:t>
  </x:si>
  <x:si>
    <x:t xml:space="preserve">2026-07-01 14:10:31</x:t>
  </x:si>
  <x:si>
    <x:t xml:space="preserve">493</x:t>
  </x:si>
  <x:si>
    <x:t xml:space="preserve">47526211</x:t>
  </x:si>
  <x:si>
    <x:t xml:space="preserve">74144977</x:t>
  </x:si>
  <x:si>
    <x:t xml:space="preserve">2026-01-19 19:18:47</x:t>
  </x:si>
  <x:si>
    <x:t xml:space="preserve">773</x:t>
  </x:si>
  <x:si>
    <x:t xml:space="preserve">27565822</x:t>
  </x:si>
  <x:si>
    <x:t xml:space="preserve">64697144</x:t>
  </x:si>
  <x:si>
    <x:t xml:space="preserve">2026-08-16 08:09:13</x:t>
  </x:si>
  <x:si>
    <x:t xml:space="preserve">491</x:t>
  </x:si>
  <x:si>
    <x:t xml:space="preserve">10881767</x:t>
  </x:si>
  <x:si>
    <x:t xml:space="preserve">76821365</x:t>
  </x:si>
  <x:si>
    <x:t xml:space="preserve">2026-01-17 12:31:52</x:t>
  </x:si>
  <x:si>
    <x:t xml:space="preserve">390</x:t>
  </x:si>
  <x:si>
    <x:t xml:space="preserve">47982121</x:t>
  </x:si>
  <x:si>
    <x:t xml:space="preserve">82291203</x:t>
  </x:si>
  <x:si>
    <x:t xml:space="preserve">2025-11-17 21:12:28</x:t>
  </x:si>
  <x:si>
    <x:t xml:space="preserve">696</x:t>
  </x:si>
  <x:si>
    <x:t xml:space="preserve">52231498</x:t>
  </x:si>
  <x:si>
    <x:t xml:space="preserve">85696545</x:t>
  </x:si>
  <x:si>
    <x:t xml:space="preserve">2026-06-21 07:58:59</x:t>
  </x:si>
  <x:si>
    <x:t xml:space="preserve">795</x:t>
  </x:si>
  <x:si>
    <x:t xml:space="preserve">12966755</x:t>
  </x:si>
  <x:si>
    <x:t xml:space="preserve">94805325</x:t>
  </x:si>
  <x:si>
    <x:t xml:space="preserve">2026-08-21 21:03:18</x:t>
  </x:si>
  <x:si>
    <x:t xml:space="preserve">585</x:t>
  </x:si>
  <x:si>
    <x:t xml:space="preserve">48052687</x:t>
  </x:si>
  <x:si>
    <x:t xml:space="preserve">77951812</x:t>
  </x:si>
  <x:si>
    <x:t xml:space="preserve">2026-04-01 03:14:42</x:t>
  </x:si>
  <x:si>
    <x:t xml:space="preserve">548</x:t>
  </x:si>
  <x:si>
    <x:t xml:space="preserve">86107961</x:t>
  </x:si>
  <x:si>
    <x:t xml:space="preserve">97411777</x:t>
  </x:si>
  <x:si>
    <x:t xml:space="preserve">2026-03-01 05:23:43</x:t>
  </x:si>
  <x:si>
    <x:t xml:space="preserve">426</x:t>
  </x:si>
  <x:si>
    <x:t xml:space="preserve">40148159</x:t>
  </x:si>
  <x:si>
    <x:t xml:space="preserve">92277969</x:t>
  </x:si>
  <x:si>
    <x:t xml:space="preserve">2025-12-10 18:04:03</x:t>
  </x:si>
  <x:si>
    <x:t xml:space="preserve">508</x:t>
  </x:si>
  <x:si>
    <x:t xml:space="preserve">19345251</x:t>
  </x:si>
  <x:si>
    <x:t xml:space="preserve">25377526</x:t>
  </x:si>
  <x:si>
    <x:t xml:space="preserve">2026-02-01 15:19:48</x:t>
  </x:si>
  <x:si>
    <x:t xml:space="preserve">454</x:t>
  </x:si>
  <x:si>
    <x:t xml:space="preserve">17656911</x:t>
  </x:si>
  <x:si>
    <x:t xml:space="preserve">88487402</x:t>
  </x:si>
  <x:si>
    <x:t xml:space="preserve">2026-01-01 05:26:35</x:t>
  </x:si>
  <x:si>
    <x:t xml:space="preserve">798</x:t>
  </x:si>
  <x:si>
    <x:t xml:space="preserve">71708741</x:t>
  </x:si>
  <x:si>
    <x:t xml:space="preserve">76143360</x:t>
  </x:si>
  <x:si>
    <x:t xml:space="preserve">2026-08-23 03:15:28</x:t>
  </x:si>
  <x:si>
    <x:t xml:space="preserve">669</x:t>
  </x:si>
  <x:si>
    <x:t xml:space="preserve">17832227</x:t>
  </x:si>
  <x:si>
    <x:t xml:space="preserve">78134322</x:t>
  </x:si>
  <x:si>
    <x:t xml:space="preserve">2026-06-05 20:07:46</x:t>
  </x:si>
  <x:si>
    <x:t xml:space="preserve">710</x:t>
  </x:si>
  <x:si>
    <x:t xml:space="preserve">35481827</x:t>
  </x:si>
  <x:si>
    <x:t xml:space="preserve">78604364</x:t>
  </x:si>
  <x:si>
    <x:t xml:space="preserve">2026-07-06 16:34:37</x:t>
  </x:si>
  <x:si>
    <x:t xml:space="preserve">732</x:t>
  </x:si>
  <x:si>
    <x:t xml:space="preserve">56239394</x:t>
  </x:si>
  <x:si>
    <x:t xml:space="preserve">62501764</x:t>
  </x:si>
  <x:si>
    <x:t xml:space="preserve">2026-07-22 21:46:14</x:t>
  </x:si>
  <x:si>
    <x:t xml:space="preserve">778</x:t>
  </x:si>
  <x:si>
    <x:t xml:space="preserve">74711036</x:t>
  </x:si>
  <x:si>
    <x:t xml:space="preserve">95800804</x:t>
  </x:si>
  <x:si>
    <x:t xml:space="preserve">2026-08-17 19:03:25</x:t>
  </x:si>
  <x:si>
    <x:t xml:space="preserve">500</x:t>
  </x:si>
  <x:si>
    <x:t xml:space="preserve">91117958</x:t>
  </x:si>
  <x:si>
    <x:t xml:space="preserve">99862303</x:t>
  </x:si>
  <x:si>
    <x:t xml:space="preserve">2026-01-26 20:02:13</x:t>
  </x:si>
  <x:si>
    <x:t xml:space="preserve">815</x:t>
  </x:si>
  <x:si>
    <x:t xml:space="preserve">42105301</x:t>
  </x:si>
  <x:si>
    <x:t xml:space="preserve">80204244</x:t>
  </x:si>
  <x:si>
    <x:t xml:space="preserve">2026-09-01 07:56:09</x:t>
  </x:si>
  <x:si>
    <x:t xml:space="preserve">205</x:t>
  </x:si>
  <x:si>
    <x:t xml:space="preserve">88035000</x:t>
  </x:si>
  <x:si>
    <x:t xml:space="preserve">97918711</x:t>
  </x:si>
  <x:si>
    <x:t xml:space="preserve">2025-07-01 05:29:29</x:t>
  </x:si>
  <x:si>
    <x:t xml:space="preserve">567</x:t>
  </x:si>
  <x:si>
    <x:t xml:space="preserve">44850444</x:t>
  </x:si>
  <x:si>
    <x:t xml:space="preserve">66538780</x:t>
  </x:si>
  <x:si>
    <x:t xml:space="preserve">2026-03-16 17:12:50</x:t>
  </x:si>
  <x:si>
    <x:t xml:space="preserve">129</x:t>
  </x:si>
  <x:si>
    <x:t xml:space="preserve">15326470</x:t>
  </x:si>
  <x:si>
    <x:t xml:space="preserve">28322025</x:t>
  </x:si>
  <x:si>
    <x:t xml:space="preserve">2025-07-02 19:45:05</x:t>
  </x:si>
  <x:si>
    <x:t xml:space="preserve">2025-06-13 20:18:41</x:t>
  </x:si>
  <x:si>
    <x:t xml:space="preserve">709</x:t>
  </x:si>
  <x:si>
    <x:t xml:space="preserve">23735002</x:t>
  </x:si>
  <x:si>
    <x:t xml:space="preserve">67878861</x:t>
  </x:si>
  <x:si>
    <x:t xml:space="preserve">2026-07-06 16:11:14</x:t>
  </x:si>
  <x:si>
    <x:t xml:space="preserve">739</x:t>
  </x:si>
  <x:si>
    <x:t xml:space="preserve">85465808</x:t>
  </x:si>
  <x:si>
    <x:t xml:space="preserve">86436874</x:t>
  </x:si>
  <x:si>
    <x:t xml:space="preserve">2026-07-27 12:48:42</x:t>
  </x:si>
  <x:si>
    <x:t xml:space="preserve">765</x:t>
  </x:si>
  <x:si>
    <x:t xml:space="preserve">75207199</x:t>
  </x:si>
  <x:si>
    <x:t xml:space="preserve">89073043</x:t>
  </x:si>
  <x:si>
    <x:t xml:space="preserve">2026-08-11 00:47:12</x:t>
  </x:si>
  <x:si>
    <x:t xml:space="preserve">603</x:t>
  </x:si>
  <x:si>
    <x:t xml:space="preserve">30282396</x:t>
  </x:si>
  <x:si>
    <x:t xml:space="preserve">54747619</x:t>
  </x:si>
  <x:si>
    <x:t xml:space="preserve">2026-04-14 10:00:22</x:t>
  </x:si>
  <x:si>
    <x:t xml:space="preserve">543</x:t>
  </x:si>
  <x:si>
    <x:t xml:space="preserve">39082449</x:t>
  </x:si>
  <x:si>
    <x:t xml:space="preserve">41203689</x:t>
  </x:si>
  <x:si>
    <x:t xml:space="preserve">2026-02-25 07:15:53</x:t>
  </x:si>
  <x:si>
    <x:t xml:space="preserve">746</x:t>
  </x:si>
  <x:si>
    <x:t xml:space="preserve">21156574</x:t>
  </x:si>
  <x:si>
    <x:t xml:space="preserve">53304129</x:t>
  </x:si>
  <x:si>
    <x:t xml:space="preserve">2026-07-31 21:44:11</x:t>
  </x:si>
  <x:si>
    <x:t xml:space="preserve">140</x:t>
  </x:si>
  <x:si>
    <x:t xml:space="preserve">39025370</x:t>
  </x:si>
  <x:si>
    <x:t xml:space="preserve">60036968</x:t>
  </x:si>
  <x:si>
    <x:t xml:space="preserve">2025-04-29 12:30:31</x:t>
  </x:si>
  <x:si>
    <x:t xml:space="preserve">801</x:t>
  </x:si>
  <x:si>
    <x:t xml:space="preserve">10544173</x:t>
  </x:si>
  <x:si>
    <x:t xml:space="preserve">69790463</x:t>
  </x:si>
  <x:si>
    <x:t xml:space="preserve">2026-08-24 20:48:41</x:t>
  </x:si>
  <x:si>
    <x:t xml:space="preserve">719</x:t>
  </x:si>
  <x:si>
    <x:t xml:space="preserve">28177565</x:t>
  </x:si>
  <x:si>
    <x:t xml:space="preserve">44976317</x:t>
  </x:si>
  <x:si>
    <x:t xml:space="preserve">2026-07-12 19:28:52</x:t>
  </x:si>
  <x:si>
    <x:t xml:space="preserve">430</x:t>
  </x:si>
  <x:si>
    <x:t xml:space="preserve">41651643</x:t>
  </x:si>
  <x:si>
    <x:t xml:space="preserve">94947650</x:t>
  </x:si>
  <x:si>
    <x:t xml:space="preserve">2025-12-11 21:19:44</x:t>
  </x:si>
  <x:si>
    <x:t xml:space="preserve">617</x:t>
  </x:si>
  <x:si>
    <x:t xml:space="preserve">77809668</x:t>
  </x:si>
  <x:si>
    <x:t xml:space="preserve">81255385</x:t>
  </x:si>
  <x:si>
    <x:t xml:space="preserve">2026-06-01 11:06:08</x:t>
  </x:si>
  <x:si>
    <x:t xml:space="preserve">2026-05-29 22:58:36</x:t>
  </x:si>
  <x:si>
    <x:t xml:space="preserve">799</x:t>
  </x:si>
  <x:si>
    <x:t xml:space="preserve">88509839</x:t>
  </x:si>
  <x:si>
    <x:t xml:space="preserve">90362130</x:t>
  </x:si>
  <x:si>
    <x:t xml:space="preserve">2026-08-23 21:06:12</x:t>
  </x:si>
  <x:si>
    <x:t xml:space="preserve">803</x:t>
  </x:si>
  <x:si>
    <x:t xml:space="preserve">52590145</x:t>
  </x:si>
  <x:si>
    <x:t xml:space="preserve">98863241</x:t>
  </x:si>
  <x:si>
    <x:t xml:space="preserve">2026-08-26 05:07:40</x:t>
  </x:si>
  <x:si>
    <x:t xml:space="preserve">372</x:t>
  </x:si>
  <x:si>
    <x:t xml:space="preserve">64544580</x:t>
  </x:si>
  <x:si>
    <x:t xml:space="preserve">67420650</x:t>
  </x:si>
  <x:si>
    <x:t xml:space="preserve">2025-12-04 12:51:28</x:t>
  </x:si>
  <x:si>
    <x:t xml:space="preserve">2025-11-19 00:41:28</x:t>
  </x:si>
  <x:si>
    <x:t xml:space="preserve">814</x:t>
  </x:si>
  <x:si>
    <x:t xml:space="preserve">18023840</x:t>
  </x:si>
  <x:si>
    <x:t xml:space="preserve">62186640</x:t>
  </x:si>
  <x:si>
    <x:t xml:space="preserve">2026-09-01 05:47:29</x:t>
  </x:si>
  <x:si>
    <x:t xml:space="preserve">747</x:t>
  </x:si>
  <x:si>
    <x:t xml:space="preserve">32175783</x:t>
  </x:si>
  <x:si>
    <x:t xml:space="preserve">99792570</x:t>
  </x:si>
  <x:si>
    <x:t xml:space="preserve">2026-08-01 03:42:52</x:t>
  </x:si>
  <x:si>
    <x:t xml:space="preserve">155</x:t>
  </x:si>
  <x:si>
    <x:t xml:space="preserve">35481485</x:t>
  </x:si>
  <x:si>
    <x:t xml:space="preserve">54141725</x:t>
  </x:si>
  <x:si>
    <x:t xml:space="preserve">2025-05-14 21:35:14</x:t>
  </x:si>
  <x:si>
    <x:t xml:space="preserve">722</x:t>
  </x:si>
  <x:si>
    <x:t xml:space="preserve">10143263</x:t>
  </x:si>
  <x:si>
    <x:t xml:space="preserve">47324189</x:t>
  </x:si>
  <x:si>
    <x:t xml:space="preserve">2026-07-15 21:26:11</x:t>
  </x:si>
  <x:si>
    <x:t xml:space="preserve">274</x:t>
  </x:si>
  <x:si>
    <x:t xml:space="preserve">67581537</x:t>
  </x:si>
  <x:si>
    <x:t xml:space="preserve">85276789</x:t>
  </x:si>
  <x:si>
    <x:t xml:space="preserve">2025-09-03 15:45:11</x:t>
  </x:si>
  <x:si>
    <x:t xml:space="preserve">812</x:t>
  </x:si>
  <x:si>
    <x:t xml:space="preserve">50838760</x:t>
  </x:si>
  <x:si>
    <x:t xml:space="preserve">79903357</x:t>
  </x:si>
  <x:si>
    <x:t xml:space="preserve">2026-08-28 20:09:35</x:t>
  </x:si>
  <x:si>
    <x:t xml:space="preserve">302</x:t>
  </x:si>
  <x:si>
    <x:t xml:space="preserve">26961295</x:t>
  </x:si>
  <x:si>
    <x:t xml:space="preserve">76887190</x:t>
  </x:si>
  <x:si>
    <x:t xml:space="preserve">2025-09-30 12:00:52</x:t>
  </x:si>
  <x:si>
    <x:t xml:space="preserve">768</x:t>
  </x:si>
  <x:si>
    <x:t xml:space="preserve">55834291</x:t>
  </x:si>
  <x:si>
    <x:t xml:space="preserve">57391124</x:t>
  </x:si>
  <x:si>
    <x:t xml:space="preserve">2026-08-12 19:39:10</x:t>
  </x:si>
  <x:si>
    <x:t xml:space="preserve">776</x:t>
  </x:si>
  <x:si>
    <x:t xml:space="preserve">13455761</x:t>
  </x:si>
  <x:si>
    <x:t xml:space="preserve">78032465</x:t>
  </x:si>
  <x:si>
    <x:t xml:space="preserve">2026-08-16 18:27:02</x:t>
  </x:si>
  <x:si>
    <x:t xml:space="preserve">689</x:t>
  </x:si>
  <x:si>
    <x:t xml:space="preserve">14423114</x:t>
  </x:si>
  <x:si>
    <x:t xml:space="preserve">81676740</x:t>
  </x:si>
  <x:si>
    <x:t xml:space="preserve">2026-06-16 13:05:55</x:t>
  </x:si>
  <x:si>
    <x:t xml:space="preserve">641</x:t>
  </x:si>
  <x:si>
    <x:t xml:space="preserve">10392220</x:t>
  </x:si>
  <x:si>
    <x:t xml:space="preserve">36957911</x:t>
  </x:si>
  <x:si>
    <x:t xml:space="preserve">2026-05-17 20:51:48</x:t>
  </x:si>
  <x:si>
    <x:t xml:space="preserve">583</x:t>
  </x:si>
  <x:si>
    <x:t xml:space="preserve">25664721</x:t>
  </x:si>
  <x:si>
    <x:t xml:space="preserve">53479084</x:t>
  </x:si>
  <x:si>
    <x:t xml:space="preserve">2026-03-31 23:58:40</x:t>
  </x:si>
  <x:si>
    <x:t xml:space="preserve">66</x:t>
  </x:si>
  <x:si>
    <x:t xml:space="preserve">71927691</x:t>
  </x:si>
  <x:si>
    <x:t xml:space="preserve">85203114</x:t>
  </x:si>
  <x:si>
    <x:t xml:space="preserve">2025-03-06 01:36:49</x:t>
  </x:si>
  <x:si>
    <x:t xml:space="preserve">651</x:t>
  </x:si>
  <x:si>
    <x:t xml:space="preserve">47231983</x:t>
  </x:si>
  <x:si>
    <x:t xml:space="preserve">64728109</x:t>
  </x:si>
  <x:si>
    <x:t xml:space="preserve">2026-05-24 17:05:46</x:t>
  </x:si>
  <x:si>
    <x:t xml:space="preserve">447</x:t>
  </x:si>
  <x:si>
    <x:t xml:space="preserve">88754493</x:t>
  </x:si>
  <x:si>
    <x:t xml:space="preserve">99338185</x:t>
  </x:si>
  <x:si>
    <x:t xml:space="preserve">2025-12-23 11:22:03</x:t>
  </x:si>
  <x:si>
    <x:t xml:space="preserve">2025-12-23 00:16:58</x:t>
  </x:si>
  <x:si>
    <x:t xml:space="preserve">766</x:t>
  </x:si>
  <x:si>
    <x:t xml:space="preserve">46858058</x:t>
  </x:si>
  <x:si>
    <x:t xml:space="preserve">53848052</x:t>
  </x:si>
  <x:si>
    <x:t xml:space="preserve">2026-08-11 19:01:50</x:t>
  </x:si>
  <x:si>
    <x:t xml:space="preserve">736</x:t>
  </x:si>
  <x:si>
    <x:t xml:space="preserve">67940604</x:t>
  </x:si>
  <x:si>
    <x:t xml:space="preserve">74795476</x:t>
  </x:si>
  <x:si>
    <x:t xml:space="preserve">2026-07-26 20:20:54</x:t>
  </x:si>
  <x:si>
    <x:t xml:space="preserve">808</x:t>
  </x:si>
  <x:si>
    <x:t xml:space="preserve">71121454</x:t>
  </x:si>
  <x:si>
    <x:t xml:space="preserve">96127686</x:t>
  </x:si>
  <x:si>
    <x:t xml:space="preserve">2026-08-28 07:40:33</x:t>
  </x:si>
  <x:si>
    <x:t xml:space="preserve">783</x:t>
  </x:si>
  <x:si>
    <x:t xml:space="preserve">24663714</x:t>
  </x:si>
  <x:si>
    <x:t xml:space="preserve">78664041</x:t>
  </x:si>
  <x:si>
    <x:t xml:space="preserve">2026-08-19 16:03:05</x:t>
  </x:si>
  <x:si>
    <x:t xml:space="preserve">785</x:t>
  </x:si>
  <x:si>
    <x:t xml:space="preserve">31784995</x:t>
  </x:si>
  <x:si>
    <x:t xml:space="preserve">97545789</x:t>
  </x:si>
  <x:si>
    <x:t xml:space="preserve">2026-08-19 23:09:46</x:t>
  </x:si>
  <x:si>
    <x:t xml:space="preserve">292</x:t>
  </x:si>
  <x:si>
    <x:t xml:space="preserve">69788087</x:t>
  </x:si>
  <x:si>
    <x:t xml:space="preserve">97762800</x:t>
  </x:si>
  <x:si>
    <x:t xml:space="preserve">2025-09-16 23:20:22</x:t>
  </x:si>
  <x:si>
    <x:t xml:space="preserve">663</x:t>
  </x:si>
  <x:si>
    <x:t xml:space="preserve">41280917</x:t>
  </x:si>
  <x:si>
    <x:t xml:space="preserve">78838635</x:t>
  </x:si>
  <x:si>
    <x:t xml:space="preserve">2026-06-01 23:37:20</x:t>
  </x:si>
  <x:si>
    <x:t xml:space="preserve">361</x:t>
  </x:si>
  <x:si>
    <x:t xml:space="preserve">78341748</x:t>
  </x:si>
  <x:si>
    <x:t xml:space="preserve">93564602</x:t>
  </x:si>
  <x:si>
    <x:t xml:space="preserve">2025-11-02 04:21:31</x:t>
  </x:si>
  <x:si>
    <x:t xml:space="preserve">612</x:t>
  </x:si>
  <x:si>
    <x:t xml:space="preserve">18999797</x:t>
  </x:si>
  <x:si>
    <x:t xml:space="preserve">79731752</x:t>
  </x:si>
  <x:si>
    <x:t xml:space="preserve">2026-04-21 11:55:02</x:t>
  </x:si>
  <x:si>
    <x:t xml:space="preserve">757</x:t>
  </x:si>
  <x:si>
    <x:t xml:space="preserve">18188713</x:t>
  </x:si>
  <x:si>
    <x:t xml:space="preserve">87413653</x:t>
  </x:si>
  <x:si>
    <x:t xml:space="preserve">2026-08-05 00:17:32</x:t>
  </x:si>
  <x:si>
    <x:t xml:space="preserve">589</x:t>
  </x:si>
  <x:si>
    <x:t xml:space="preserve">16055771</x:t>
  </x:si>
  <x:si>
    <x:t xml:space="preserve">62190733</x:t>
  </x:si>
  <x:si>
    <x:t xml:space="preserve">2026-04-03 02:54:23</x:t>
  </x:si>
  <x:si>
    <x:t xml:space="preserve">575</x:t>
  </x:si>
  <x:si>
    <x:t xml:space="preserve">52692600</x:t>
  </x:si>
  <x:si>
    <x:t xml:space="preserve">86271982</x:t>
  </x:si>
  <x:si>
    <x:t xml:space="preserve">2026-03-20 01:31:58</x:t>
  </x:si>
  <x:si>
    <x:t xml:space="preserve">654</x:t>
  </x:si>
  <x:si>
    <x:t xml:space="preserve">32594165</x:t>
  </x:si>
  <x:si>
    <x:t xml:space="preserve">38657306</x:t>
  </x:si>
  <x:si>
    <x:t xml:space="preserve">2026-05-26 14:05:14</x:t>
  </x:si>
  <x:si>
    <x:t xml:space="preserve">781</x:t>
  </x:si>
  <x:si>
    <x:t xml:space="preserve">34166623</x:t>
  </x:si>
  <x:si>
    <x:t xml:space="preserve">57984834</x:t>
  </x:si>
  <x:si>
    <x:t xml:space="preserve">2026-09-02 09:47:31</x:t>
  </x:si>
  <x:si>
    <x:t xml:space="preserve">2026-08-25 13:09:30</x:t>
  </x:si>
  <x:si>
    <x:t xml:space="preserve">705</x:t>
  </x:si>
  <x:si>
    <x:t xml:space="preserve">11779300</x:t>
  </x:si>
  <x:si>
    <x:t xml:space="preserve">53730665</x:t>
  </x:si>
  <x:si>
    <x:t xml:space="preserve">2026-07-03 05:55:49</x:t>
  </x:si>
  <x:si>
    <x:t xml:space="preserve">745</x:t>
  </x:si>
  <x:si>
    <x:t xml:space="preserve">11222640</x:t>
  </x:si>
  <x:si>
    <x:t xml:space="preserve">33578679</x:t>
  </x:si>
  <x:si>
    <x:t xml:space="preserve">2026-07-31 21:32:23</x:t>
  </x:si>
  <x:si>
    <x:t xml:space="preserve">568</x:t>
  </x:si>
  <x:si>
    <x:t xml:space="preserve">27675934</x:t>
  </x:si>
  <x:si>
    <x:t xml:space="preserve">59942301</x:t>
  </x:si>
  <x:si>
    <x:t xml:space="preserve">2026-03-16 19:17:55</x:t>
  </x:si>
  <x:si>
    <x:t xml:space="preserve">398</x:t>
  </x:si>
  <x:si>
    <x:t xml:space="preserve">30117475</x:t>
  </x:si>
  <x:si>
    <x:t xml:space="preserve">74875911</x:t>
  </x:si>
  <x:si>
    <x:t xml:space="preserve">2025-11-24 16:50:42</x:t>
  </x:si>
  <x:si>
    <x:t xml:space="preserve">666</x:t>
  </x:si>
  <x:si>
    <x:t xml:space="preserve">31797557</x:t>
  </x:si>
  <x:si>
    <x:t xml:space="preserve">50633442</x:t>
  </x:si>
  <x:si>
    <x:t xml:space="preserve">2026-06-04 22:46:22</x:t>
  </x:si>
  <x:si>
    <x:t xml:space="preserve">591</x:t>
  </x:si>
  <x:si>
    <x:t xml:space="preserve">31735388</x:t>
  </x:si>
  <x:si>
    <x:t xml:space="preserve">49612235</x:t>
  </x:si>
  <x:si>
    <x:t xml:space="preserve">2026-04-03 20:27:27</x:t>
  </x:si>
  <x:si>
    <x:t xml:space="preserve">521</x:t>
  </x:si>
  <x:si>
    <x:t xml:space="preserve">23254637</x:t>
  </x:si>
  <x:si>
    <x:t xml:space="preserve">71978796</x:t>
  </x:si>
  <x:si>
    <x:t xml:space="preserve">2026-02-09 07:59:16</x:t>
  </x:si>
  <x:si>
    <x:t xml:space="preserve">602</x:t>
  </x:si>
  <x:si>
    <x:t xml:space="preserve">21291584</x:t>
  </x:si>
  <x:si>
    <x:t xml:space="preserve">32223043</x:t>
  </x:si>
  <x:si>
    <x:t xml:space="preserve">2026-06-05 19:10:34</x:t>
  </x:si>
  <x:si>
    <x:t xml:space="preserve">2026-06-04 16:46:36</x:t>
  </x:si>
  <x:si>
    <x:t xml:space="preserve">613</x:t>
  </x:si>
  <x:si>
    <x:t xml:space="preserve">38859034</x:t>
  </x:si>
  <x:si>
    <x:t xml:space="preserve">88704815</x:t>
  </x:si>
  <x:si>
    <x:t xml:space="preserve">2026-04-22 12:17:45</x:t>
  </x:si>
  <x:si>
    <x:t xml:space="preserve">792</x:t>
  </x:si>
  <x:si>
    <x:t xml:space="preserve">17814271</x:t>
  </x:si>
  <x:si>
    <x:t xml:space="preserve">22830832</x:t>
  </x:si>
  <x:si>
    <x:t xml:space="preserve">2026-08-21 07:49:54</x:t>
  </x:si>
  <x:si>
    <x:t xml:space="preserve">694</x:t>
  </x:si>
  <x:si>
    <x:t xml:space="preserve">15598834</x:t>
  </x:si>
  <x:si>
    <x:t xml:space="preserve">22404409</x:t>
  </x:si>
  <x:si>
    <x:t xml:space="preserve">2026-06-19 14:46:29</x:t>
  </x:si>
  <x:si>
    <x:t xml:space="preserve">644</x:t>
  </x:si>
  <x:si>
    <x:t xml:space="preserve">59640347</x:t>
  </x:si>
  <x:si>
    <x:t xml:space="preserve">69341248</x:t>
  </x:si>
  <x:si>
    <x:t xml:space="preserve">2026-05-19 23:49:55</x:t>
  </x:si>
  <x:si>
    <x:t xml:space="preserve">631</x:t>
  </x:si>
  <x:si>
    <x:t xml:space="preserve">28188849</x:t>
  </x:si>
  <x:si>
    <x:t xml:space="preserve">69976556</x:t>
  </x:si>
  <x:si>
    <x:t xml:space="preserve">2026-05-06 21:44:55</x:t>
  </x:si>
  <x:si>
    <x:t xml:space="preserve">611</x:t>
  </x:si>
  <x:si>
    <x:t xml:space="preserve">17239808</x:t>
  </x:si>
  <x:si>
    <x:t xml:space="preserve">59263997</x:t>
  </x:si>
  <x:si>
    <x:t xml:space="preserve">2026-04-20 23:19:31</x:t>
  </x:si>
  <x:si>
    <x:t xml:space="preserve">671</x:t>
  </x:si>
  <x:si>
    <x:t xml:space="preserve">70501012</x:t>
  </x:si>
  <x:si>
    <x:t xml:space="preserve">81365322</x:t>
  </x:si>
  <x:si>
    <x:t xml:space="preserve">2026-06-06 18:50:33</x:t>
  </x:si>
  <x:si>
    <x:t xml:space="preserve">577</x:t>
  </x:si>
  <x:si>
    <x:t xml:space="preserve">23343427</x:t>
  </x:si>
  <x:si>
    <x:t xml:space="preserve">67546755</x:t>
  </x:si>
  <x:si>
    <x:t xml:space="preserve">2026-03-23 19:23:32</x:t>
  </x:si>
  <x:si>
    <x:t xml:space="preserve">809</x:t>
  </x:si>
  <x:si>
    <x:t xml:space="preserve">68880829</x:t>
  </x:si>
  <x:si>
    <x:t xml:space="preserve">84334156</x:t>
  </x:si>
  <x:si>
    <x:t xml:space="preserve">2026-08-28 16:55:35</x:t>
  </x:si>
  <x:si>
    <x:t xml:space="preserve">557</x:t>
  </x:si>
  <x:si>
    <x:t xml:space="preserve">11974172</x:t>
  </x:si>
  <x:si>
    <x:t xml:space="preserve">97817835</x:t>
  </x:si>
  <x:si>
    <x:t xml:space="preserve">2026-03-08 17:04:45</x:t>
  </x:si>
  <x:si>
    <x:t xml:space="preserve">659</x:t>
  </x:si>
  <x:si>
    <x:t xml:space="preserve">14312975</x:t>
  </x:si>
  <x:si>
    <x:t xml:space="preserve">97316471</x:t>
  </x:si>
  <x:si>
    <x:t xml:space="preserve">2026-06-01 13:31:33</x:t>
  </x:si>
  <x:si>
    <x:t xml:space="preserve">816</x:t>
  </x:si>
  <x:si>
    <x:t xml:space="preserve">23636032</x:t>
  </x:si>
  <x:si>
    <x:t xml:space="preserve">97844619</x:t>
  </x:si>
  <x:si>
    <x:t xml:space="preserve">2026-09-02 06:17:39</x:t>
  </x:si>
  <x:si>
    <x:t xml:space="preserve">790</x:t>
  </x:si>
  <x:si>
    <x:t xml:space="preserve">33763211</x:t>
  </x:si>
  <x:si>
    <x:t xml:space="preserve">36374359</x:t>
  </x:si>
  <x:si>
    <x:t xml:space="preserve">2026-08-20 18:32:57</x:t>
  </x:si>
  <x:si>
    <x:t xml:space="preserve">789</x:t>
  </x:si>
  <x:si>
    <x:t xml:space="preserve">53413022</x:t>
  </x:si>
  <x:si>
    <x:t xml:space="preserve">76794401</x:t>
  </x:si>
  <x:si>
    <x:t xml:space="preserve">2026-08-20 14:01:59</x:t>
  </x:si>
  <x:si>
    <x:t xml:space="preserve">315</x:t>
  </x:si>
  <x:si>
    <x:t xml:space="preserve">15911436</x:t>
  </x:si>
  <x:si>
    <x:t xml:space="preserve">94647969</x:t>
  </x:si>
  <x:si>
    <x:t xml:space="preserve">2025-10-07 22:53:37</x:t>
  </x:si>
  <x:si>
    <x:t xml:space="preserve">41</x:t>
  </x:si>
  <x:si>
    <x:t xml:space="preserve">32368732</x:t>
  </x:si>
  <x:si>
    <x:t xml:space="preserve">87042415</x:t>
  </x:si>
  <x:si>
    <x:t xml:space="preserve">2025-03-12 23:39:41</x:t>
  </x:si>
  <x:si>
    <x:t xml:space="preserve">2025-03-12 14:15:16</x:t>
  </x:si>
  <x:si>
    <x:t xml:space="preserve">444</x:t>
  </x:si>
  <x:si>
    <x:t xml:space="preserve">13433907</x:t>
  </x:si>
  <x:si>
    <x:t xml:space="preserve">75604585</x:t>
  </x:si>
  <x:si>
    <x:t xml:space="preserve">2025-12-19 12:11:22</x:t>
  </x:si>
  <x:si>
    <x:t xml:space="preserve">187</x:t>
  </x:si>
  <x:si>
    <x:t xml:space="preserve">52560589</x:t>
  </x:si>
  <x:si>
    <x:t xml:space="preserve">53804582</x:t>
  </x:si>
  <x:si>
    <x:t xml:space="preserve">2025-06-06 18:47:43</x:t>
  </x:si>
  <x:si>
    <x:t xml:space="preserve">517</x:t>
  </x:si>
  <x:si>
    <x:t xml:space="preserve">34651701</x:t>
  </x:si>
  <x:si>
    <x:t xml:space="preserve">57699073</x:t>
  </x:si>
  <x:si>
    <x:t xml:space="preserve">2026-02-06 17:52:29</x:t>
  </x:si>
  <x:si>
    <x:t xml:space="preserve">657</x:t>
  </x:si>
  <x:si>
    <x:t xml:space="preserve">32474339</x:t>
  </x:si>
  <x:si>
    <x:t xml:space="preserve">66343499</x:t>
  </x:si>
  <x:si>
    <x:t xml:space="preserve">2026-05-29 20:41:08</x:t>
  </x:si>
  <x:si>
    <x:t xml:space="preserve">534</x:t>
  </x:si>
  <x:si>
    <x:t xml:space="preserve">29693432</x:t>
  </x:si>
  <x:si>
    <x:t xml:space="preserve">53997812</x:t>
  </x:si>
  <x:si>
    <x:t xml:space="preserve">2026-02-16 15:20:28</x:t>
  </x:si>
  <x:si>
    <x:t xml:space="preserve">552</x:t>
  </x:si>
  <x:si>
    <x:t xml:space="preserve">28315237</x:t>
  </x:si>
  <x:si>
    <x:t xml:space="preserve">80232898</x:t>
  </x:si>
  <x:si>
    <x:t xml:space="preserve">2026-03-01 21:33:44</x:t>
  </x:si>
  <x:si>
    <x:t xml:space="preserve">387</x:t>
  </x:si>
  <x:si>
    <x:t xml:space="preserve">26859945</x:t>
  </x:si>
  <x:si>
    <x:t xml:space="preserve">53153997</x:t>
  </x:si>
  <x:si>
    <x:t xml:space="preserve">2025-11-16 22:34:18</x:t>
  </x:si>
  <x:si>
    <x:t xml:space="preserve">14</x:t>
  </x:si>
  <x:si>
    <x:t xml:space="preserve">35209595</x:t>
  </x:si>
  <x:si>
    <x:t xml:space="preserve">62404080</x:t>
  </x:si>
  <x:si>
    <x:t xml:space="preserve">2025-01-24 14:57:42</x:t>
  </x:si>
  <x:si>
    <x:t xml:space="preserve">18</x:t>
  </x:si>
  <x:si>
    <x:t xml:space="preserve">18266136</x:t>
  </x:si>
  <x:si>
    <x:t xml:space="preserve">90236149</x:t>
  </x:si>
  <x:si>
    <x:t xml:space="preserve">2025-01-26 02:24:07</x:t>
  </x:si>
  <x:si>
    <x:t xml:space="preserve">26</x:t>
  </x:si>
  <x:si>
    <x:t xml:space="preserve">19054903</x:t>
  </x:si>
  <x:si>
    <x:t xml:space="preserve">80523052</x:t>
  </x:si>
  <x:si>
    <x:t xml:space="preserve">2025-02-01 18:02:01</x:t>
  </x:si>
  <x:si>
    <x:t xml:space="preserve">38</x:t>
  </x:si>
  <x:si>
    <x:t xml:space="preserve">68334589</x:t>
  </x:si>
  <x:si>
    <x:t xml:space="preserve">97356907</x:t>
  </x:si>
  <x:si>
    <x:t xml:space="preserve">2025-02-21 20:04:18</x:t>
  </x:si>
  <x:si>
    <x:t xml:space="preserve">44</x:t>
  </x:si>
  <x:si>
    <x:t xml:space="preserve">68113666</x:t>
  </x:si>
  <x:si>
    <x:t xml:space="preserve">78540927</x:t>
  </x:si>
  <x:si>
    <x:t xml:space="preserve">2025-02-27 20:47:33</x:t>
  </x:si>
  <x:si>
    <x:t xml:space="preserve">69</x:t>
  </x:si>
  <x:si>
    <x:t xml:space="preserve">29462515</x:t>
  </x:si>
  <x:si>
    <x:t xml:space="preserve">85152308</x:t>
  </x:si>
  <x:si>
    <x:t xml:space="preserve">2025-03-06 03:20:17</x:t>
  </x:si>
  <x:si>
    <x:t xml:space="preserve">70</x:t>
  </x:si>
  <x:si>
    <x:t xml:space="preserve">32378446</x:t>
  </x:si>
  <x:si>
    <x:t xml:space="preserve">99238004</x:t>
  </x:si>
  <x:si>
    <x:t xml:space="preserve">2025-03-08 21:17:40</x:t>
  </x:si>
  <x:si>
    <x:t xml:space="preserve">72</x:t>
  </x:si>
  <x:si>
    <x:t xml:space="preserve">27079008</x:t>
  </x:si>
  <x:si>
    <x:t xml:space="preserve">96394272</x:t>
  </x:si>
  <x:si>
    <x:t xml:space="preserve">2025-03-09 18:57:21</x:t>
  </x:si>
  <x:si>
    <x:t xml:space="preserve">75</x:t>
  </x:si>
  <x:si>
    <x:t xml:space="preserve">29377463</x:t>
  </x:si>
  <x:si>
    <x:t xml:space="preserve">90764710</x:t>
  </x:si>
  <x:si>
    <x:t xml:space="preserve">2025-03-10 17:33:11</x:t>
  </x:si>
  <x:si>
    <x:t xml:space="preserve">87</x:t>
  </x:si>
  <x:si>
    <x:t xml:space="preserve">13489837</x:t>
  </x:si>
  <x:si>
    <x:t xml:space="preserve">57961612</x:t>
  </x:si>
  <x:si>
    <x:t xml:space="preserve">2025-03-17 09:29:58</x:t>
  </x:si>
  <x:si>
    <x:t xml:space="preserve">88</x:t>
  </x:si>
  <x:si>
    <x:t xml:space="preserve">58659004</x:t>
  </x:si>
  <x:si>
    <x:t xml:space="preserve">81500118</x:t>
  </x:si>
  <x:si>
    <x:t xml:space="preserve">2025-03-19 17:31:17</x:t>
  </x:si>
  <x:si>
    <x:t xml:space="preserve">91</x:t>
  </x:si>
  <x:si>
    <x:t xml:space="preserve">35055884</x:t>
  </x:si>
  <x:si>
    <x:t xml:space="preserve">86138420</x:t>
  </x:si>
  <x:si>
    <x:t xml:space="preserve">2025-03-22 18:50:27</x:t>
  </x:si>
  <x:si>
    <x:t xml:space="preserve">119</x:t>
  </x:si>
  <x:si>
    <x:t xml:space="preserve">10138648</x:t>
  </x:si>
  <x:si>
    <x:t xml:space="preserve">22882767</x:t>
  </x:si>
  <x:si>
    <x:t xml:space="preserve">2025-04-08 19:28:21</x:t>
  </x:si>
  <x:si>
    <x:t xml:space="preserve">121</x:t>
  </x:si>
  <x:si>
    <x:t xml:space="preserve">14606427</x:t>
  </x:si>
  <x:si>
    <x:t xml:space="preserve">43449462</x:t>
  </x:si>
  <x:si>
    <x:t xml:space="preserve">2025-04-12 22:22:55</x:t>
  </x:si>
  <x:si>
    <x:t xml:space="preserve">130</x:t>
  </x:si>
  <x:si>
    <x:t xml:space="preserve">90846812</x:t>
  </x:si>
  <x:si>
    <x:t xml:space="preserve">92414606</x:t>
  </x:si>
  <x:si>
    <x:t xml:space="preserve">2025-04-18 22:36:52</x:t>
  </x:si>
  <x:si>
    <x:t xml:space="preserve">137</x:t>
  </x:si>
  <x:si>
    <x:t xml:space="preserve">26914517</x:t>
  </x:si>
  <x:si>
    <x:t xml:space="preserve">93424710</x:t>
  </x:si>
  <x:si>
    <x:t xml:space="preserve">2025-04-28 00:13:39</x:t>
  </x:si>
  <x:si>
    <x:t xml:space="preserve">168</x:t>
  </x:si>
  <x:si>
    <x:t xml:space="preserve">21598630</x:t>
  </x:si>
  <x:si>
    <x:t xml:space="preserve">58566182</x:t>
  </x:si>
  <x:si>
    <x:t xml:space="preserve">2025-05-24 22:10:27</x:t>
  </x:si>
  <x:si>
    <x:t xml:space="preserve">169</x:t>
  </x:si>
  <x:si>
    <x:t xml:space="preserve">17654136</x:t>
  </x:si>
  <x:si>
    <x:t xml:space="preserve">66922313</x:t>
  </x:si>
  <x:si>
    <x:t xml:space="preserve">2025-05-25 21:28:24</x:t>
  </x:si>
  <x:si>
    <x:t xml:space="preserve">189</x:t>
  </x:si>
  <x:si>
    <x:t xml:space="preserve">39879268</x:t>
  </x:si>
  <x:si>
    <x:t xml:space="preserve">79634094</x:t>
  </x:si>
  <x:si>
    <x:t xml:space="preserve">2025-06-09 21:45:14</x:t>
  </x:si>
  <x:si>
    <x:t xml:space="preserve">194</x:t>
  </x:si>
  <x:si>
    <x:t xml:space="preserve">71086141</x:t>
  </x:si>
  <x:si>
    <x:t xml:space="preserve">94942746</x:t>
  </x:si>
  <x:si>
    <x:t xml:space="preserve">2025-06-16 12:58:41</x:t>
  </x:si>
  <x:si>
    <x:t xml:space="preserve">195</x:t>
  </x:si>
  <x:si>
    <x:t xml:space="preserve">52367248</x:t>
  </x:si>
  <x:si>
    <x:t xml:space="preserve">78091569</x:t>
  </x:si>
  <x:si>
    <x:t xml:space="preserve">2025-06-16 14:35:45</x:t>
  </x:si>
  <x:si>
    <x:t xml:space="preserve">204</x:t>
  </x:si>
  <x:si>
    <x:t xml:space="preserve">27805977</x:t>
  </x:si>
  <x:si>
    <x:t xml:space="preserve">94155851</x:t>
  </x:si>
  <x:si>
    <x:t xml:space="preserve">2025-06-25 17:58:15</x:t>
  </x:si>
  <x:si>
    <x:t xml:space="preserve">207</x:t>
  </x:si>
  <x:si>
    <x:t xml:space="preserve">68977240</x:t>
  </x:si>
  <x:si>
    <x:t xml:space="preserve">88336543</x:t>
  </x:si>
  <x:si>
    <x:t xml:space="preserve">2025-07-01 11:18:15</x:t>
  </x:si>
  <x:si>
    <x:t xml:space="preserve">217</x:t>
  </x:si>
  <x:si>
    <x:t xml:space="preserve">29767721</x:t>
  </x:si>
  <x:si>
    <x:t xml:space="preserve">96394853</x:t>
  </x:si>
  <x:si>
    <x:t xml:space="preserve">2025-07-13 22:20:36</x:t>
  </x:si>
  <x:si>
    <x:t xml:space="preserve">218</x:t>
  </x:si>
  <x:si>
    <x:t xml:space="preserve">50182391</x:t>
  </x:si>
  <x:si>
    <x:t xml:space="preserve">58034185</x:t>
  </x:si>
  <x:si>
    <x:t xml:space="preserve">2025-07-15 17:09:26</x:t>
  </x:si>
  <x:si>
    <x:t xml:space="preserve">221</x:t>
  </x:si>
  <x:si>
    <x:t xml:space="preserve">75622913</x:t>
  </x:si>
  <x:si>
    <x:t xml:space="preserve">81321817</x:t>
  </x:si>
  <x:si>
    <x:t xml:space="preserve">2025-07-16 21:46:05</x:t>
  </x:si>
  <x:si>
    <x:t xml:space="preserve">233</x:t>
  </x:si>
  <x:si>
    <x:t xml:space="preserve">54161824</x:t>
  </x:si>
  <x:si>
    <x:t xml:space="preserve">65313425</x:t>
  </x:si>
  <x:si>
    <x:t xml:space="preserve">2025-07-31 21:09:01</x:t>
  </x:si>
  <x:si>
    <x:t xml:space="preserve">241</x:t>
  </x:si>
  <x:si>
    <x:t xml:space="preserve">51743581</x:t>
  </x:si>
  <x:si>
    <x:t xml:space="preserve">83194783</x:t>
  </x:si>
  <x:si>
    <x:t xml:space="preserve">2025-08-06 12:40:09</x:t>
  </x:si>
  <x:si>
    <x:t xml:space="preserve">249</x:t>
  </x:si>
  <x:si>
    <x:t xml:space="preserve">11612607</x:t>
  </x:si>
  <x:si>
    <x:t xml:space="preserve">64266974</x:t>
  </x:si>
  <x:si>
    <x:t xml:space="preserve">2025-08-13 23:44:44</x:t>
  </x:si>
  <x:si>
    <x:t xml:space="preserve">275</x:t>
  </x:si>
  <x:si>
    <x:t xml:space="preserve">10379733</x:t>
  </x:si>
  <x:si>
    <x:t xml:space="preserve">88673156</x:t>
  </x:si>
  <x:si>
    <x:t xml:space="preserve">2025-09-06 02:20:47</x:t>
  </x:si>
  <x:si>
    <x:t xml:space="preserve">278</x:t>
  </x:si>
  <x:si>
    <x:t xml:space="preserve">39388902</x:t>
  </x:si>
  <x:si>
    <x:t xml:space="preserve">82092709</x:t>
  </x:si>
  <x:si>
    <x:t xml:space="preserve">2025-09-06 23:51:07</x:t>
  </x:si>
  <x:si>
    <x:t xml:space="preserve">299</x:t>
  </x:si>
  <x:si>
    <x:t xml:space="preserve">16561631</x:t>
  </x:si>
  <x:si>
    <x:t xml:space="preserve">42178764</x:t>
  </x:si>
  <x:si>
    <x:t xml:space="preserve">2025-09-23 22:55:46</x:t>
  </x:si>
  <x:si>
    <x:t xml:space="preserve">304</x:t>
  </x:si>
  <x:si>
    <x:t xml:space="preserve">18145726</x:t>
  </x:si>
  <x:si>
    <x:t xml:space="preserve">58463752</x:t>
  </x:si>
  <x:si>
    <x:t xml:space="preserve">2025-09-30 23:20:29</x:t>
  </x:si>
  <x:si>
    <x:t xml:space="preserve">320</x:t>
  </x:si>
  <x:si>
    <x:t xml:space="preserve">29959353</x:t>
  </x:si>
  <x:si>
    <x:t xml:space="preserve">36219041</x:t>
  </x:si>
  <x:si>
    <x:t xml:space="preserve">2025-10-13 22:07:50</x:t>
  </x:si>
  <x:si>
    <x:t xml:space="preserve">323</x:t>
  </x:si>
  <x:si>
    <x:t xml:space="preserve">29224255</x:t>
  </x:si>
  <x:si>
    <x:t xml:space="preserve">47319225</x:t>
  </x:si>
  <x:si>
    <x:t xml:space="preserve">2025-10-14 08:35:48</x:t>
  </x:si>
  <x:si>
    <x:t xml:space="preserve">335</x:t>
  </x:si>
  <x:si>
    <x:t xml:space="preserve">40353521</x:t>
  </x:si>
  <x:si>
    <x:t xml:space="preserve">57616712</x:t>
  </x:si>
  <x:si>
    <x:t xml:space="preserve">2025-10-21 23:26:30</x:t>
  </x:si>
  <x:si>
    <x:t xml:space="preserve">341</x:t>
  </x:si>
  <x:si>
    <x:t xml:space="preserve">41396590</x:t>
  </x:si>
  <x:si>
    <x:t xml:space="preserve">66493995</x:t>
  </x:si>
  <x:si>
    <x:t xml:space="preserve">2025-10-24 20:50:51</x:t>
  </x:si>
  <x:si>
    <x:t xml:space="preserve">343</x:t>
  </x:si>
  <x:si>
    <x:t xml:space="preserve">38001840</x:t>
  </x:si>
  <x:si>
    <x:t xml:space="preserve">68223610</x:t>
  </x:si>
  <x:si>
    <x:t xml:space="preserve">2025-10-26 18:23:19</x:t>
  </x:si>
  <x:si>
    <x:t xml:space="preserve">344</x:t>
  </x:si>
  <x:si>
    <x:t xml:space="preserve">62440012</x:t>
  </x:si>
  <x:si>
    <x:t xml:space="preserve">64493838</x:t>
  </x:si>
  <x:si>
    <x:t xml:space="preserve">2025-10-27 23:07:52</x:t>
  </x:si>
  <x:si>
    <x:t xml:space="preserve">345</x:t>
  </x:si>
  <x:si>
    <x:t xml:space="preserve">46574150</x:t>
  </x:si>
  <x:si>
    <x:t xml:space="preserve">47942361</x:t>
  </x:si>
  <x:si>
    <x:t xml:space="preserve">2025-10-30 06:37:38</x:t>
  </x:si>
  <x:si>
    <x:t xml:space="preserve">348</x:t>
  </x:si>
  <x:si>
    <x:t xml:space="preserve">50657143</x:t>
  </x:si>
  <x:si>
    <x:t xml:space="preserve">67946877</x:t>
  </x:si>
  <x:si>
    <x:t xml:space="preserve">2025-10-30 20:44:15</x:t>
  </x:si>
  <x:si>
    <x:t xml:space="preserve">349</x:t>
  </x:si>
  <x:si>
    <x:t xml:space="preserve">16363025</x:t>
  </x:si>
  <x:si>
    <x:t xml:space="preserve">31427303</x:t>
  </x:si>
  <x:si>
    <x:t xml:space="preserve">2025-10-31 18:37:29</x:t>
  </x:si>
  <x:si>
    <x:t xml:space="preserve">350</x:t>
  </x:si>
  <x:si>
    <x:t xml:space="preserve">23123285</x:t>
  </x:si>
  <x:si>
    <x:t xml:space="preserve">81399171</x:t>
  </x:si>
  <x:si>
    <x:t xml:space="preserve">2025-11-01 04:12:40</x:t>
  </x:si>
  <x:si>
    <x:t xml:space="preserve">355</x:t>
  </x:si>
  <x:si>
    <x:t xml:space="preserve">45216566</x:t>
  </x:si>
  <x:si>
    <x:t xml:space="preserve">98793909</x:t>
  </x:si>
  <x:si>
    <x:t xml:space="preserve">2025-11-01 12:44:48</x:t>
  </x:si>
  <x:si>
    <x:t xml:space="preserve">370</x:t>
  </x:si>
  <x:si>
    <x:t xml:space="preserve">40149724</x:t>
  </x:si>
  <x:si>
    <x:t xml:space="preserve">53976354</x:t>
  </x:si>
  <x:si>
    <x:t xml:space="preserve">2025-11-09 14:44:13</x:t>
  </x:si>
  <x:si>
    <x:t xml:space="preserve">373</x:t>
  </x:si>
  <x:si>
    <x:t xml:space="preserve">32759655</x:t>
  </x:si>
  <x:si>
    <x:t xml:space="preserve">38052280</x:t>
  </x:si>
  <x:si>
    <x:t xml:space="preserve">2025-11-10 02:16:04</x:t>
  </x:si>
  <x:si>
    <x:t xml:space="preserve">385</x:t>
  </x:si>
  <x:si>
    <x:t xml:space="preserve">23745143</x:t>
  </x:si>
  <x:si>
    <x:t xml:space="preserve">37208507</x:t>
  </x:si>
  <x:si>
    <x:t xml:space="preserve">2025-11-16 08:28:40</x:t>
  </x:si>
  <x:si>
    <x:t xml:space="preserve">410</x:t>
  </x:si>
  <x:si>
    <x:t xml:space="preserve">79421605</x:t>
  </x:si>
  <x:si>
    <x:t xml:space="preserve">81584516</x:t>
  </x:si>
  <x:si>
    <x:t xml:space="preserve">2025-12-02 20:06:40</x:t>
  </x:si>
  <x:si>
    <x:t xml:space="preserve">411</x:t>
  </x:si>
  <x:si>
    <x:t xml:space="preserve">53845076</x:t>
  </x:si>
  <x:si>
    <x:t xml:space="preserve">70781334</x:t>
  </x:si>
  <x:si>
    <x:t xml:space="preserve">2025-12-03 14:01:12</x:t>
  </x:si>
  <x:si>
    <x:t xml:space="preserve">422</x:t>
  </x:si>
  <x:si>
    <x:t xml:space="preserve">26938232</x:t>
  </x:si>
  <x:si>
    <x:t xml:space="preserve">93257213</x:t>
  </x:si>
  <x:si>
    <x:t xml:space="preserve">2025-12-07 20:11:06</x:t>
  </x:si>
  <x:si>
    <x:t xml:space="preserve">435</x:t>
  </x:si>
  <x:si>
    <x:t xml:space="preserve">55641318</x:t>
  </x:si>
  <x:si>
    <x:t xml:space="preserve">72392838</x:t>
  </x:si>
  <x:si>
    <x:t xml:space="preserve">2025-12-14 21:25:02</x:t>
  </x:si>
  <x:si>
    <x:t xml:space="preserve">440</x:t>
  </x:si>
  <x:si>
    <x:t xml:space="preserve">28559780</x:t>
  </x:si>
  <x:si>
    <x:t xml:space="preserve">78277603</x:t>
  </x:si>
  <x:si>
    <x:t xml:space="preserve">2025-12-16 16:57:44</x:t>
  </x:si>
  <x:si>
    <x:t xml:space="preserve">446</x:t>
  </x:si>
  <x:si>
    <x:t xml:space="preserve">27707111</x:t>
  </x:si>
  <x:si>
    <x:t xml:space="preserve">74166637</x:t>
  </x:si>
  <x:si>
    <x:t xml:space="preserve">2025-12-20 22:21:14</x:t>
  </x:si>
  <x:si>
    <x:t xml:space="preserve">455</x:t>
  </x:si>
  <x:si>
    <x:t xml:space="preserve">28662472</x:t>
  </x:si>
  <x:si>
    <x:t xml:space="preserve">73792958</x:t>
  </x:si>
  <x:si>
    <x:t xml:space="preserve">2026-01-01 06:42:45</x:t>
  </x:si>
  <x:si>
    <x:t xml:space="preserve">471</x:t>
  </x:si>
  <x:si>
    <x:t xml:space="preserve">11711559</x:t>
  </x:si>
  <x:si>
    <x:t xml:space="preserve">44786576</x:t>
  </x:si>
  <x:si>
    <x:t xml:space="preserve">2026-01-06 11:14:38</x:t>
  </x:si>
  <x:si>
    <x:t xml:space="preserve">485</x:t>
  </x:si>
  <x:si>
    <x:t xml:space="preserve">22360794</x:t>
  </x:si>
  <x:si>
    <x:t xml:space="preserve">86914724</x:t>
  </x:si>
  <x:si>
    <x:t xml:space="preserve">2026-01-16 04:51:39</x:t>
  </x:si>
  <x:si>
    <x:t xml:space="preserve">486</x:t>
  </x:si>
  <x:si>
    <x:t xml:space="preserve">36555009</x:t>
  </x:si>
  <x:si>
    <x:t xml:space="preserve">38455811</x:t>
  </x:si>
  <x:si>
    <x:t xml:space="preserve">2026-01-16 09:25:02</x:t>
  </x:si>
  <x:si>
    <x:t xml:space="preserve">502</x:t>
  </x:si>
  <x:si>
    <x:t xml:space="preserve">56093200</x:t>
  </x:si>
  <x:si>
    <x:t xml:space="preserve">82923059</x:t>
  </x:si>
  <x:si>
    <x:t xml:space="preserve">2026-01-27 19:18:10</x:t>
  </x:si>
  <x:si>
    <x:t xml:space="preserve">503</x:t>
  </x:si>
  <x:si>
    <x:t xml:space="preserve">69345676</x:t>
  </x:si>
  <x:si>
    <x:t xml:space="preserve">80763917</x:t>
  </x:si>
  <x:si>
    <x:t xml:space="preserve">2026-01-27 21:30:03</x:t>
  </x:si>
  <x:si>
    <x:t xml:space="preserve">512</x:t>
  </x:si>
  <x:si>
    <x:t xml:space="preserve">51563137</x:t>
  </x:si>
  <x:si>
    <x:t xml:space="preserve">67377061</x:t>
  </x:si>
  <x:si>
    <x:t xml:space="preserve">2026-02-03 21:27:02</x:t>
  </x:si>
  <x:si>
    <x:t xml:space="preserve">523</x:t>
  </x:si>
  <x:si>
    <x:t xml:space="preserve">23641160</x:t>
  </x:si>
  <x:si>
    <x:t xml:space="preserve">85529444</x:t>
  </x:si>
  <x:si>
    <x:t xml:space="preserve">2026-02-12 07:42:20</x:t>
  </x:si>
  <x:si>
    <x:t xml:space="preserve">537</x:t>
  </x:si>
  <x:si>
    <x:t xml:space="preserve">19187312</x:t>
  </x:si>
  <x:si>
    <x:t xml:space="preserve">32199514</x:t>
  </x:si>
  <x:si>
    <x:t xml:space="preserve">2026-02-16 19:04:53</x:t>
  </x:si>
  <x:si>
    <x:t xml:space="preserve">546</x:t>
  </x:si>
  <x:si>
    <x:t xml:space="preserve">19479169</x:t>
  </x:si>
  <x:si>
    <x:t xml:space="preserve">46603261</x:t>
  </x:si>
  <x:si>
    <x:t xml:space="preserve">2026-02-28 21:58:00</x:t>
  </x:si>
  <x:si>
    <x:t xml:space="preserve">551</x:t>
  </x:si>
  <x:si>
    <x:t xml:space="preserve">24434868</x:t>
  </x:si>
  <x:si>
    <x:t xml:space="preserve">55508150</x:t>
  </x:si>
  <x:si>
    <x:t xml:space="preserve">2026-03-01 19:19:54</x:t>
  </x:si>
  <x:si>
    <x:t xml:space="preserve">564</x:t>
  </x:si>
  <x:si>
    <x:t xml:space="preserve">66237651</x:t>
  </x:si>
  <x:si>
    <x:t xml:space="preserve">73753490</x:t>
  </x:si>
  <x:si>
    <x:t xml:space="preserve">2026-03-14 19:57:32</x:t>
  </x:si>
  <x:si>
    <x:t xml:space="preserve">597</x:t>
  </x:si>
  <x:si>
    <x:t xml:space="preserve">27235979</x:t>
  </x:si>
  <x:si>
    <x:t xml:space="preserve">93955872</x:t>
  </x:si>
  <x:si>
    <x:t xml:space="preserve">2026-04-09 23:56:54</x:t>
  </x:si>
  <x:si>
    <x:t xml:space="preserve">600</x:t>
  </x:si>
  <x:si>
    <x:t xml:space="preserve">81905619</x:t>
  </x:si>
  <x:si>
    <x:t xml:space="preserve">92471280</x:t>
  </x:si>
  <x:si>
    <x:t xml:space="preserve">2026-04-12 00:05:07</x:t>
  </x:si>
  <x:si>
    <x:t xml:space="preserve">621</x:t>
  </x:si>
  <x:si>
    <x:t xml:space="preserve">65925248</x:t>
  </x:si>
  <x:si>
    <x:t xml:space="preserve">87795449</x:t>
  </x:si>
  <x:si>
    <x:t xml:space="preserve">2026-04-30 16:45:29</x:t>
  </x:si>
  <x:si>
    <x:t xml:space="preserve">160</x:t>
  </x:si>
  <x:si>
    <x:t xml:space="preserve">55125828</x:t>
  </x:si>
  <x:si>
    <x:t xml:space="preserve">63870971</x:t>
  </x:si>
  <x:si>
    <x:t xml:space="preserve">已离婚</x:t>
  </x:si>
  <x:si>
    <x:t xml:space="preserve">2025-05-18 00:02:49</x:t>
  </x:si>
  <x:si>
    <x:t xml:space="preserve">2025-05-21 10:33:55</x:t>
  </x:si>
  <x:si>
    <x:t xml:space="preserve">19</x:t>
  </x:si>
  <x:si>
    <x:t xml:space="preserve">25155236</x:t>
  </x:si>
  <x:si>
    <x:t xml:space="preserve">67220080</x:t>
  </x:si>
  <x:si>
    <x:t xml:space="preserve">2025-01-26 20:02:50</x:t>
  </x:si>
  <x:si>
    <x:t xml:space="preserve">2025-07-16 18:44:26</x:t>
  </x:si>
  <x:si>
    <x:t xml:space="preserve">311</x:t>
  </x:si>
  <x:si>
    <x:t xml:space="preserve">73618120</x:t>
  </x:si>
  <x:si>
    <x:t xml:space="preserve">2025-10-05 11:40:15</x:t>
  </x:si>
  <x:si>
    <x:t xml:space="preserve">2026-06-18 02:04:00</x:t>
  </x:si>
  <x:si>
    <x:t xml:space="preserve">404</x:t>
  </x:si>
  <x:si>
    <x:t xml:space="preserve">17681731</x:t>
  </x:si>
  <x:si>
    <x:t xml:space="preserve">55543926</x:t>
  </x:si>
  <x:si>
    <x:t xml:space="preserve">2026-02-16 02:39:28</x:t>
  </x:si>
  <x:si>
    <x:t xml:space="preserve">2026-02-20 12:31:04</x:t>
  </x:si>
  <x:si>
    <x:t xml:space="preserve">57</x:t>
  </x:si>
  <x:si>
    <x:t xml:space="preserve">80937486</x:t>
  </x:si>
  <x:si>
    <x:t xml:space="preserve">98447705</x:t>
  </x:si>
  <x:si>
    <x:t xml:space="preserve">2025-03-06 00:55:19</x:t>
  </x:si>
  <x:si>
    <x:t xml:space="preserve">2025-04-07 08:10:02</x:t>
  </x:si>
  <x:si>
    <x:t xml:space="preserve">264</x:t>
  </x:si>
  <x:si>
    <x:t xml:space="preserve">2025-11-10 22:03:11</x:t>
  </x:si>
  <x:si>
    <x:t xml:space="preserve">2025-11-23 15:21:56</x:t>
  </x:si>
  <x:si>
    <x:t xml:space="preserve">93</x:t>
  </x:si>
  <x:si>
    <x:t xml:space="preserve">59071921</x:t>
  </x:si>
  <x:si>
    <x:t xml:space="preserve">90268149</x:t>
  </x:si>
  <x:si>
    <x:t xml:space="preserve">2025-05-06 09:38:28</x:t>
  </x:si>
  <x:si>
    <x:t xml:space="preserve">2025-05-09 02:04:32</x:t>
  </x:si>
  <x:si>
    <x:t xml:space="preserve">21</x:t>
  </x:si>
  <x:si>
    <x:t xml:space="preserve">82973642</x:t>
  </x:si>
  <x:si>
    <x:t xml:space="preserve">96711161</x:t>
  </x:si>
  <x:si>
    <x:t xml:space="preserve">2025-01-30 14:25:46</x:t>
  </x:si>
  <x:si>
    <x:t xml:space="preserve">2025-04-01 11:11:34</x:t>
  </x:si>
  <x:si>
    <x:t xml:space="preserve">743</x:t>
  </x:si>
  <x:si>
    <x:t xml:space="preserve">73586203</x:t>
  </x:si>
  <x:si>
    <x:t xml:space="preserve">90427237</x:t>
  </x:si>
  <x:si>
    <x:t xml:space="preserve">2026-07-30 06:58:54</x:t>
  </x:si>
  <x:si>
    <x:t xml:space="preserve">2026-07-30 08:53:46</x:t>
  </x:si>
  <x:si>
    <x:t xml:space="preserve">123</x:t>
  </x:si>
  <x:si>
    <x:t xml:space="preserve">42694047</x:t>
  </x:si>
  <x:si>
    <x:t xml:space="preserve">60298535</x:t>
  </x:si>
  <x:si>
    <x:t xml:space="preserve">2025-04-14 19:29:13</x:t>
  </x:si>
  <x:si>
    <x:t xml:space="preserve">2026-02-18 00:48:26</x:t>
  </x:si>
  <x:si>
    <x:t xml:space="preserve">605</x:t>
  </x:si>
  <x:si>
    <x:t xml:space="preserve">76533912</x:t>
  </x:si>
  <x:si>
    <x:t xml:space="preserve">2026-04-16 14:57:01</x:t>
  </x:si>
  <x:si>
    <x:t xml:space="preserve">2026-08-05 19:18:07</x:t>
  </x:si>
  <x:si>
    <x:t xml:space="preserve">561</x:t>
  </x:si>
  <x:si>
    <x:t xml:space="preserve">19380113</x:t>
  </x:si>
  <x:si>
    <x:t xml:space="preserve">25176964</x:t>
  </x:si>
  <x:si>
    <x:t xml:space="preserve">2026-08-09 04:40:00</x:t>
  </x:si>
  <x:si>
    <x:t xml:space="preserve">2026-08-27 10:39:28</x:t>
  </x:si>
  <x:si>
    <x:t xml:space="preserve">457</x:t>
  </x:si>
  <x:si>
    <x:t xml:space="preserve">74767147</x:t>
  </x:si>
  <x:si>
    <x:t xml:space="preserve">2026-01-19 20:20:30</x:t>
  </x:si>
  <x:si>
    <x:t xml:space="preserve">2026-02-14 15:35:31</x:t>
  </x:si>
  <x:si>
    <x:t xml:space="preserve">540</x:t>
  </x:si>
  <x:si>
    <x:t xml:space="preserve">33065739</x:t>
  </x:si>
  <x:si>
    <x:t xml:space="preserve">2026-02-19 01:12:09</x:t>
  </x:si>
  <x:si>
    <x:t xml:space="preserve">2026-04-17 21:17:41</x:t>
  </x:si>
  <x:si>
    <x:t xml:space="preserve">289</x:t>
  </x:si>
  <x:si>
    <x:t xml:space="preserve">26349570</x:t>
  </x:si>
  <x:si>
    <x:t xml:space="preserve">59568524</x:t>
  </x:si>
  <x:si>
    <x:t xml:space="preserve">2026-04-17 20:35:51</x:t>
  </x:si>
  <x:si>
    <x:t xml:space="preserve">2026-04-17 21:45:49</x:t>
  </x:si>
  <x:si>
    <x:t xml:space="preserve">394</x:t>
  </x:si>
  <x:si>
    <x:t xml:space="preserve">67977443</x:t>
  </x:si>
  <x:si>
    <x:t xml:space="preserve">96334480</x:t>
  </x:si>
  <x:si>
    <x:t xml:space="preserve">2025-11-21 23:26:43</x:t>
  </x:si>
  <x:si>
    <x:t xml:space="preserve">2026-05-14 20:55:35</x:t>
  </x:si>
  <x:si>
    <x:t xml:space="preserve">36</x:t>
  </x:si>
  <x:si>
    <x:t xml:space="preserve">10471605</x:t>
  </x:si>
  <x:si>
    <x:t xml:space="preserve">17437872</x:t>
  </x:si>
  <x:si>
    <x:t xml:space="preserve">2025-06-28 11:02:18</x:t>
  </x:si>
  <x:si>
    <x:t xml:space="preserve">2025-11-24 15:24:26</x:t>
  </x:si>
  <x:si>
    <x:t xml:space="preserve">3</x:t>
  </x:si>
  <x:si>
    <x:t xml:space="preserve">54702668</x:t>
  </x:si>
  <x:si>
    <x:t xml:space="preserve">2025-01-12 11:16:17</x:t>
  </x:si>
  <x:si>
    <x:t xml:space="preserve">2025-01-30 13:58:56</x:t>
  </x:si>
  <x:si>
    <x:t xml:space="preserve">449</x:t>
  </x:si>
  <x:si>
    <x:t xml:space="preserve">34965203</x:t>
  </x:si>
  <x:si>
    <x:t xml:space="preserve">2025-12-23 15:59:47</x:t>
  </x:si>
  <x:si>
    <x:t xml:space="preserve">2026-04-06 15:21:54</x:t>
  </x:si>
  <x:si>
    <x:t xml:space="preserve">143</x:t>
  </x:si>
  <x:si>
    <x:t xml:space="preserve">41943866</x:t>
  </x:si>
  <x:si>
    <x:t xml:space="preserve">47336199</x:t>
  </x:si>
  <x:si>
    <x:t xml:space="preserve">2025-04-29 22:10:41</x:t>
  </x:si>
  <x:si>
    <x:t xml:space="preserve">2026-03-28 21:06:32</x:t>
  </x:si>
  <x:si>
    <x:t xml:space="preserve">145</x:t>
  </x:si>
  <x:si>
    <x:t xml:space="preserve">31567480</x:t>
  </x:si>
  <x:si>
    <x:t xml:space="preserve">68879911</x:t>
  </x:si>
  <x:si>
    <x:t xml:space="preserve">2025-05-03 10:32:56</x:t>
  </x:si>
  <x:si>
    <x:t xml:space="preserve">2025-07-19 03:09:46</x:t>
  </x:si>
  <x:si>
    <x:t xml:space="preserve">173</x:t>
  </x:si>
  <x:si>
    <x:t xml:space="preserve">12339430</x:t>
  </x:si>
  <x:si>
    <x:t xml:space="preserve">52916159</x:t>
  </x:si>
  <x:si>
    <x:t xml:space="preserve">2025-05-30 18:12:32</x:t>
  </x:si>
  <x:si>
    <x:t xml:space="preserve">2026-08-27 21:38:49</x:t>
  </x:si>
  <x:si>
    <x:t xml:space="preserve">259</x:t>
  </x:si>
  <x:si>
    <x:t xml:space="preserve">2025-08-23 16:30:03</x:t>
  </x:si>
  <x:si>
    <x:t xml:space="preserve">2025-10-31 18:33:30</x:t>
  </x:si>
  <x:si>
    <x:t xml:space="preserve">212</x:t>
  </x:si>
  <x:si>
    <x:t xml:space="preserve">90730391</x:t>
  </x:si>
  <x:si>
    <x:t xml:space="preserve">2025-09-22 13:49:42</x:t>
  </x:si>
  <x:si>
    <x:t xml:space="preserve">2025-09-29 08:42:11</x:t>
  </x:si>
  <x:si>
    <x:t xml:space="preserve">813</x:t>
  </x:si>
  <x:si>
    <x:t xml:space="preserve">45932928</x:t>
  </x:si>
  <x:si>
    <x:t xml:space="preserve">70623566</x:t>
  </x:si>
  <x:si>
    <x:t xml:space="preserve">2026-08-29 18:08:02</x:t>
  </x:si>
  <x:si>
    <x:t xml:space="preserve">2026-08-29 19:26:43</x:t>
  </x:si>
  <x:si>
    <x:t xml:space="preserve">12</x:t>
  </x:si>
  <x:si>
    <x:t xml:space="preserve">44473819</x:t>
  </x:si>
  <x:si>
    <x:t xml:space="preserve">2025-06-21 17:10:45</x:t>
  </x:si>
  <x:si>
    <x:t xml:space="preserve">2025-10-08 10:50:16</x:t>
  </x:si>
  <x:si>
    <x:t xml:space="preserve">284</x:t>
  </x:si>
  <x:si>
    <x:t xml:space="preserve">15970810</x:t>
  </x:si>
  <x:si>
    <x:t xml:space="preserve">40387821</x:t>
  </x:si>
  <x:si>
    <x:t xml:space="preserve">2025-09-11 13:54:38</x:t>
  </x:si>
  <x:si>
    <x:t xml:space="preserve">2025-09-13 20:28:10</x:t>
  </x:si>
  <x:si>
    <x:t xml:space="preserve">393</x:t>
  </x:si>
  <x:si>
    <x:t xml:space="preserve">2025-12-12 01:07:56</x:t>
  </x:si>
  <x:si>
    <x:t xml:space="preserve">2025-12-19 00:40:58</x:t>
  </x:si>
  <x:si>
    <x:t xml:space="preserve">307</x:t>
  </x:si>
  <x:si>
    <x:t xml:space="preserve">28249951</x:t>
  </x:si>
  <x:si>
    <x:t xml:space="preserve">47045617</x:t>
  </x:si>
  <x:si>
    <x:t xml:space="preserve">2025-10-02 19:33:54</x:t>
  </x:si>
  <x:si>
    <x:t xml:space="preserve">2026-01-01 14:55:41</x:t>
  </x:si>
  <x:si>
    <x:t xml:space="preserve">563</x:t>
  </x:si>
  <x:si>
    <x:t xml:space="preserve">73156107</x:t>
  </x:si>
  <x:si>
    <x:t xml:space="preserve">93847729</x:t>
  </x:si>
  <x:si>
    <x:t xml:space="preserve">2026-03-13 21:35:22</x:t>
  </x:si>
  <x:si>
    <x:t xml:space="preserve">2026-08-31 09:32:32</x:t>
  </x:si>
  <x:si>
    <x:t xml:space="preserve">64</x:t>
  </x:si>
  <x:si>
    <x:t xml:space="preserve">25146527</x:t>
  </x:si>
  <x:si>
    <x:t xml:space="preserve">95026424</x:t>
  </x:si>
  <x:si>
    <x:t xml:space="preserve">2025-03-06 01:40:33</x:t>
  </x:si>
  <x:si>
    <x:t xml:space="preserve">2025-04-11 12:45:42</x:t>
  </x:si>
  <x:si>
    <x:t xml:space="preserve">128</x:t>
  </x:si>
  <x:si>
    <x:t xml:space="preserve">28715897</x:t>
  </x:si>
  <x:si>
    <x:t xml:space="preserve">52732922</x:t>
  </x:si>
  <x:si>
    <x:t xml:space="preserve">2025-04-17 18:28:59</x:t>
  </x:si>
  <x:si>
    <x:t xml:space="preserve">2025-06-22 15:07:05</x:t>
  </x:si>
  <x:si>
    <x:t xml:space="preserve">365</x:t>
  </x:si>
  <x:si>
    <x:t xml:space="preserve">64780082</x:t>
  </x:si>
  <x:si>
    <x:t xml:space="preserve">2026-02-01 02:19:55</x:t>
  </x:si>
  <x:si>
    <x:t xml:space="preserve">2026-02-09 20:03:18</x:t>
  </x:si>
  <x:si>
    <x:t xml:space="preserve">53</x:t>
  </x:si>
  <x:si>
    <x:t xml:space="preserve">80702937</x:t>
  </x:si>
  <x:si>
    <x:t xml:space="preserve">94517375</x:t>
  </x:si>
  <x:si>
    <x:t xml:space="preserve">2025-03-06 00:34:46</x:t>
  </x:si>
  <x:si>
    <x:t xml:space="preserve">2025-05-28 01:14:29</x:t>
  </x:si>
  <x:si>
    <x:t xml:space="preserve">15</x:t>
  </x:si>
  <x:si>
    <x:t xml:space="preserve">48095760</x:t>
  </x:si>
  <x:si>
    <x:t xml:space="preserve">75064803</x:t>
  </x:si>
  <x:si>
    <x:t xml:space="preserve">2025-01-24 18:40:05</x:t>
  </x:si>
  <x:si>
    <x:t xml:space="preserve">2026-03-09 18:01:30</x:t>
  </x:si>
  <x:si>
    <x:t xml:space="preserve">469</x:t>
  </x:si>
  <x:si>
    <x:t xml:space="preserve">47680491</x:t>
  </x:si>
  <x:si>
    <x:t xml:space="preserve">95400008</x:t>
  </x:si>
  <x:si>
    <x:t xml:space="preserve">2026-01-04 21:51:18</x:t>
  </x:si>
  <x:si>
    <x:t xml:space="preserve">2026-08-09 09:17:46</x:t>
  </x:si>
  <x:si>
    <x:t xml:space="preserve">505</x:t>
  </x:si>
  <x:si>
    <x:t xml:space="preserve">29379652</x:t>
  </x:si>
  <x:si>
    <x:t xml:space="preserve">73398313</x:t>
  </x:si>
  <x:si>
    <x:t xml:space="preserve">2026-02-01 09:04:43</x:t>
  </x:si>
  <x:si>
    <x:t xml:space="preserve">2026-06-07 07:28:11</x:t>
  </x:si>
  <x:si>
    <x:t xml:space="preserve">424</x:t>
  </x:si>
  <x:si>
    <x:t xml:space="preserve">12882453</x:t>
  </x:si>
  <x:si>
    <x:t xml:space="preserve">94315950</x:t>
  </x:si>
  <x:si>
    <x:t xml:space="preserve">2025-12-08 23:43:23</x:t>
  </x:si>
  <x:si>
    <x:t xml:space="preserve">2026-08-10 07:55:44</x:t>
  </x:si>
  <x:si>
    <x:t xml:space="preserve">658</x:t>
  </x:si>
  <x:si>
    <x:t xml:space="preserve">17973393</x:t>
  </x:si>
  <x:si>
    <x:t xml:space="preserve">63487583</x:t>
  </x:si>
  <x:si>
    <x:t xml:space="preserve">2026-06-01 02:53:16</x:t>
  </x:si>
  <x:si>
    <x:t xml:space="preserve">2026-06-16 22:41:29</x:t>
  </x:si>
  <x:si>
    <x:t xml:space="preserve">240</x:t>
  </x:si>
  <x:si>
    <x:t xml:space="preserve">56600778</x:t>
  </x:si>
  <x:si>
    <x:t xml:space="preserve">62148001</x:t>
  </x:si>
  <x:si>
    <x:t xml:space="preserve">2025-08-05 21:23:06</x:t>
  </x:si>
  <x:si>
    <x:t xml:space="preserve">2026-05-01 07:52:35</x:t>
  </x:si>
  <x:si>
    <x:t xml:space="preserve">665</x:t>
  </x:si>
  <x:si>
    <x:t xml:space="preserve">36941342</x:t>
  </x:si>
  <x:si>
    <x:t xml:space="preserve">40768174</x:t>
  </x:si>
  <x:si>
    <x:t xml:space="preserve">2026-06-04 21:11:17</x:t>
  </x:si>
  <x:si>
    <x:t xml:space="preserve">2026-07-16 04:08:56</x:t>
  </x:si>
  <x:si>
    <x:t xml:space="preserve">191</x:t>
  </x:si>
  <x:si>
    <x:t xml:space="preserve">31688344</x:t>
  </x:si>
  <x:si>
    <x:t xml:space="preserve">2025-06-11 20:35:59</x:t>
  </x:si>
  <x:si>
    <x:t xml:space="preserve">2025-07-06 17:19:34</x:t>
  </x:si>
  <x:si>
    <x:t xml:space="preserve">78</x:t>
  </x:si>
  <x:si>
    <x:t xml:space="preserve">11914659</x:t>
  </x:si>
  <x:si>
    <x:t xml:space="preserve">34606981</x:t>
  </x:si>
  <x:si>
    <x:t xml:space="preserve">2025-09-01 06:55:24</x:t>
  </x:si>
  <x:si>
    <x:t xml:space="preserve">2025-10-16 03:12:40</x:t>
  </x:si>
  <x:si>
    <x:t xml:space="preserve">685</x:t>
  </x:si>
  <x:si>
    <x:t xml:space="preserve">48633219</x:t>
  </x:si>
  <x:si>
    <x:t xml:space="preserve">51830771</x:t>
  </x:si>
  <x:si>
    <x:t xml:space="preserve">2026-08-12 17:09:08</x:t>
  </x:si>
  <x:si>
    <x:t xml:space="preserve">2026-08-23 23:35:26</x:t>
  </x:si>
  <x:si>
    <x:t xml:space="preserve">270</x:t>
  </x:si>
  <x:si>
    <x:t xml:space="preserve">49191158</x:t>
  </x:si>
  <x:si>
    <x:t xml:space="preserve">62746849</x:t>
  </x:si>
  <x:si>
    <x:t xml:space="preserve">2025-09-01 08:28:59</x:t>
  </x:si>
  <x:si>
    <x:t xml:space="preserve">2026-01-21 14:05:06</x:t>
  </x:si>
  <x:si>
    <x:t xml:space="preserve">162</x:t>
  </x:si>
  <x:si>
    <x:t xml:space="preserve">23121665</x:t>
  </x:si>
  <x:si>
    <x:t xml:space="preserve">43502278</x:t>
  </x:si>
  <x:si>
    <x:t xml:space="preserve">2025-05-18 17:49:06</x:t>
  </x:si>
  <x:si>
    <x:t xml:space="preserve">2026-04-18 22:36:58</x:t>
  </x:si>
  <x:si>
    <x:t xml:space="preserve">635</x:t>
  </x:si>
  <x:si>
    <x:t xml:space="preserve">72564037</x:t>
  </x:si>
  <x:si>
    <x:t xml:space="preserve">83170755</x:t>
  </x:si>
  <x:si>
    <x:t xml:space="preserve">2026-05-13 18:45:45</x:t>
  </x:si>
  <x:si>
    <x:t xml:space="preserve">2026-08-31 10:33:40</x:t>
  </x:si>
  <x:si>
    <x:t xml:space="preserve">183</x:t>
  </x:si>
  <x:si>
    <x:t xml:space="preserve">60131902</x:t>
  </x:si>
  <x:si>
    <x:t xml:space="preserve">98875613</x:t>
  </x:si>
  <x:si>
    <x:t xml:space="preserve">2025-06-03 19:43:40</x:t>
  </x:si>
  <x:si>
    <x:t xml:space="preserve">2025-08-29 22:41:10</x:t>
  </x:si>
  <x:si>
    <x:t xml:space="preserve">213</x:t>
  </x:si>
  <x:si>
    <x:t xml:space="preserve">45388289</x:t>
  </x:si>
  <x:si>
    <x:t xml:space="preserve">2025-08-19 04:28:28</x:t>
  </x:si>
  <x:si>
    <x:t xml:space="preserve">2025-08-27 13:39:55</x:t>
  </x:si>
  <x:si>
    <x:t xml:space="preserve">584</x:t>
  </x:si>
  <x:si>
    <x:t xml:space="preserve">46412348</x:t>
  </x:si>
  <x:si>
    <x:t xml:space="preserve">2026-06-08 17:26:20</x:t>
  </x:si>
  <x:si>
    <x:t xml:space="preserve">2026-08-03 13:15:25</x:t>
  </x:si>
  <x:si>
    <x:t xml:space="preserve">405</x:t>
  </x:si>
  <x:si>
    <x:t xml:space="preserve">88527910</x:t>
  </x:si>
  <x:si>
    <x:t xml:space="preserve">88697490</x:t>
  </x:si>
  <x:si>
    <x:t xml:space="preserve">2025-11-29 23:45:36</x:t>
  </x:si>
  <x:si>
    <x:t xml:space="preserve">2025-12-21 01:00:42</x:t>
  </x:si>
  <x:si>
    <x:t xml:space="preserve">210</x:t>
  </x:si>
  <x:si>
    <x:t xml:space="preserve">29268397</x:t>
  </x:si>
  <x:si>
    <x:t xml:space="preserve">82621470</x:t>
  </x:si>
  <x:si>
    <x:t xml:space="preserve">2025-07-03 15:18:59</x:t>
  </x:si>
  <x:si>
    <x:t xml:space="preserve">2025-07-24 00:25:17</x:t>
  </x:si>
  <x:si>
    <x:t xml:space="preserve">712</x:t>
  </x:si>
  <x:si>
    <x:t xml:space="preserve">47226384</x:t>
  </x:si>
  <x:si>
    <x:t xml:space="preserve">67561717</x:t>
  </x:si>
  <x:si>
    <x:t xml:space="preserve">2026-07-07 01:02:20</x:t>
  </x:si>
  <x:si>
    <x:t xml:space="preserve">2026-07-14 09:05:54</x:t>
  </x:si>
  <x:si>
    <x:t xml:space="preserve">48</x:t>
  </x:si>
  <x:si>
    <x:t xml:space="preserve">59739952</x:t>
  </x:si>
  <x:si>
    <x:t xml:space="preserve">65660294</x:t>
  </x:si>
  <x:si>
    <x:t xml:space="preserve">2025-03-02 17:37:18</x:t>
  </x:si>
  <x:si>
    <x:t xml:space="preserve">2025-04-01 20:11:13</x:t>
  </x:si>
  <x:si>
    <x:t xml:space="preserve">51</x:t>
  </x:si>
  <x:si>
    <x:t xml:space="preserve">16182291</x:t>
  </x:si>
  <x:si>
    <x:t xml:space="preserve">57716896</x:t>
  </x:si>
  <x:si>
    <x:t xml:space="preserve">2025-04-01 03:44:34</x:t>
  </x:si>
  <x:si>
    <x:t xml:space="preserve">2025-10-03 13:23:44</x:t>
  </x:si>
  <x:si>
    <x:t xml:space="preserve">566</x:t>
  </x:si>
  <x:si>
    <x:t xml:space="preserve">14814923</x:t>
  </x:si>
  <x:si>
    <x:t xml:space="preserve">33640333</x:t>
  </x:si>
  <x:si>
    <x:t xml:space="preserve">2026-03-16 03:18:58</x:t>
  </x:si>
  <x:si>
    <x:t xml:space="preserve">2026-05-03 22:48:10</x:t>
  </x:si>
  <x:si>
    <x:t xml:space="preserve">364</x:t>
  </x:si>
  <x:si>
    <x:t xml:space="preserve">42164980</x:t>
  </x:si>
  <x:si>
    <x:t xml:space="preserve">56785151</x:t>
  </x:si>
  <x:si>
    <x:t xml:space="preserve">2026-03-03 19:07:06</x:t>
  </x:si>
  <x:si>
    <x:t xml:space="preserve">2026-03-16 20:21:11</x:t>
  </x:si>
  <x:si>
    <x:t xml:space="preserve">497</x:t>
  </x:si>
  <x:si>
    <x:t xml:space="preserve">45783739</x:t>
  </x:si>
  <x:si>
    <x:t xml:space="preserve">2026-01-23 20:54:55</x:t>
  </x:si>
  <x:si>
    <x:t xml:space="preserve">2026-07-18 08:49:54</x:t>
  </x:si>
  <x:si>
    <x:t xml:space="preserve">607</x:t>
  </x:si>
  <x:si>
    <x:t xml:space="preserve">25959075</x:t>
  </x:si>
  <x:si>
    <x:t xml:space="preserve">91453019</x:t>
  </x:si>
  <x:si>
    <x:t xml:space="preserve">2026-04-16 21:34:02</x:t>
  </x:si>
  <x:si>
    <x:t xml:space="preserve">2026-05-19 20:59:09</x:t>
  </x:si>
  <x:si>
    <x:t xml:space="preserve">342</x:t>
  </x:si>
  <x:si>
    <x:t xml:space="preserve">50680969</x:t>
  </x:si>
  <x:si>
    <x:t xml:space="preserve">90121607</x:t>
  </x:si>
  <x:si>
    <x:t xml:space="preserve">2025-11-01 20:34:04</x:t>
  </x:si>
  <x:si>
    <x:t xml:space="preserve">2026-02-16 21:26:48</x:t>
  </x:si>
  <x:si>
    <x:t xml:space="preserve">276</x:t>
  </x:si>
  <x:si>
    <x:t xml:space="preserve">49983586</x:t>
  </x:si>
  <x:si>
    <x:t xml:space="preserve">54121925</x:t>
  </x:si>
  <x:si>
    <x:t xml:space="preserve">2025-09-06 18:27:03</x:t>
  </x:si>
  <x:si>
    <x:t xml:space="preserve">2025-11-12 14:22:41</x:t>
  </x:si>
  <x:si>
    <x:t xml:space="preserve">428</x:t>
  </x:si>
  <x:si>
    <x:t xml:space="preserve">13701848</x:t>
  </x:si>
  <x:si>
    <x:t xml:space="preserve">16557755</x:t>
  </x:si>
  <x:si>
    <x:t xml:space="preserve">2025-12-14 14:42:55</x:t>
  </x:si>
  <x:si>
    <x:t xml:space="preserve">2025-12-28 15:00:29</x:t>
  </x:si>
  <x:si>
    <x:t xml:space="preserve">144</x:t>
  </x:si>
  <x:si>
    <x:t xml:space="preserve">30043401</x:t>
  </x:si>
  <x:si>
    <x:t xml:space="preserve">95796832</x:t>
  </x:si>
  <x:si>
    <x:t xml:space="preserve">2025-05-01 12:55:56</x:t>
  </x:si>
  <x:si>
    <x:t xml:space="preserve">2025-05-06 14:06:04</x:t>
  </x:si>
  <x:si>
    <x:t xml:space="preserve">244</x:t>
  </x:si>
  <x:si>
    <x:t xml:space="preserve">24771354</x:t>
  </x:si>
  <x:si>
    <x:t xml:space="preserve">82927473</x:t>
  </x:si>
  <x:si>
    <x:t xml:space="preserve">2025-08-08 14:11:44</x:t>
  </x:si>
  <x:si>
    <x:t xml:space="preserve">2025-08-17 19:47:55</x:t>
  </x:si>
  <x:si>
    <x:t xml:space="preserve">319</x:t>
  </x:si>
  <x:si>
    <x:t xml:space="preserve">72138485</x:t>
  </x:si>
  <x:si>
    <x:t xml:space="preserve">77583905</x:t>
  </x:si>
  <x:si>
    <x:t xml:space="preserve">2025-12-31 22:03:54</x:t>
  </x:si>
  <x:si>
    <x:t xml:space="preserve">2026-02-17 16:25:15</x:t>
  </x:si>
  <x:si>
    <x:t xml:space="preserve">724</x:t>
  </x:si>
  <x:si>
    <x:t xml:space="preserve">32045925</x:t>
  </x:si>
  <x:si>
    <x:t xml:space="preserve">93031144</x:t>
  </x:si>
  <x:si>
    <x:t xml:space="preserve">2026-07-17 17:40:10</x:t>
  </x:si>
  <x:si>
    <x:t xml:space="preserve">2026-07-26 01:08:57</x:t>
  </x:si>
  <x:si>
    <x:t xml:space="preserve">263</x:t>
  </x:si>
  <x:si>
    <x:t xml:space="preserve">30641680</x:t>
  </x:si>
  <x:si>
    <x:t xml:space="preserve">98727275</x:t>
  </x:si>
  <x:si>
    <x:t xml:space="preserve">2025-08-26 19:20:24</x:t>
  </x:si>
  <x:si>
    <x:t xml:space="preserve">2025-09-04 04:37:47</x:t>
  </x:si>
  <x:si>
    <x:t xml:space="preserve">682</x:t>
  </x:si>
  <x:si>
    <x:t xml:space="preserve">26692794</x:t>
  </x:si>
  <x:si>
    <x:t xml:space="preserve">93143871</x:t>
  </x:si>
  <x:si>
    <x:t xml:space="preserve">2026-06-13 20:52:42</x:t>
  </x:si>
  <x:si>
    <x:t xml:space="preserve">2026-06-13 21:01:24</x:t>
  </x:si>
  <x:si>
    <x:t xml:space="preserve">114</x:t>
  </x:si>
  <x:si>
    <x:t xml:space="preserve">11173911</x:t>
  </x:si>
  <x:si>
    <x:t xml:space="preserve">2025-04-07 08:29:24</x:t>
  </x:si>
  <x:si>
    <x:t xml:space="preserve">2025-04-21 21:53:10</x:t>
  </x:si>
  <x:si>
    <x:t xml:space="preserve">236</x:t>
  </x:si>
  <x:si>
    <x:t xml:space="preserve">33373027</x:t>
  </x:si>
  <x:si>
    <x:t xml:space="preserve">2025-08-01 05:23:23</x:t>
  </x:si>
  <x:si>
    <x:t xml:space="preserve">2025-08-13 16:38:26</x:t>
  </x:si>
  <x:si>
    <x:t xml:space="preserve">574</x:t>
  </x:si>
  <x:si>
    <x:t xml:space="preserve">45707997</x:t>
  </x:si>
  <x:si>
    <x:t xml:space="preserve">55894498</x:t>
  </x:si>
  <x:si>
    <x:t xml:space="preserve">2026-03-19 20:11:03</x:t>
  </x:si>
  <x:si>
    <x:t xml:space="preserve">2026-07-16 03:47:06</x:t>
  </x:si>
  <x:si>
    <x:t xml:space="preserve">10</x:t>
  </x:si>
  <x:si>
    <x:t xml:space="preserve">61372452</x:t>
  </x:si>
  <x:si>
    <x:t xml:space="preserve">2025-03-04 20:45:30</x:t>
  </x:si>
  <x:si>
    <x:t xml:space="preserve">2025-08-23 16:22:19</x:t>
  </x:si>
  <x:si>
    <x:t xml:space="preserve">166</x:t>
  </x:si>
  <x:si>
    <x:t xml:space="preserve">84691370</x:t>
  </x:si>
  <x:si>
    <x:t xml:space="preserve">97160121</x:t>
  </x:si>
  <x:si>
    <x:t xml:space="preserve">2025-05-21 11:11:00</x:t>
  </x:si>
  <x:si>
    <x:t xml:space="preserve">2025-05-23 08:46:02</x:t>
  </x:si>
  <x:si>
    <x:t xml:space="preserve">728</x:t>
  </x:si>
  <x:si>
    <x:t xml:space="preserve">60544096</x:t>
  </x:si>
  <x:si>
    <x:t xml:space="preserve">91750205</x:t>
  </x:si>
  <x:si>
    <x:t xml:space="preserve">2026-07-18 17:12:26</x:t>
  </x:si>
  <x:si>
    <x:t xml:space="preserve">2026-08-30 09:20:35</x:t>
  </x:si>
  <x:si>
    <x:t xml:space="preserve">250</x:t>
  </x:si>
  <x:si>
    <x:t xml:space="preserve">51438049</x:t>
  </x:si>
  <x:si>
    <x:t xml:space="preserve">54760733</x:t>
  </x:si>
  <x:si>
    <x:t xml:space="preserve">2025-09-30 09:01:55</x:t>
  </x:si>
  <x:si>
    <x:t xml:space="preserve">2025-11-02 14:28:33</x:t>
  </x:si>
  <x:si>
    <x:t xml:space="preserve">287</x:t>
  </x:si>
  <x:si>
    <x:t xml:space="preserve">24059365</x:t>
  </x:si>
  <x:si>
    <x:t xml:space="preserve">56396693</x:t>
  </x:si>
  <x:si>
    <x:t xml:space="preserve">2025-09-15 21:26:34</x:t>
  </x:si>
  <x:si>
    <x:t xml:space="preserve">2026-03-31 17:12:12</x:t>
  </x:si>
  <x:si>
    <x:t xml:space="preserve">354</x:t>
  </x:si>
  <x:si>
    <x:t xml:space="preserve">27656677</x:t>
  </x:si>
  <x:si>
    <x:t xml:space="preserve">31772003</x:t>
  </x:si>
  <x:si>
    <x:t xml:space="preserve">2025-11-01 10:44:26</x:t>
  </x:si>
  <x:si>
    <x:t xml:space="preserve">2026-03-10 08:23:11</x:t>
  </x:si>
  <x:si>
    <x:t xml:space="preserve">331</x:t>
  </x:si>
  <x:si>
    <x:t xml:space="preserve">10147078</x:t>
  </x:si>
  <x:si>
    <x:t xml:space="preserve">61878762</x:t>
  </x:si>
  <x:si>
    <x:t xml:space="preserve">2025-10-19 20:17:02</x:t>
  </x:si>
  <x:si>
    <x:t xml:space="preserve">2026-02-07 22:45:35</x:t>
  </x:si>
  <x:si>
    <x:t xml:space="preserve">254</x:t>
  </x:si>
  <x:si>
    <x:t xml:space="preserve">65121602</x:t>
  </x:si>
  <x:si>
    <x:t xml:space="preserve">90698806</x:t>
  </x:si>
  <x:si>
    <x:t xml:space="preserve">2025-08-21 11:06:56</x:t>
  </x:si>
  <x:si>
    <x:t xml:space="preserve">2025-12-05 18:27:01</x:t>
  </x:si>
  <x:si>
    <x:t xml:space="preserve">507</x:t>
  </x:si>
  <x:si>
    <x:t xml:space="preserve">70099184</x:t>
  </x:si>
  <x:si>
    <x:t xml:space="preserve">2026-02-01 12:37:26</x:t>
  </x:si>
  <x:si>
    <x:t xml:space="preserve">2026-02-06 22:03:14</x:t>
  </x:si>
  <x:si>
    <x:t xml:space="preserve">229</x:t>
  </x:si>
  <x:si>
    <x:t xml:space="preserve">11348234</x:t>
  </x:si>
  <x:si>
    <x:t xml:space="preserve">66182671</x:t>
  </x:si>
  <x:si>
    <x:t xml:space="preserve">2025-07-26 21:33:17</x:t>
  </x:si>
  <x:si>
    <x:t xml:space="preserve">2025-09-25 14:39:07</x:t>
  </x:si>
  <x:si>
    <x:t xml:space="preserve">67</x:t>
  </x:si>
  <x:si>
    <x:t xml:space="preserve">69106299</x:t>
  </x:si>
  <x:si>
    <x:t xml:space="preserve">91868301</x:t>
  </x:si>
  <x:si>
    <x:t xml:space="preserve">2025-03-31 21:18:13</x:t>
  </x:si>
  <x:si>
    <x:t xml:space="preserve">2025-04-20 23:24:26</x:t>
  </x:si>
  <x:si>
    <x:t xml:space="preserve">56</x:t>
  </x:si>
  <x:si>
    <x:t xml:space="preserve">63186010</x:t>
  </x:si>
  <x:si>
    <x:t xml:space="preserve">93429048</x:t>
  </x:si>
  <x:si>
    <x:t xml:space="preserve">2025-03-06 00:49:35</x:t>
  </x:si>
  <x:si>
    <x:t xml:space="preserve">2025-03-09 17:25:23</x:t>
  </x:si>
  <x:si>
    <x:t xml:space="preserve">604</x:t>
  </x:si>
  <x:si>
    <x:t xml:space="preserve">52262184</x:t>
  </x:si>
  <x:si>
    <x:t xml:space="preserve">97351186</x:t>
  </x:si>
  <x:si>
    <x:t xml:space="preserve">2026-04-15 15:54:22</x:t>
  </x:si>
  <x:si>
    <x:t xml:space="preserve">2026-04-17 06:31:52</x:t>
  </x:si>
  <x:si>
    <x:t xml:space="preserve">767</x:t>
  </x:si>
  <x:si>
    <x:t xml:space="preserve">82633524</x:t>
  </x:si>
  <x:si>
    <x:t xml:space="preserve">2026-08-15 21:26:48</x:t>
  </x:si>
  <x:si>
    <x:t xml:space="preserve">2026-08-20 20:54:05</x:t>
  </x:si>
  <x:si>
    <x:t xml:space="preserve">141</x:t>
  </x:si>
  <x:si>
    <x:t xml:space="preserve">93665977</x:t>
  </x:si>
  <x:si>
    <x:t xml:space="preserve">2025-04-29 14:27:41</x:t>
  </x:si>
  <x:si>
    <x:t xml:space="preserve">2025-08-07 21:28:55</x:t>
  </x:si>
  <x:si>
    <x:t xml:space="preserve">328</x:t>
  </x:si>
  <x:si>
    <x:t xml:space="preserve">57061628</x:t>
  </x:si>
  <x:si>
    <x:t xml:space="preserve">62382079</x:t>
  </x:si>
  <x:si>
    <x:t xml:space="preserve">2025-10-18 00:30:57</x:t>
  </x:si>
  <x:si>
    <x:t xml:space="preserve">2025-11-02 12:21:13</x:t>
  </x:si>
  <x:si>
    <x:t xml:space="preserve">596</x:t>
  </x:si>
  <x:si>
    <x:t xml:space="preserve">41697128</x:t>
  </x:si>
  <x:si>
    <x:t xml:space="preserve">58232777</x:t>
  </x:si>
  <x:si>
    <x:t xml:space="preserve">2026-04-09 23:44:08</x:t>
  </x:si>
  <x:si>
    <x:t xml:space="preserve">2026-04-15 21:39:45</x:t>
  </x:si>
  <x:si>
    <x:t xml:space="preserve">496</x:t>
  </x:si>
  <x:si>
    <x:t xml:space="preserve">17106310</x:t>
  </x:si>
  <x:si>
    <x:t xml:space="preserve">2026-01-21 21:16:30</x:t>
  </x:si>
  <x:si>
    <x:t xml:space="preserve">2026-05-13 06:45:51</x:t>
  </x:si>
  <x:si>
    <x:t xml:space="preserve">111</x:t>
  </x:si>
  <x:si>
    <x:t xml:space="preserve">2025-04-05 18:43:26</x:t>
  </x:si>
  <x:si>
    <x:t xml:space="preserve">2025-04-06 08:52:32</x:t>
  </x:si>
  <x:si>
    <x:t xml:space="preserve">749</x:t>
  </x:si>
  <x:si>
    <x:t xml:space="preserve">47685091</x:t>
  </x:si>
  <x:si>
    <x:t xml:space="preserve">95408465</x:t>
  </x:si>
  <x:si>
    <x:t xml:space="preserve">2026-08-02 15:56:34</x:t>
  </x:si>
  <x:si>
    <x:t xml:space="preserve">2026-08-03 15:10:22</x:t>
  </x:si>
  <x:si>
    <x:t xml:space="preserve">59</x:t>
  </x:si>
  <x:si>
    <x:t xml:space="preserve">26443772</x:t>
  </x:si>
  <x:si>
    <x:t xml:space="preserve">78687184</x:t>
  </x:si>
  <x:si>
    <x:t xml:space="preserve">2025-03-06 00:59:53</x:t>
  </x:si>
  <x:si>
    <x:t xml:space="preserve">2025-03-08 00:26:55</x:t>
  </x:si>
  <x:si>
    <x:t xml:space="preserve">441</x:t>
  </x:si>
  <x:si>
    <x:t xml:space="preserve">10845780</x:t>
  </x:si>
  <x:si>
    <x:t xml:space="preserve">2025-12-16 19:21:54</x:t>
  </x:si>
  <x:si>
    <x:t xml:space="preserve">2025-12-18 02:38:51</x:t>
  </x:si>
  <x:si>
    <x:t xml:space="preserve">117</x:t>
  </x:si>
  <x:si>
    <x:t xml:space="preserve">48599160</x:t>
  </x:si>
  <x:si>
    <x:t xml:space="preserve">83223886</x:t>
  </x:si>
  <x:si>
    <x:t xml:space="preserve">2025-04-07 19:06:48</x:t>
  </x:si>
  <x:si>
    <x:t xml:space="preserve">2025-12-16 08:23:05</x:t>
  </x:si>
  <x:si>
    <x:t xml:space="preserve">639</x:t>
  </x:si>
  <x:si>
    <x:t xml:space="preserve">30640573</x:t>
  </x:si>
  <x:si>
    <x:t xml:space="preserve">89424874</x:t>
  </x:si>
  <x:si>
    <x:t xml:space="preserve">2026-05-16 17:53:57</x:t>
  </x:si>
  <x:si>
    <x:t xml:space="preserve">2026-06-23 22:25:29</x:t>
  </x:si>
  <x:si>
    <x:t xml:space="preserve">539</x:t>
  </x:si>
  <x:si>
    <x:t xml:space="preserve">82427473</x:t>
  </x:si>
  <x:si>
    <x:t xml:space="preserve">94453357</x:t>
  </x:si>
  <x:si>
    <x:t xml:space="preserve">2026-02-17 11:06:42</x:t>
  </x:si>
  <x:si>
    <x:t xml:space="preserve">2026-03-14 12:10:48</x:t>
  </x:si>
  <x:si>
    <x:t xml:space="preserve">135</x:t>
  </x:si>
  <x:si>
    <x:t xml:space="preserve">39466147</x:t>
  </x:si>
  <x:si>
    <x:t xml:space="preserve">42296571</x:t>
  </x:si>
  <x:si>
    <x:t xml:space="preserve">2025-04-24 22:27:31</x:t>
  </x:si>
  <x:si>
    <x:t xml:space="preserve">2025-06-10 09:32:02</x:t>
  </x:si>
  <x:si>
    <x:t xml:space="preserve">532</x:t>
  </x:si>
  <x:si>
    <x:t xml:space="preserve">93325111</x:t>
  </x:si>
  <x:si>
    <x:t xml:space="preserve">94541739</x:t>
  </x:si>
  <x:si>
    <x:t xml:space="preserve">2026-02-16 07:40:37</x:t>
  </x:si>
  <x:si>
    <x:t xml:space="preserve">2026-05-01 22:20:51</x:t>
  </x:si>
  <x:si>
    <x:t xml:space="preserve">96</x:t>
  </x:si>
  <x:si>
    <x:t xml:space="preserve">48504459</x:t>
  </x:si>
  <x:si>
    <x:t xml:space="preserve">74427073</x:t>
  </x:si>
  <x:si>
    <x:t xml:space="preserve">2025-03-25 15:57:25</x:t>
  </x:si>
  <x:si>
    <x:t xml:space="preserve">2025-04-06 11:27:40</x:t>
  </x:si>
  <x:si>
    <x:t xml:space="preserve">222</x:t>
  </x:si>
  <x:si>
    <x:t xml:space="preserve">25235545</x:t>
  </x:si>
  <x:si>
    <x:t xml:space="preserve">2025-10-29 17:29:52</x:t>
  </x:si>
  <x:si>
    <x:t xml:space="preserve">2025-11-05 12:02:13</x:t>
  </x:si>
  <x:si>
    <x:t xml:space="preserve">652</x:t>
  </x:si>
  <x:si>
    <x:t xml:space="preserve">13257111</x:t>
  </x:si>
  <x:si>
    <x:t xml:space="preserve">87607577</x:t>
  </x:si>
  <x:si>
    <x:t xml:space="preserve">2026-05-25 22:49:55</x:t>
  </x:si>
  <x:si>
    <x:t xml:space="preserve">2026-06-23 15:01:13</x:t>
  </x:si>
  <x:si>
    <x:t xml:space="preserve">721</x:t>
  </x:si>
  <x:si>
    <x:t xml:space="preserve">42838278</x:t>
  </x:si>
  <x:si>
    <x:t xml:space="preserve">46146315</x:t>
  </x:si>
  <x:si>
    <x:t xml:space="preserve">2026-07-15 15:11:23</x:t>
  </x:si>
  <x:si>
    <x:t xml:space="preserve">2026-07-17 12:01:55</x:t>
  </x:si>
  <x:si>
    <x:t xml:space="preserve">443</x:t>
  </x:si>
  <x:si>
    <x:t xml:space="preserve">96050967</x:t>
  </x:si>
  <x:si>
    <x:t xml:space="preserve">2025-12-17 22:04:50</x:t>
  </x:si>
  <x:si>
    <x:t xml:space="preserve">2026-01-25 14:29:40</x:t>
  </x:si>
  <x:si>
    <x:t xml:space="preserve">416</x:t>
  </x:si>
  <x:si>
    <x:t xml:space="preserve">34938753</x:t>
  </x:si>
  <x:si>
    <x:t xml:space="preserve">98829761</x:t>
  </x:si>
  <x:si>
    <x:t xml:space="preserve">2025-12-05 09:09:32</x:t>
  </x:si>
  <x:si>
    <x:t xml:space="preserve">2026-02-15 02:18:39</x:t>
  </x:si>
  <x:si>
    <x:t xml:space="preserve">283</x:t>
  </x:si>
  <x:si>
    <x:t xml:space="preserve">79080609</x:t>
  </x:si>
  <x:si>
    <x:t xml:space="preserve">2025-09-10 23:53:30</x:t>
  </x:si>
  <x:si>
    <x:t xml:space="preserve">2025-10-05 11:39:33</x:t>
  </x:si>
  <x:si>
    <x:t xml:space="preserve">58</x:t>
  </x:si>
  <x:si>
    <x:t xml:space="preserve">57112715</x:t>
  </x:si>
  <x:si>
    <x:t xml:space="preserve">94291959</x:t>
  </x:si>
  <x:si>
    <x:t xml:space="preserve">2025-03-06 00:58:10</x:t>
  </x:si>
  <x:si>
    <x:t xml:space="preserve">2025-03-11 15:14:10</x:t>
  </x:si>
  <x:si>
    <x:t xml:space="preserve">473</x:t>
  </x:si>
  <x:si>
    <x:t xml:space="preserve">44422353</x:t>
  </x:si>
  <x:si>
    <x:t xml:space="preserve">83688085</x:t>
  </x:si>
  <x:si>
    <x:t xml:space="preserve">2026-01-06 19:42:13</x:t>
  </x:si>
  <x:si>
    <x:t xml:space="preserve">2026-01-26 05:29:42</x:t>
  </x:si>
  <x:si>
    <x:t xml:space="preserve">223</x:t>
  </x:si>
  <x:si>
    <x:t xml:space="preserve">49972381</x:t>
  </x:si>
  <x:si>
    <x:t xml:space="preserve">2025-07-18 22:32:01</x:t>
  </x:si>
  <x:si>
    <x:t xml:space="preserve">2025-07-31 09:09:53</x:t>
  </x:si>
  <x:si>
    <x:t xml:space="preserve">642</x:t>
  </x:si>
  <x:si>
    <x:t xml:space="preserve">11986338</x:t>
  </x:si>
  <x:si>
    <x:t xml:space="preserve">16980531</x:t>
  </x:si>
  <x:si>
    <x:t xml:space="preserve">2026-06-01 16:43:48</x:t>
  </x:si>
  <x:si>
    <x:t xml:space="preserve">2026-07-13 17:33:14</x:t>
  </x:si>
  <x:si>
    <x:t xml:space="preserve">442</x:t>
  </x:si>
  <x:si>
    <x:t xml:space="preserve">74594658</x:t>
  </x:si>
  <x:si>
    <x:t xml:space="preserve">97951490</x:t>
  </x:si>
  <x:si>
    <x:t xml:space="preserve">2025-12-17 01:20:37</x:t>
  </x:si>
  <x:si>
    <x:t xml:space="preserve">2026-01-20 22:38:19</x:t>
  </x:si>
  <x:si>
    <x:t xml:space="preserve">536</x:t>
  </x:si>
  <x:si>
    <x:t xml:space="preserve">46633943</x:t>
  </x:si>
  <x:si>
    <x:t xml:space="preserve">79919803</x:t>
  </x:si>
  <x:si>
    <x:t xml:space="preserve">2026-03-25 23:06:35</x:t>
  </x:si>
  <x:si>
    <x:t xml:space="preserve">2026-04-17 15:26:19</x:t>
  </x:si>
  <x:si>
    <x:t xml:space="preserve">556</x:t>
  </x:si>
  <x:si>
    <x:t xml:space="preserve">60743007</x:t>
  </x:si>
  <x:si>
    <x:t xml:space="preserve">2026-03-06 01:04:04</x:t>
  </x:si>
  <x:si>
    <x:t xml:space="preserve">2026-04-03 01:49:01</x:t>
  </x:si>
  <x:si>
    <x:t xml:space="preserve">107</x:t>
  </x:si>
  <x:si>
    <x:t xml:space="preserve">21899438</x:t>
  </x:si>
  <x:si>
    <x:t xml:space="preserve">99190504</x:t>
  </x:si>
  <x:si>
    <x:t xml:space="preserve">2025-04-02 02:08:13</x:t>
  </x:si>
  <x:si>
    <x:t xml:space="preserve">2025-05-20 14:42:33</x:t>
  </x:si>
  <x:si>
    <x:t xml:space="preserve">257</x:t>
  </x:si>
  <x:si>
    <x:t xml:space="preserve">84314088</x:t>
  </x:si>
  <x:si>
    <x:t xml:space="preserve">2025-08-22 11:33:25</x:t>
  </x:si>
  <x:si>
    <x:t xml:space="preserve">2025-10-12 07:25:19</x:t>
  </x:si>
  <x:si>
    <x:t xml:space="preserve">362</x:t>
  </x:si>
  <x:si>
    <x:t xml:space="preserve">68755562</x:t>
  </x:si>
  <x:si>
    <x:t xml:space="preserve">2025-11-02 22:14:33</x:t>
  </x:si>
  <x:si>
    <x:t xml:space="preserve">2025-12-07 13:54:38</x:t>
  </x:si>
  <x:si>
    <x:t xml:space="preserve">787</x:t>
  </x:si>
  <x:si>
    <x:t xml:space="preserve">32470153</x:t>
  </x:si>
  <x:si>
    <x:t xml:space="preserve">51827279</x:t>
  </x:si>
  <x:si>
    <x:t xml:space="preserve">2026-08-20 10:44:30</x:t>
  </x:si>
  <x:si>
    <x:t xml:space="preserve">2026-08-20 10:48:29</x:t>
  </x:si>
  <x:si>
    <x:t xml:space="preserve">318</x:t>
  </x:si>
  <x:si>
    <x:t xml:space="preserve">97857745</x:t>
  </x:si>
  <x:si>
    <x:t xml:space="preserve">2025-10-11 00:25:36</x:t>
  </x:si>
  <x:si>
    <x:t xml:space="preserve">2025-10-11 23:03:14</x:t>
  </x:si>
  <x:si>
    <x:t xml:space="preserve">359</x:t>
  </x:si>
  <x:si>
    <x:t xml:space="preserve">15081195</x:t>
  </x:si>
  <x:si>
    <x:t xml:space="preserve">83873044</x:t>
  </x:si>
  <x:si>
    <x:t xml:space="preserve">2025-12-11 01:27:04</x:t>
  </x:si>
  <x:si>
    <x:t xml:space="preserve">2026-01-09 20:18:35</x:t>
  </x:si>
  <x:si>
    <x:t xml:space="preserve">248</x:t>
  </x:si>
  <x:si>
    <x:t xml:space="preserve">52012520</x:t>
  </x:si>
  <x:si>
    <x:t xml:space="preserve">2025-08-13 19:52:01</x:t>
  </x:si>
  <x:si>
    <x:t xml:space="preserve">2025-09-14 09:39:06</x:t>
  </x:si>
  <x:si>
    <x:t xml:space="preserve">235</x:t>
  </x:si>
  <x:si>
    <x:t xml:space="preserve">36647853</x:t>
  </x:si>
  <x:si>
    <x:t xml:space="preserve">2025-08-01 04:36:47</x:t>
  </x:si>
  <x:si>
    <x:t xml:space="preserve">2025-08-10 20:32:41</x:t>
  </x:si>
  <x:si>
    <x:t xml:space="preserve">472</x:t>
  </x:si>
  <x:si>
    <x:t xml:space="preserve">45547861</x:t>
  </x:si>
  <x:si>
    <x:t xml:space="preserve">95291792</x:t>
  </x:si>
  <x:si>
    <x:t xml:space="preserve">2026-01-06 18:52:45</x:t>
  </x:si>
  <x:si>
    <x:t xml:space="preserve">2026-01-14 19:31:29</x:t>
  </x:si>
  <x:si>
    <x:t xml:space="preserve">726</x:t>
  </x:si>
  <x:si>
    <x:t xml:space="preserve">18008592</x:t>
  </x:si>
  <x:si>
    <x:t xml:space="preserve">89588615</x:t>
  </x:si>
  <x:si>
    <x:t xml:space="preserve">2026-07-17 23:53:22</x:t>
  </x:si>
  <x:si>
    <x:t xml:space="preserve">2026-07-20 15:08:50</x:t>
  </x:si>
  <x:si>
    <x:t xml:space="preserve">474</x:t>
  </x:si>
  <x:si>
    <x:t xml:space="preserve">86211267</x:t>
  </x:si>
  <x:si>
    <x:t xml:space="preserve">2026-01-10 16:33:07</x:t>
  </x:si>
  <x:si>
    <x:t xml:space="preserve">2026-02-25 19:42:10</x:t>
  </x:si>
  <x:si>
    <x:t xml:space="preserve">338</x:t>
  </x:si>
  <x:si>
    <x:t xml:space="preserve">14718264</x:t>
  </x:si>
  <x:si>
    <x:t xml:space="preserve">20177911</x:t>
  </x:si>
  <x:si>
    <x:t xml:space="preserve">2025-11-07 05:47:15</x:t>
  </x:si>
  <x:si>
    <x:t xml:space="preserve">2025-11-12 07:12:26</x:t>
  </x:si>
  <x:si>
    <x:t xml:space="preserve">163</x:t>
  </x:si>
  <x:si>
    <x:t xml:space="preserve">71018724</x:t>
  </x:si>
  <x:si>
    <x:t xml:space="preserve">85662833</x:t>
  </x:si>
  <x:si>
    <x:t xml:space="preserve">2025-11-07 02:41:29</x:t>
  </x:si>
  <x:si>
    <x:t xml:space="preserve">2025-11-21 22:30:30</x:t>
  </x:si>
  <x:si>
    <x:t xml:space="preserve">231</x:t>
  </x:si>
  <x:si>
    <x:t xml:space="preserve">50480433</x:t>
  </x:si>
  <x:si>
    <x:t xml:space="preserve">59889305</x:t>
  </x:si>
  <x:si>
    <x:t xml:space="preserve">2025-10-01 20:17:22</x:t>
  </x:si>
  <x:si>
    <x:t xml:space="preserve">2025-11-22 00:25:51</x:t>
  </x:si>
  <x:si>
    <x:t xml:space="preserve">592</x:t>
  </x:si>
  <x:si>
    <x:t xml:space="preserve">20705557</x:t>
  </x:si>
  <x:si>
    <x:t xml:space="preserve">25343412</x:t>
  </x:si>
  <x:si>
    <x:t xml:space="preserve">2026-04-03 21:53:44</x:t>
  </x:si>
  <x:si>
    <x:t xml:space="preserve">2026-06-22 12:18:41</x:t>
  </x:si>
  <x:si>
    <x:t xml:space="preserve">296</x:t>
  </x:si>
  <x:si>
    <x:t xml:space="preserve">62815545</x:t>
  </x:si>
  <x:si>
    <x:t xml:space="preserve">2025-09-20 17:20:16</x:t>
  </x:si>
  <x:si>
    <x:t xml:space="preserve">2025-11-22 20:07:57</x:t>
  </x:si>
  <x:si>
    <x:t xml:space="preserve">34</x:t>
  </x:si>
  <x:si>
    <x:t xml:space="preserve">44481843</x:t>
  </x:si>
  <x:si>
    <x:t xml:space="preserve">69035124</x:t>
  </x:si>
  <x:si>
    <x:t xml:space="preserve">2025-02-17 15:54:04</x:t>
  </x:si>
  <x:si>
    <x:t xml:space="preserve">2025-05-13 20:34:54</x:t>
  </x:si>
  <x:si>
    <x:t xml:space="preserve">322</x:t>
  </x:si>
  <x:si>
    <x:t xml:space="preserve">2025-10-13 18:25:49</x:t>
  </x:si>
  <x:si>
    <x:t xml:space="preserve">2025-10-31 11:58:25</x:t>
  </x:si>
  <x:si>
    <x:t xml:space="preserve">753</x:t>
  </x:si>
  <x:si>
    <x:t xml:space="preserve">34294905</x:t>
  </x:si>
  <x:si>
    <x:t xml:space="preserve">94381342</x:t>
  </x:si>
  <x:si>
    <x:t xml:space="preserve">2026-08-03 15:43:56</x:t>
  </x:si>
  <x:si>
    <x:t xml:space="preserve">2026-08-06 18:05:35</x:t>
  </x:si>
  <x:si>
    <x:t xml:space="preserve">97</x:t>
  </x:si>
  <x:si>
    <x:t xml:space="preserve">2025-04-16 17:08:46</x:t>
  </x:si>
  <x:si>
    <x:t xml:space="preserve">2025-04-23 16:47:00</x:t>
  </x:si>
  <x:si>
    <x:t xml:space="preserve">105</x:t>
  </x:si>
  <x:si>
    <x:t xml:space="preserve">36978190</x:t>
  </x:si>
  <x:si>
    <x:t xml:space="preserve">65243017</x:t>
  </x:si>
  <x:si>
    <x:t xml:space="preserve">2025-06-15 14:03:12</x:t>
  </x:si>
  <x:si>
    <x:t xml:space="preserve">2025-08-08 11:08:39</x:t>
  </x:si>
  <x:si>
    <x:t xml:space="preserve">525</x:t>
  </x:si>
  <x:si>
    <x:t xml:space="preserve">24766696</x:t>
  </x:si>
  <x:si>
    <x:t xml:space="preserve">2026-03-24 23:37:22</x:t>
  </x:si>
  <x:si>
    <x:t xml:space="preserve">2026-04-17 21:35:47</x:t>
  </x:si>
  <x:si>
    <x:t xml:space="preserve">239</x:t>
  </x:si>
  <x:si>
    <x:t xml:space="preserve">73214092</x:t>
  </x:si>
  <x:si>
    <x:t xml:space="preserve">84781888</x:t>
  </x:si>
  <x:si>
    <x:t xml:space="preserve">2025-08-05 18:41:51</x:t>
  </x:si>
  <x:si>
    <x:t xml:space="preserve">2026-08-18 18:52:26</x:t>
  </x:si>
  <x:si>
    <x:t xml:space="preserve">386</x:t>
  </x:si>
  <x:si>
    <x:t xml:space="preserve">37020309</x:t>
  </x:si>
  <x:si>
    <x:t xml:space="preserve">2025-11-16 10:32:31</x:t>
  </x:si>
  <x:si>
    <x:t xml:space="preserve">2025-11-20 04:26:01</x:t>
  </x:si>
  <x:si>
    <x:t xml:space="preserve">688</x:t>
  </x:si>
  <x:si>
    <x:t xml:space="preserve">69878145</x:t>
  </x:si>
  <x:si>
    <x:t xml:space="preserve">90162599</x:t>
  </x:si>
  <x:si>
    <x:t xml:space="preserve">2026-07-16 03:12:32</x:t>
  </x:si>
  <x:si>
    <x:t xml:space="preserve">2026-08-15 15:44:15</x:t>
  </x:si>
  <x:si>
    <x:t xml:space="preserve">609</x:t>
  </x:si>
  <x:si>
    <x:t xml:space="preserve">26585619</x:t>
  </x:si>
  <x:si>
    <x:t xml:space="preserve">77178486</x:t>
  </x:si>
  <x:si>
    <x:t xml:space="preserve">2026-04-19 19:20:49</x:t>
  </x:si>
  <x:si>
    <x:t xml:space="preserve">2026-06-23 22:27:13</x:t>
  </x:si>
  <x:si>
    <x:t xml:space="preserve">136</x:t>
  </x:si>
  <x:si>
    <x:t xml:space="preserve">49628330</x:t>
  </x:si>
  <x:si>
    <x:t xml:space="preserve">55990093</x:t>
  </x:si>
  <x:si>
    <x:t xml:space="preserve">2025-04-26 15:49:36</x:t>
  </x:si>
  <x:si>
    <x:t xml:space="preserve">2025-12-26 16:06:46</x:t>
  </x:si>
  <x:si>
    <x:t xml:space="preserve">175</x:t>
  </x:si>
  <x:si>
    <x:t xml:space="preserve">2025-06-01 10:52:12</x:t>
  </x:si>
  <x:si>
    <x:t xml:space="preserve">2025-08-05 18:03:35</x:t>
  </x:si>
  <x:si>
    <x:t xml:space="preserve">740</x:t>
  </x:si>
  <x:si>
    <x:t xml:space="preserve">55953546</x:t>
  </x:si>
  <x:si>
    <x:t xml:space="preserve">97631943</x:t>
  </x:si>
  <x:si>
    <x:t xml:space="preserve">2026-07-27 20:25:00</x:t>
  </x:si>
  <x:si>
    <x:t xml:space="preserve">2026-09-01 07:08:32</x:t>
  </x:si>
  <x:si>
    <x:t xml:space="preserve">253</x:t>
  </x:si>
  <x:si>
    <x:t xml:space="preserve">27552767</x:t>
  </x:si>
  <x:si>
    <x:t xml:space="preserve">69997242</x:t>
  </x:si>
  <x:si>
    <x:t xml:space="preserve">2025-08-20 20:27:12</x:t>
  </x:si>
  <x:si>
    <x:t xml:space="preserve">2025-09-25 09:16:47</x:t>
  </x:si>
  <x:si>
    <x:t xml:space="preserve">366</x:t>
  </x:si>
  <x:si>
    <x:t xml:space="preserve">38207012</x:t>
  </x:si>
  <x:si>
    <x:t xml:space="preserve">97191221</x:t>
  </x:si>
  <x:si>
    <x:t xml:space="preserve">2025-11-05 18:03:09</x:t>
  </x:si>
  <x:si>
    <x:t xml:space="preserve">2026-01-19 16:59:50</x:t>
  </x:si>
  <x:si>
    <x:t xml:space="preserve">268</x:t>
  </x:si>
  <x:si>
    <x:t xml:space="preserve">60724549</x:t>
  </x:si>
  <x:si>
    <x:t xml:space="preserve">88153272</x:t>
  </x:si>
  <x:si>
    <x:t xml:space="preserve">2025-09-01 05:47:31</x:t>
  </x:si>
  <x:si>
    <x:t xml:space="preserve">2025-09-03 09:32:59</x:t>
  </x:si>
  <x:si>
    <x:t xml:space="preserve">476</x:t>
  </x:si>
  <x:si>
    <x:t xml:space="preserve">53593485</x:t>
  </x:si>
  <x:si>
    <x:t xml:space="preserve">91862009</x:t>
  </x:si>
  <x:si>
    <x:t xml:space="preserve">2026-01-11 13:42:05</x:t>
  </x:si>
  <x:si>
    <x:t xml:space="preserve">2026-03-23 19:07:00</x:t>
  </x:si>
  <x:si>
    <x:t xml:space="preserve">623</x:t>
  </x:si>
  <x:si>
    <x:t xml:space="preserve">2026-05-01 08:00:56</x:t>
  </x:si>
  <x:si>
    <x:t xml:space="preserve">2026-05-02 13:28:12</x:t>
  </x:si>
  <x:si>
    <x:t xml:space="preserve">586</x:t>
  </x:si>
  <x:si>
    <x:t xml:space="preserve">13260977</x:t>
  </x:si>
  <x:si>
    <x:t xml:space="preserve">2026-04-01 11:13:55</x:t>
  </x:si>
  <x:si>
    <x:t xml:space="preserve">2026-06-06 13:42:16</x:t>
  </x:si>
  <x:si>
    <x:t xml:space="preserve">777</x:t>
  </x:si>
  <x:si>
    <x:t xml:space="preserve">33047056</x:t>
  </x:si>
  <x:si>
    <x:t xml:space="preserve">80266903</x:t>
  </x:si>
  <x:si>
    <x:t xml:space="preserve">2026-08-17 11:12:14</x:t>
  </x:si>
  <x:si>
    <x:t xml:space="preserve">2026-08-19 16:00:14</x:t>
  </x:si>
  <x:si>
    <x:t xml:space="preserve">453</x:t>
  </x:si>
  <x:si>
    <x:t xml:space="preserve">80605086</x:t>
  </x:si>
  <x:si>
    <x:t xml:space="preserve">2026-02-01 11:34:27</x:t>
  </x:si>
  <x:si>
    <x:t xml:space="preserve">2026-03-02 07:43:54</x:t>
  </x:si>
  <x:si>
    <x:t xml:space="preserve">649</x:t>
  </x:si>
  <x:si>
    <x:t xml:space="preserve">19083760</x:t>
  </x:si>
  <x:si>
    <x:t xml:space="preserve">21506221</x:t>
  </x:si>
  <x:si>
    <x:t xml:space="preserve">2026-05-24 21:58:06</x:t>
  </x:si>
  <x:si>
    <x:t xml:space="preserve">2026-05-29 13:30:15</x:t>
  </x:si>
  <x:si>
    <x:t xml:space="preserve">95</x:t>
  </x:si>
  <x:si>
    <x:t xml:space="preserve">39947629</x:t>
  </x:si>
  <x:si>
    <x:t xml:space="preserve">44154171</x:t>
  </x:si>
  <x:si>
    <x:t xml:space="preserve">2025-03-25 01:04:01</x:t>
  </x:si>
  <x:si>
    <x:t xml:space="preserve">2025-06-03 19:56:38</x:t>
  </x:si>
  <x:si>
    <x:t xml:space="preserve">288</x:t>
  </x:si>
  <x:si>
    <x:t xml:space="preserve">53469127</x:t>
  </x:si>
  <x:si>
    <x:t xml:space="preserve">69381172</x:t>
  </x:si>
  <x:si>
    <x:t xml:space="preserve">2025-09-16 04:53:07</x:t>
  </x:si>
  <x:si>
    <x:t xml:space="preserve">2025-10-11 19:39:24</x:t>
  </x:si>
  <x:si>
    <x:t xml:space="preserve">397</x:t>
  </x:si>
  <x:si>
    <x:t xml:space="preserve">36707814</x:t>
  </x:si>
  <x:si>
    <x:t xml:space="preserve">78776196</x:t>
  </x:si>
  <x:si>
    <x:t xml:space="preserve">2025-11-24 14:49:32</x:t>
  </x:si>
  <x:si>
    <x:t xml:space="preserve">2025-12-11 10:22:09</x:t>
  </x:si>
  <x:si>
    <x:t xml:space="preserve">260</x:t>
  </x:si>
  <x:si>
    <x:t xml:space="preserve">37866808</x:t>
  </x:si>
  <x:si>
    <x:t xml:space="preserve">43897477</x:t>
  </x:si>
  <x:si>
    <x:t xml:space="preserve">2025-08-24 07:39:52</x:t>
  </x:si>
  <x:si>
    <x:t xml:space="preserve">2025-11-07 11:55:36</x:t>
  </x:si>
  <x:si>
    <x:t xml:space="preserve">702</x:t>
  </x:si>
  <x:si>
    <x:t xml:space="preserve">20090551</x:t>
  </x:si>
  <x:si>
    <x:t xml:space="preserve">47382031</x:t>
  </x:si>
  <x:si>
    <x:t xml:space="preserve">2026-06-30 09:07:16</x:t>
  </x:si>
  <x:si>
    <x:t xml:space="preserve">2026-08-22 13:09:30</x:t>
  </x:si>
  <x:si>
    <x:t xml:space="preserve">730</x:t>
  </x:si>
  <x:si>
    <x:t xml:space="preserve">40036572</x:t>
  </x:si>
  <x:si>
    <x:t xml:space="preserve">75543892</x:t>
  </x:si>
  <x:si>
    <x:t xml:space="preserve">2026-07-20 21:28:31</x:t>
  </x:si>
  <x:si>
    <x:t xml:space="preserve">2026-07-28 22:10:38</x:t>
  </x:si>
  <x:si>
    <x:t xml:space="preserve">280</x:t>
  </x:si>
  <x:si>
    <x:t xml:space="preserve">31922695</x:t>
  </x:si>
  <x:si>
    <x:t xml:space="preserve">64538316</x:t>
  </x:si>
  <x:si>
    <x:t xml:space="preserve">2025-10-01 15:47:13</x:t>
  </x:si>
  <x:si>
    <x:t xml:space="preserve">2026-09-01 18:47:40</x:t>
  </x:si>
  <x:si>
    <x:t xml:space="preserve">715</x:t>
  </x:si>
  <x:si>
    <x:t xml:space="preserve">14552056</x:t>
  </x:si>
  <x:si>
    <x:t xml:space="preserve">2026-07-11 09:49:47</x:t>
  </x:si>
  <x:si>
    <x:t xml:space="preserve">2026-07-15 13:53:35</x:t>
  </x:si>
  <x:si>
    <x:t xml:space="preserve">286</x:t>
  </x:si>
  <x:si>
    <x:t xml:space="preserve">89241570</x:t>
  </x:si>
  <x:si>
    <x:t xml:space="preserve">2025-10-14 03:59:41</x:t>
  </x:si>
  <x:si>
    <x:t xml:space="preserve">2025-10-23 18:22:24</x:t>
  </x:si>
  <x:si>
    <x:t xml:space="preserve">570</x:t>
  </x:si>
  <x:si>
    <x:t xml:space="preserve">65983953</x:t>
  </x:si>
  <x:si>
    <x:t xml:space="preserve">2026-07-19 08:23:43</x:t>
  </x:si>
  <x:si>
    <x:t xml:space="preserve">2026-08-28 17:58:38</x:t>
  </x:si>
  <x:si>
    <x:t xml:space="preserve">282</x:t>
  </x:si>
  <x:si>
    <x:t xml:space="preserve">33453959</x:t>
  </x:si>
  <x:si>
    <x:t xml:space="preserve">2025-09-10 20:26:49</x:t>
  </x:si>
  <x:si>
    <x:t xml:space="preserve">2025-12-01 15:49:11</x:t>
  </x:si>
  <x:si>
    <x:t xml:space="preserve">595</x:t>
  </x:si>
  <x:si>
    <x:t xml:space="preserve">98858744</x:t>
  </x:si>
  <x:si>
    <x:t xml:space="preserve">2026-04-09 06:36:03</x:t>
  </x:si>
  <x:si>
    <x:t xml:space="preserve">2026-07-01 16:08:49</x:t>
  </x:si>
  <x:si>
    <x:t xml:space="preserve">185</x:t>
  </x:si>
  <x:si>
    <x:t xml:space="preserve">20436586</x:t>
  </x:si>
  <x:si>
    <x:t xml:space="preserve">97581080</x:t>
  </x:si>
  <x:si>
    <x:t xml:space="preserve">2025-06-05 11:22:26</x:t>
  </x:si>
  <x:si>
    <x:t xml:space="preserve">2025-06-15 10:15:11</x:t>
  </x:si>
  <x:si>
    <x:t xml:space="preserve">582</x:t>
  </x:si>
  <x:si>
    <x:t xml:space="preserve">54780277</x:t>
  </x:si>
  <x:si>
    <x:t xml:space="preserve">2026-03-30 12:15:29</x:t>
  </x:si>
  <x:si>
    <x:t xml:space="preserve">2026-04-07 11:43:48</x:t>
  </x:si>
  <x:si>
    <x:t xml:space="preserve">337</x:t>
  </x:si>
  <x:si>
    <x:t xml:space="preserve">37203686</x:t>
  </x:si>
  <x:si>
    <x:t xml:space="preserve">56167553</x:t>
  </x:si>
  <x:si>
    <x:t xml:space="preserve">2025-10-23 16:08:28</x:t>
  </x:si>
  <x:si>
    <x:t xml:space="preserve">2025-12-29 17:09:19</x:t>
  </x:si>
  <x:si>
    <x:t xml:space="preserve">131</x:t>
  </x:si>
  <x:si>
    <x:t xml:space="preserve">16062510</x:t>
  </x:si>
  <x:si>
    <x:t xml:space="preserve">2025-04-20 21:51:42</x:t>
  </x:si>
  <x:si>
    <x:t xml:space="preserve">2025-04-25 14:12:01</x:t>
  </x:si>
  <x:si>
    <x:t xml:space="preserve">664</x:t>
  </x:si>
  <x:si>
    <x:t xml:space="preserve">28916880</x:t>
  </x:si>
  <x:si>
    <x:t xml:space="preserve">84138513</x:t>
  </x:si>
  <x:si>
    <x:t xml:space="preserve">2026-06-02 10:05:48</x:t>
  </x:si>
  <x:si>
    <x:t xml:space="preserve">2026-06-05 12:48:33</x:t>
  </x:si>
  <x:si>
    <x:t xml:space="preserve">298</x:t>
  </x:si>
  <x:si>
    <x:t xml:space="preserve">29168876</x:t>
  </x:si>
  <x:si>
    <x:t xml:space="preserve">2025-09-22 12:13:36</x:t>
  </x:si>
  <x:si>
    <x:t xml:space="preserve">2025-12-06 20:17:40</x:t>
  </x:si>
  <x:si>
    <x:t xml:space="preserve">784</x:t>
  </x:si>
  <x:si>
    <x:t xml:space="preserve">59856171</x:t>
  </x:si>
  <x:si>
    <x:t xml:space="preserve">2026-08-19 16:06:22</x:t>
  </x:si>
  <x:si>
    <x:t xml:space="preserve">2026-08-28 14:19:40</x:t>
  </x:si>
  <x:si>
    <x:t xml:space="preserve">479</x:t>
  </x:si>
  <x:si>
    <x:t xml:space="preserve">52961830</x:t>
  </x:si>
  <x:si>
    <x:t xml:space="preserve">68598553</x:t>
  </x:si>
  <x:si>
    <x:t xml:space="preserve">2026-03-10 21:53:20</x:t>
  </x:si>
  <x:si>
    <x:t xml:space="preserve">2026-03-18 23:21:31</x:t>
  </x:si>
  <x:si>
    <x:t xml:space="preserve">484</x:t>
  </x:si>
  <x:si>
    <x:t xml:space="preserve">52755725</x:t>
  </x:si>
  <x:si>
    <x:t xml:space="preserve">97808179</x:t>
  </x:si>
  <x:si>
    <x:t xml:space="preserve">2026-01-14 19:22:32</x:t>
  </x:si>
  <x:si>
    <x:t xml:space="preserve">2026-02-14 07:45:59</x:t>
  </x:si>
  <x:si>
    <x:t xml:space="preserve">478</x:t>
  </x:si>
  <x:si>
    <x:t xml:space="preserve">73780073</x:t>
  </x:si>
  <x:si>
    <x:t xml:space="preserve">2026-01-11 18:02:05</x:t>
  </x:si>
  <x:si>
    <x:t xml:space="preserve">2026-01-16 09:54:22</x:t>
  </x:si>
  <x:si>
    <x:t xml:space="preserve">65</x:t>
  </x:si>
  <x:si>
    <x:t xml:space="preserve">34302209</x:t>
  </x:si>
  <x:si>
    <x:t xml:space="preserve">93191803</x:t>
  </x:si>
  <x:si>
    <x:t xml:space="preserve">2025-03-06 01:34:26</x:t>
  </x:si>
  <x:si>
    <x:t xml:space="preserve">2025-03-14 22:55:47</x:t>
  </x:si>
  <x:si>
    <x:t xml:space="preserve">339</x:t>
  </x:si>
  <x:si>
    <x:t xml:space="preserve">14105612</x:t>
  </x:si>
  <x:si>
    <x:t xml:space="preserve">83760023</x:t>
  </x:si>
  <x:si>
    <x:t xml:space="preserve">2025-10-24 07:09:49</x:t>
  </x:si>
  <x:si>
    <x:t xml:space="preserve">2025-10-30 10:21:46</x:t>
  </x:si>
  <x:si>
    <x:t xml:space="preserve">610</x:t>
  </x:si>
  <x:si>
    <x:t xml:space="preserve">53179393</x:t>
  </x:si>
  <x:si>
    <x:t xml:space="preserve">79251016</x:t>
  </x:si>
  <x:si>
    <x:t xml:space="preserve">2026-04-20 15:36:00</x:t>
  </x:si>
  <x:si>
    <x:t xml:space="preserve">2026-05-24 13:23:44</x:t>
  </x:si>
  <x:si>
    <x:t xml:space="preserve">527</x:t>
  </x:si>
  <x:si>
    <x:t xml:space="preserve">41770654</x:t>
  </x:si>
  <x:si>
    <x:t xml:space="preserve">74605363</x:t>
  </x:si>
  <x:si>
    <x:t xml:space="preserve">2026-02-13 22:39:12</x:t>
  </x:si>
  <x:si>
    <x:t xml:space="preserve">2026-07-05 11:30:49</x:t>
  </x:si>
  <x:si>
    <x:t xml:space="preserve">622</x:t>
  </x:si>
  <x:si>
    <x:t xml:space="preserve">2026-05-07 05:28:49</x:t>
  </x:si>
  <x:si>
    <x:t xml:space="preserve">2026-05-16 19:48:20</x:t>
  </x:si>
  <x:si>
    <x:t xml:space="preserve">588</x:t>
  </x:si>
  <x:si>
    <x:t xml:space="preserve">26402188</x:t>
  </x:si>
  <x:si>
    <x:t xml:space="preserve">2026-04-02 20:05:20</x:t>
  </x:si>
  <x:si>
    <x:t xml:space="preserve">2026-06-01 09:28:55</x:t>
  </x:si>
  <x:si>
    <x:t xml:space="preserve">698</x:t>
  </x:si>
  <x:si>
    <x:t xml:space="preserve">43551279</x:t>
  </x:si>
  <x:si>
    <x:t xml:space="preserve">57809278</x:t>
  </x:si>
  <x:si>
    <x:t xml:space="preserve">2026-06-22 19:54:59</x:t>
  </x:si>
  <x:si>
    <x:t xml:space="preserve">2026-07-03 19:05:02</x:t>
  </x:si>
  <x:si>
    <x:t xml:space="preserve">636</x:t>
  </x:si>
  <x:si>
    <x:t xml:space="preserve">34627012</x:t>
  </x:si>
  <x:si>
    <x:t xml:space="preserve">77299414</x:t>
  </x:si>
  <x:si>
    <x:t xml:space="preserve">2026-05-14 18:39:31</x:t>
  </x:si>
  <x:si>
    <x:t xml:space="preserve">2026-06-30 23:53:57</x:t>
  </x:si>
  <x:si>
    <x:t xml:space="preserve">281</x:t>
  </x:si>
  <x:si>
    <x:t xml:space="preserve">54785803</x:t>
  </x:si>
  <x:si>
    <x:t xml:space="preserve">89054813</x:t>
  </x:si>
  <x:si>
    <x:t xml:space="preserve">2025-09-10 15:24:05</x:t>
  </x:si>
  <x:si>
    <x:t xml:space="preserve">2025-11-05 18:31:16</x:t>
  </x:si>
  <x:si>
    <x:t xml:space="preserve">530</x:t>
  </x:si>
  <x:si>
    <x:t xml:space="preserve">48411856</x:t>
  </x:si>
  <x:si>
    <x:t xml:space="preserve">2026-02-14 17:28:26</x:t>
  </x:si>
  <x:si>
    <x:t xml:space="preserve">2026-02-16 23:00:40</x:t>
  </x:si>
  <x:si>
    <x:t xml:space="preserve">734</x:t>
  </x:si>
  <x:si>
    <x:t xml:space="preserve">75894980</x:t>
  </x:si>
  <x:si>
    <x:t xml:space="preserve">76196141</x:t>
  </x:si>
  <x:si>
    <x:t xml:space="preserve">2026-07-23 10:18:10</x:t>
  </x:si>
  <x:si>
    <x:t xml:space="preserve">2026-08-18 09:17:28</x:t>
  </x:si>
  <x:si>
    <x:t xml:space="preserve">509</x:t>
  </x:si>
  <x:si>
    <x:t xml:space="preserve">15912733</x:t>
  </x:si>
  <x:si>
    <x:t xml:space="preserve">2026-02-01 20:15:55</x:t>
  </x:si>
  <x:si>
    <x:t xml:space="preserve">2026-03-02 17:59:36</x:t>
  </x:si>
  <x:si>
    <x:t xml:space="preserve">683</x:t>
  </x:si>
  <x:si>
    <x:t xml:space="preserve">19536594</x:t>
  </x:si>
  <x:si>
    <x:t xml:space="preserve">93220490</x:t>
  </x:si>
  <x:si>
    <x:t xml:space="preserve">2026-06-15 15:57:40</x:t>
  </x:si>
  <x:si>
    <x:t xml:space="preserve">2026-06-28 18:06:17</x:t>
  </x:si>
  <x:si>
    <x:t xml:space="preserve">124</x:t>
  </x:si>
  <x:si>
    <x:t xml:space="preserve">96220107</x:t>
  </x:si>
  <x:si>
    <x:t xml:space="preserve">2025-04-14 20:19:43</x:t>
  </x:si>
  <x:si>
    <x:t xml:space="preserve">2025-05-15 20:58:23</x:t>
  </x:si>
  <x:si>
    <x:t xml:space="preserve">262</x:t>
  </x:si>
  <x:si>
    <x:t xml:space="preserve">71370974</x:t>
  </x:si>
  <x:si>
    <x:t xml:space="preserve">2025-08-25 12:30:41</x:t>
  </x:si>
  <x:si>
    <x:t xml:space="preserve">2025-08-26 05:14:46</x:t>
  </x:si>
  <x:si>
    <x:t xml:space="preserve">118</x:t>
  </x:si>
  <x:si>
    <x:t xml:space="preserve">62662817</x:t>
  </x:si>
  <x:si>
    <x:t xml:space="preserve">96493027</x:t>
  </x:si>
  <x:si>
    <x:t xml:space="preserve">2025-04-07 23:39:32</x:t>
  </x:si>
  <x:si>
    <x:t xml:space="preserve">2025-08-05 18:31:14</x:t>
  </x:si>
  <x:si>
    <x:t xml:space="preserve">645</x:t>
  </x:si>
  <x:si>
    <x:t xml:space="preserve">63638443</x:t>
  </x:si>
  <x:si>
    <x:t xml:space="preserve">99152518</x:t>
  </x:si>
  <x:si>
    <x:t xml:space="preserve">2026-05-20 17:35:33</x:t>
  </x:si>
  <x:si>
    <x:t xml:space="preserve">2026-06-16 14:52:00</x:t>
  </x:si>
  <x:si>
    <x:t xml:space="preserve">347</x:t>
  </x:si>
  <x:si>
    <x:t xml:space="preserve">11323556</x:t>
  </x:si>
  <x:si>
    <x:t xml:space="preserve">24551395</x:t>
  </x:si>
  <x:si>
    <x:t xml:space="preserve">2025-10-30 17:25:37</x:t>
  </x:si>
  <x:si>
    <x:t xml:space="preserve">2025-11-12 18:01:51</x:t>
  </x:si>
  <x:si>
    <x:t xml:space="preserve">180</x:t>
  </x:si>
  <x:si>
    <x:t xml:space="preserve">12942123</x:t>
  </x:si>
  <x:si>
    <x:t xml:space="preserve">61034906</x:t>
  </x:si>
  <x:si>
    <x:t xml:space="preserve">2025-06-02 18:43:42</x:t>
  </x:si>
  <x:si>
    <x:t xml:space="preserve">2025-06-10 09:46:08</x:t>
  </x:si>
  <x:si>
    <x:t xml:space="preserve">571</x:t>
  </x:si>
  <x:si>
    <x:t xml:space="preserve">52093871</x:t>
  </x:si>
  <x:si>
    <x:t xml:space="preserve">2026-03-16 21:49:28</x:t>
  </x:si>
  <x:si>
    <x:t xml:space="preserve">2026-04-30 14:53:59</x:t>
  </x:si>
  <x:si>
    <x:t xml:space="preserve">775</x:t>
  </x:si>
  <x:si>
    <x:t xml:space="preserve">26733196</x:t>
  </x:si>
  <x:si>
    <x:t xml:space="preserve">69074740</x:t>
  </x:si>
  <x:si>
    <x:t xml:space="preserve">2026-08-16 13:20:55</x:t>
  </x:si>
  <x:si>
    <x:t xml:space="preserve">2026-08-20 03:46:45</x:t>
  </x:si>
  <x:si>
    <x:t xml:space="preserve">7</x:t>
  </x:si>
  <x:si>
    <x:t xml:space="preserve">53600306</x:t>
  </x:si>
  <x:si>
    <x:t xml:space="preserve">2025-01-26 11:02:26</x:t>
  </x:si>
  <x:si>
    <x:t xml:space="preserve">2025-02-08 19:40:16</x:t>
  </x:si>
  <x:si>
    <x:t xml:space="preserve">125</x:t>
  </x:si>
  <x:si>
    <x:t xml:space="preserve">49082957</x:t>
  </x:si>
  <x:si>
    <x:t xml:space="preserve">2025-04-22 13:38:11</x:t>
  </x:si>
  <x:si>
    <x:t xml:space="preserve">2025-06-20 00:25:28</x:t>
  </x:si>
  <x:si>
    <x:t xml:space="preserve">599</x:t>
  </x:si>
  <x:si>
    <x:t xml:space="preserve">47390923</x:t>
  </x:si>
  <x:si>
    <x:t xml:space="preserve">55892622</x:t>
  </x:si>
  <x:si>
    <x:t xml:space="preserve">2026-04-12 05:00:30</x:t>
  </x:si>
  <x:si>
    <x:t xml:space="preserve">2026-04-12 10:32:47</x:t>
  </x:si>
  <x:si>
    <x:t xml:space="preserve">414</x:t>
  </x:si>
  <x:si>
    <x:t xml:space="preserve">18872405</x:t>
  </x:si>
  <x:si>
    <x:t xml:space="preserve">33536903</x:t>
  </x:si>
  <x:si>
    <x:t xml:space="preserve">2025-12-04 15:37:12</x:t>
  </x:si>
  <x:si>
    <x:t xml:space="preserve">2026-07-11 03:33:59</x:t>
  </x:si>
  <x:si>
    <x:t xml:space="preserve">547</x:t>
  </x:si>
  <x:si>
    <x:t xml:space="preserve">44698307</x:t>
  </x:si>
  <x:si>
    <x:t xml:space="preserve">65084006</x:t>
  </x:si>
  <x:si>
    <x:t xml:space="preserve">2026-03-01 02:08:18</x:t>
  </x:si>
  <x:si>
    <x:t xml:space="preserve">2026-04-11 10:45:06</x:t>
  </x:si>
  <x:si>
    <x:t xml:space="preserve">627</x:t>
  </x:si>
  <x:si>
    <x:t xml:space="preserve">45538871</x:t>
  </x:si>
  <x:si>
    <x:t xml:space="preserve">2026-05-02 20:01:26</x:t>
  </x:si>
  <x:si>
    <x:t xml:space="preserve">2026-06-02 21:37:33</x:t>
  </x:si>
  <x:si>
    <x:t xml:space="preserve">498</x:t>
  </x:si>
  <x:si>
    <x:t xml:space="preserve">12927612</x:t>
  </x:si>
  <x:si>
    <x:t xml:space="preserve">51031768</x:t>
  </x:si>
  <x:si>
    <x:t xml:space="preserve">2026-01-24 21:21:01</x:t>
  </x:si>
  <x:si>
    <x:t xml:space="preserve">2026-06-04 16:19:50</x:t>
  </x:si>
  <x:si>
    <x:t xml:space="preserve">693</x:t>
  </x:si>
  <x:si>
    <x:t xml:space="preserve">34821884</x:t>
  </x:si>
  <x:si>
    <x:t xml:space="preserve">70901657</x:t>
  </x:si>
  <x:si>
    <x:t xml:space="preserve">2026-06-18 17:12:15</x:t>
  </x:si>
  <x:si>
    <x:t xml:space="preserve">2026-08-19 18:40:01</x:t>
  </x:si>
  <x:si>
    <x:t xml:space="preserve">576</x:t>
  </x:si>
  <x:si>
    <x:t xml:space="preserve">84493464</x:t>
  </x:si>
  <x:si>
    <x:t xml:space="preserve">2026-03-23 10:01:58</x:t>
  </x:si>
  <x:si>
    <x:t xml:space="preserve">2026-08-10 20:25:35</x:t>
  </x:si>
  <x:si>
    <x:t xml:space="preserve">713</x:t>
  </x:si>
  <x:si>
    <x:t xml:space="preserve">28911743</x:t>
  </x:si>
  <x:si>
    <x:t xml:space="preserve">99541854</x:t>
  </x:si>
  <x:si>
    <x:t xml:space="preserve">2026-07-07 15:51:55</x:t>
  </x:si>
  <x:si>
    <x:t xml:space="preserve">2026-07-09 21:34:51</x:t>
  </x:si>
  <x:si>
    <x:t xml:space="preserve">146</x:t>
  </x:si>
  <x:si>
    <x:t xml:space="preserve">14770238</x:t>
  </x:si>
  <x:si>
    <x:t xml:space="preserve">43150676</x:t>
  </x:si>
  <x:si>
    <x:t xml:space="preserve">2025-05-04 15:19:02</x:t>
  </x:si>
  <x:si>
    <x:t xml:space="preserve">2025-06-13 08:20:10</x:t>
  </x:si>
  <x:si>
    <x:t xml:space="preserve">678</x:t>
  </x:si>
  <x:si>
    <x:t xml:space="preserve">67750011</x:t>
  </x:si>
  <x:si>
    <x:t xml:space="preserve">2026-06-10 22:03:33</x:t>
  </x:si>
  <x:si>
    <x:t xml:space="preserve">2026-06-26 02:35:29</x:t>
  </x:si>
  <x:si>
    <x:t xml:space="preserve">647</x:t>
  </x:si>
  <x:si>
    <x:t xml:space="preserve">10655688</x:t>
  </x:si>
  <x:si>
    <x:t xml:space="preserve">64963528</x:t>
  </x:si>
  <x:si>
    <x:t xml:space="preserve">2026-05-22 18:00:25</x:t>
  </x:si>
  <x:si>
    <x:t xml:space="preserve">2026-05-28 15:29:18</x:t>
  </x:si>
  <x:si>
    <x:t xml:space="preserve">407</x:t>
  </x:si>
  <x:si>
    <x:t xml:space="preserve">29601190</x:t>
  </x:si>
  <x:si>
    <x:t xml:space="preserve">50894081</x:t>
  </x:si>
  <x:si>
    <x:t xml:space="preserve">2025-12-01 02:16:34</x:t>
  </x:si>
  <x:si>
    <x:t xml:space="preserve">2026-04-24 16:51:43</x:t>
  </x:si>
  <x:si>
    <x:t xml:space="preserve">535</x:t>
  </x:si>
  <x:si>
    <x:t xml:space="preserve">48028706</x:t>
  </x:si>
  <x:si>
    <x:t xml:space="preserve">69743035</x:t>
  </x:si>
  <x:si>
    <x:t xml:space="preserve">2026-02-16 15:43:20</x:t>
  </x:si>
  <x:si>
    <x:t xml:space="preserve">2026-04-18 17:32:41</x:t>
  </x:si>
  <x:si>
    <x:t xml:space="preserve">4</x:t>
  </x:si>
  <x:si>
    <x:t xml:space="preserve">18950811</x:t>
  </x:si>
  <x:si>
    <x:t xml:space="preserve">51633513</x:t>
  </x:si>
  <x:si>
    <x:t xml:space="preserve">2025-08-06 08:33:19</x:t>
  </x:si>
  <x:si>
    <x:t xml:space="preserve">2026-08-28 14:10:56</x:t>
  </x:si>
  <x:si>
    <x:t xml:space="preserve">794</x:t>
  </x:si>
  <x:si>
    <x:t xml:space="preserve">63674562</x:t>
  </x:si>
  <x:si>
    <x:t xml:space="preserve">81630344</x:t>
  </x:si>
  <x:si>
    <x:t xml:space="preserve">2026-08-21 13:35:50</x:t>
  </x:si>
  <x:si>
    <x:t xml:space="preserve">2026-08-27 20:50:33</x:t>
  </x:si>
  <x:si>
    <x:t xml:space="preserve">61</x:t>
  </x:si>
  <x:si>
    <x:t xml:space="preserve">24856648</x:t>
  </x:si>
  <x:si>
    <x:t xml:space="preserve">84497996</x:t>
  </x:si>
  <x:si>
    <x:t xml:space="preserve">2025-03-06 01:21:23</x:t>
  </x:si>
  <x:si>
    <x:t xml:space="preserve">2026-08-12 14:45:42</x:t>
  </x:si>
  <x:si>
    <x:t xml:space="preserve">700</x:t>
  </x:si>
  <x:si>
    <x:t xml:space="preserve">14078793</x:t>
  </x:si>
  <x:si>
    <x:t xml:space="preserve">2026-06-28 19:06:43</x:t>
  </x:si>
  <x:si>
    <x:t xml:space="preserve">2026-07-05 06:19:29</x:t>
  </x:si>
  <x:si>
    <x:t xml:space="preserve">802</x:t>
  </x:si>
  <x:si>
    <x:t xml:space="preserve">63192656</x:t>
  </x:si>
  <x:si>
    <x:t xml:space="preserve">96628542</x:t>
  </x:si>
  <x:si>
    <x:t xml:space="preserve">2026-08-25 19:02:01</x:t>
  </x:si>
  <x:si>
    <x:t xml:space="preserve">2026-08-27 10:30:56</x:t>
  </x:si>
  <x:si>
    <x:t xml:space="preserve">434</x:t>
  </x:si>
  <x:si>
    <x:t xml:space="preserve">48351049</x:t>
  </x:si>
  <x:si>
    <x:t xml:space="preserve">2025-12-14 19:59:10</x:t>
  </x:si>
  <x:si>
    <x:t xml:space="preserve">2025-12-26 00:39:51</x:t>
  </x:si>
  <x:si>
    <x:t xml:space="preserve">510</x:t>
  </x:si>
  <x:si>
    <x:t xml:space="preserve">15474809</x:t>
  </x:si>
  <x:si>
    <x:t xml:space="preserve">55091488</x:t>
  </x:si>
  <x:si>
    <x:t xml:space="preserve">2026-02-01 21:57:43</x:t>
  </x:si>
  <x:si>
    <x:t xml:space="preserve">2026-04-21 16:28:09</x:t>
  </x:si>
  <x:si>
    <x:t xml:space="preserve">391</x:t>
  </x:si>
  <x:si>
    <x:t xml:space="preserve">79216587</x:t>
  </x:si>
  <x:si>
    <x:t xml:space="preserve">80230333</x:t>
  </x:si>
  <x:si>
    <x:t xml:space="preserve">2025-11-17 22:50:40</x:t>
  </x:si>
  <x:si>
    <x:t xml:space="preserve">2025-12-20 15:53:33</x:t>
  </x:si>
  <x:si>
    <x:t xml:space="preserve">291</x:t>
  </x:si>
  <x:si>
    <x:t xml:space="preserve">21674992</x:t>
  </x:si>
  <x:si>
    <x:t xml:space="preserve">86108645</x:t>
  </x:si>
  <x:si>
    <x:t xml:space="preserve">2025-09-16 22:37:10</x:t>
  </x:si>
  <x:si>
    <x:t xml:space="preserve">2025-10-12 23:44:06</x:t>
  </x:si>
  <x:si>
    <x:t xml:space="preserve">255</x:t>
  </x:si>
  <x:si>
    <x:t xml:space="preserve">59834483</x:t>
  </x:si>
  <x:si>
    <x:t xml:space="preserve">2025-08-21 12:46:32</x:t>
  </x:si>
  <x:si>
    <x:t xml:space="preserve">2025-09-01 18:02:53</x:t>
  </x:si>
  <x:si>
    <x:t xml:space="preserve">707</x:t>
  </x:si>
  <x:si>
    <x:t xml:space="preserve">79946437</x:t>
  </x:si>
  <x:si>
    <x:t xml:space="preserve">2026-07-05 05:44:24</x:t>
  </x:si>
  <x:si>
    <x:t xml:space="preserve">2026-07-07 15:25:23</x:t>
  </x:si>
  <x:si>
    <x:t xml:space="preserve">52</x:t>
  </x:si>
  <x:si>
    <x:t xml:space="preserve">36264178</x:t>
  </x:si>
  <x:si>
    <x:t xml:space="preserve">59568305</x:t>
  </x:si>
  <x:si>
    <x:t xml:space="preserve">2025-03-06 04:12:26</x:t>
  </x:si>
  <x:si>
    <x:t xml:space="preserve">2025-03-11 17:33:43</x:t>
  </x:si>
  <x:si>
    <x:t xml:space="preserve">461</x:t>
  </x:si>
  <x:si>
    <x:t xml:space="preserve">41016877</x:t>
  </x:si>
  <x:si>
    <x:t xml:space="preserve">78200318</x:t>
  </x:si>
  <x:si>
    <x:t xml:space="preserve">2026-01-02 21:14:46</x:t>
  </x:si>
  <x:si>
    <x:t xml:space="preserve">2026-03-24 05:03:28</x:t>
  </x:si>
  <x:si>
    <x:t xml:space="preserve">699</x:t>
  </x:si>
  <x:si>
    <x:t xml:space="preserve">76018577</x:t>
  </x:si>
  <x:si>
    <x:t xml:space="preserve">2026-06-26 20:48:11</x:t>
  </x:si>
  <x:si>
    <x:t xml:space="preserve">2026-07-06 08:37:22</x:t>
  </x:si>
  <x:si>
    <x:t xml:space="preserve">796</x:t>
  </x:si>
  <x:si>
    <x:t xml:space="preserve">63084576</x:t>
  </x:si>
  <x:si>
    <x:t xml:space="preserve">63528779</x:t>
  </x:si>
  <x:si>
    <x:t xml:space="preserve">2026-08-21 22:31:31</x:t>
  </x:si>
  <x:si>
    <x:t xml:space="preserve">2026-08-29 20:56:34</x:t>
  </x:si>
  <x:si>
    <x:t xml:space="preserve">646</x:t>
  </x:si>
  <x:si>
    <x:t xml:space="preserve">18881938</x:t>
  </x:si>
  <x:si>
    <x:t xml:space="preserve">98695890</x:t>
  </x:si>
  <x:si>
    <x:t xml:space="preserve">2026-05-22 05:26:18</x:t>
  </x:si>
  <x:si>
    <x:t xml:space="preserve">2026-05-28 18:25:44</x:t>
  </x:si>
  <x:si>
    <x:t xml:space="preserve">431</x:t>
  </x:si>
  <x:si>
    <x:t xml:space="preserve">41102876</x:t>
  </x:si>
  <x:si>
    <x:t xml:space="preserve">72980253</x:t>
  </x:si>
  <x:si>
    <x:t xml:space="preserve">2026-01-01 13:03:54</x:t>
  </x:si>
  <x:si>
    <x:t xml:space="preserve">2026-01-11 20:12:11</x:t>
  </x:si>
  <x:si>
    <x:t xml:space="preserve">758</x:t>
  </x:si>
  <x:si>
    <x:t xml:space="preserve">25717782</x:t>
  </x:si>
  <x:si>
    <x:t xml:space="preserve">58309469</x:t>
  </x:si>
  <x:si>
    <x:t xml:space="preserve">2026-08-05 17:51:16</x:t>
  </x:si>
  <x:si>
    <x:t xml:space="preserve">2026-08-13 05:42:07</x:t>
  </x:si>
  <x:si>
    <x:t xml:space="preserve">662</x:t>
  </x:si>
  <x:si>
    <x:t xml:space="preserve">50827510</x:t>
  </x:si>
  <x:si>
    <x:t xml:space="preserve">71076461</x:t>
  </x:si>
  <x:si>
    <x:t xml:space="preserve">2026-06-01 22:33:46</x:t>
  </x:si>
  <x:si>
    <x:t xml:space="preserve">2026-06-29 09:05:34</x:t>
  </x:si>
  <x:si>
    <x:t xml:space="preserve">519</x:t>
  </x:si>
  <x:si>
    <x:t xml:space="preserve">70679552</x:t>
  </x:si>
  <x:si>
    <x:t xml:space="preserve">86928577</x:t>
  </x:si>
  <x:si>
    <x:t xml:space="preserve">2026-02-07 21:01:53</x:t>
  </x:si>
  <x:si>
    <x:t xml:space="preserve">2026-02-07 21:42:24</x:t>
  </x:si>
  <x:si>
    <x:t xml:space="preserve">714</x:t>
  </x:si>
  <x:si>
    <x:t xml:space="preserve">66693045</x:t>
  </x:si>
  <x:si>
    <x:t xml:space="preserve">82299617</x:t>
  </x:si>
  <x:si>
    <x:t xml:space="preserve">2026-08-11 09:22:18</x:t>
  </x:si>
  <x:si>
    <x:t xml:space="preserve">2026-08-16 19:41:56</x:t>
  </x:si>
  <x:si>
    <x:t xml:space="preserve">559</x:t>
  </x:si>
  <x:si>
    <x:t xml:space="preserve">57165130</x:t>
  </x:si>
  <x:si>
    <x:t xml:space="preserve">78232208</x:t>
  </x:si>
  <x:si>
    <x:t xml:space="preserve">2026-03-09 15:49:10</x:t>
  </x:si>
  <x:si>
    <x:t xml:space="preserve">2026-05-13 15:52:23</x:t>
  </x:si>
  <x:si>
    <x:t xml:space="preserve">550</x:t>
  </x:si>
  <x:si>
    <x:t xml:space="preserve">56632894</x:t>
  </x:si>
  <x:si>
    <x:t xml:space="preserve">78339597</x:t>
  </x:si>
  <x:si>
    <x:t xml:space="preserve">2026-03-01 18:09:06</x:t>
  </x:si>
  <x:si>
    <x:t xml:space="preserve">2026-05-18 11:55:41</x:t>
  </x:si>
  <x:si>
    <x:t xml:space="preserve">549</x:t>
  </x:si>
  <x:si>
    <x:t xml:space="preserve">16507965</x:t>
  </x:si>
  <x:si>
    <x:t xml:space="preserve">72932316</x:t>
  </x:si>
  <x:si>
    <x:t xml:space="preserve">2026-03-24 21:22:38</x:t>
  </x:si>
  <x:si>
    <x:t xml:space="preserve">2026-05-06 21:28:16</x:t>
  </x:si>
  <x:si>
    <x:t xml:space="preserve">668</x:t>
  </x:si>
  <x:si>
    <x:t xml:space="preserve">77853754</x:t>
  </x:si>
  <x:si>
    <x:t xml:space="preserve">2026-06-05 16:09:32</x:t>
  </x:si>
  <x:si>
    <x:t xml:space="preserve">2026-07-01 13:55:22</x:t>
  </x:si>
  <x:si>
    <x:t xml:space="preserve">681</x:t>
  </x:si>
  <x:si>
    <x:t xml:space="preserve">22577912</x:t>
  </x:si>
  <x:si>
    <x:t xml:space="preserve">30400567</x:t>
  </x:si>
  <x:si>
    <x:t xml:space="preserve">2026-06-13 09:42:38</x:t>
  </x:si>
  <x:si>
    <x:t xml:space="preserve">2026-07-13 00:48:53</x:t>
  </x:si>
  <x:si>
    <x:t xml:space="preserve">779</x:t>
  </x:si>
  <x:si>
    <x:t xml:space="preserve">36952233</x:t>
  </x:si>
  <x:si>
    <x:t xml:space="preserve">2026-08-18 00:24:14</x:t>
  </x:si>
  <x:si>
    <x:t xml:space="preserve">2026-08-18 20:25:40</x:t>
  </x:si>
  <x:si>
    <x:t xml:space="preserve">697</x:t>
  </x:si>
  <x:si>
    <x:t xml:space="preserve">62749923</x:t>
  </x:si>
  <x:si>
    <x:t xml:space="preserve">75463283</x:t>
  </x:si>
  <x:si>
    <x:t xml:space="preserve">2026-06-22 13:16:07</x:t>
  </x:si>
  <x:si>
    <x:t xml:space="preserve">2026-07-05 00:46:33</x:t>
  </x:si>
  <x:si>
    <x:t xml:space="preserve">516</x:t>
  </x:si>
  <x:si>
    <x:t xml:space="preserve">79234246</x:t>
  </x:si>
  <x:si>
    <x:t xml:space="preserve">2026-05-21 15:50:48</x:t>
  </x:si>
  <x:si>
    <x:t xml:space="preserve">2026-06-11 22:20:26</x:t>
  </x:si>
  <x:si>
    <x:t xml:space="preserve">553</x:t>
  </x:si>
  <x:si>
    <x:t xml:space="preserve">38126737</x:t>
  </x:si>
  <x:si>
    <x:t xml:space="preserve">93135597</x:t>
  </x:si>
  <x:si>
    <x:t xml:space="preserve">2026-03-01 22:39:18</x:t>
  </x:si>
  <x:si>
    <x:t xml:space="preserve">2026-04-02 07:26:12</x:t>
  </x:si>
  <x:si>
    <x:t xml:space="preserve">751</x:t>
  </x:si>
  <x:si>
    <x:t xml:space="preserve">31830775</x:t>
  </x:si>
  <x:si>
    <x:t xml:space="preserve">2026-08-15 01:30:01</x:t>
  </x:si>
  <x:si>
    <x:t xml:space="preserve">2026-08-19 10:58:56</x:t>
  </x:si>
  <x:si>
    <x:t xml:space="preserve">572</x:t>
  </x:si>
  <x:si>
    <x:t xml:space="preserve">59314874</x:t>
  </x:si>
  <x:si>
    <x:t xml:space="preserve">2026-03-17 16:21:21</x:t>
  </x:si>
  <x:si>
    <x:t xml:space="preserve">2026-04-24 22:56:41</x:t>
  </x:si>
  <x:si>
    <x:t xml:space="preserve">46</x:t>
  </x:si>
  <x:si>
    <x:t xml:space="preserve">20537057</x:t>
  </x:si>
  <x:si>
    <x:t xml:space="preserve">45081358</x:t>
  </x:si>
  <x:si>
    <x:t xml:space="preserve">2025-03-01 19:13:13</x:t>
  </x:si>
  <x:si>
    <x:t xml:space="preserve">2025-03-03 00:07:47</x:t>
  </x:si>
  <x:si>
    <x:t xml:space="preserve">1</x:t>
  </x:si>
  <x:si>
    <x:t xml:space="preserve">51003365</x:t>
  </x:si>
  <x:si>
    <x:t xml:space="preserve">65496515</x:t>
  </x:si>
  <x:si>
    <x:t xml:space="preserve">2026-01-16 07:34:16</x:t>
  </x:si>
  <x:si>
    <x:t xml:space="preserve">2026-06-09 12:37:52</x:t>
  </x:si>
  <x:si>
    <x:t xml:space="preserve">729</x:t>
  </x:si>
  <x:si>
    <x:t xml:space="preserve">42927446</x:t>
  </x:si>
  <x:si>
    <x:t xml:space="preserve">2026-07-20 07:05:43</x:t>
  </x:si>
  <x:si>
    <x:t xml:space="preserve">2026-07-24 22:32:06</x:t>
  </x:si>
  <x:si>
    <x:t xml:space="preserve">382</x:t>
  </x:si>
  <x:si>
    <x:t xml:space="preserve">53113067</x:t>
  </x:si>
  <x:si>
    <x:t xml:space="preserve">77888503</x:t>
  </x:si>
  <x:si>
    <x:t xml:space="preserve">2025-11-15 13:51:31</x:t>
  </x:si>
  <x:si>
    <x:t xml:space="preserve">2025-11-16 08:50:12</x:t>
  </x:si>
  <x:si>
    <x:t xml:space="preserve">126</x:t>
  </x:si>
  <x:si>
    <x:t xml:space="preserve">38495504</x:t>
  </x:si>
  <x:si>
    <x:t xml:space="preserve">47407452</x:t>
  </x:si>
  <x:si>
    <x:t xml:space="preserve">2025-04-16 03:59:56</x:t>
  </x:si>
  <x:si>
    <x:t xml:space="preserve">2025-10-28 19:17:36</x:t>
  </x:si>
  <x:si>
    <x:t xml:space="preserve">495</x:t>
  </x:si>
  <x:si>
    <x:t xml:space="preserve">75854498</x:t>
  </x:si>
  <x:si>
    <x:t xml:space="preserve">89155605</x:t>
  </x:si>
  <x:si>
    <x:t xml:space="preserve">2026-01-20 20:02:38</x:t>
  </x:si>
  <x:si>
    <x:t xml:space="preserve">2026-04-04 21:23:31</x:t>
  </x:si>
  <x:si>
    <x:t xml:space="preserve">483</x:t>
  </x:si>
  <x:si>
    <x:t xml:space="preserve">78758411</x:t>
  </x:si>
  <x:si>
    <x:t xml:space="preserve">2026-01-14 15:09:05</x:t>
  </x:si>
  <x:si>
    <x:t xml:space="preserve">2026-04-16 09:31:24</x:t>
  </x:si>
  <x:si>
    <x:t xml:space="preserve">325</x:t>
  </x:si>
  <x:si>
    <x:t xml:space="preserve">79358890</x:t>
  </x:si>
  <x:si>
    <x:t xml:space="preserve">2025-10-15 22:28:48</x:t>
  </x:si>
  <x:si>
    <x:t xml:space="preserve">2025-10-20 14:01:21</x:t>
  </x:si>
  <x:si>
    <x:t xml:space="preserve">706</x:t>
  </x:si>
  <x:si>
    <x:t xml:space="preserve">41278060</x:t>
  </x:si>
  <x:si>
    <x:t xml:space="preserve">80282418</x:t>
  </x:si>
  <x:si>
    <x:t xml:space="preserve">2026-07-11 05:46:14</x:t>
  </x:si>
  <x:si>
    <x:t xml:space="preserve">2026-07-17 01:52:47</x:t>
  </x:si>
  <x:si>
    <x:t xml:space="preserve">742</x:t>
  </x:si>
  <x:si>
    <x:t xml:space="preserve">59880565</x:t>
  </x:si>
  <x:si>
    <x:t xml:space="preserve">63105033</x:t>
  </x:si>
  <x:si>
    <x:t xml:space="preserve">2026-07-29 21:08:40</x:t>
  </x:si>
  <x:si>
    <x:t xml:space="preserve">2026-07-30 13:27:19</x:t>
  </x:si>
  <x:si>
    <x:t xml:space="preserve">529</x:t>
  </x:si>
  <x:si>
    <x:t xml:space="preserve">11524954</x:t>
  </x:si>
  <x:si>
    <x:t xml:space="preserve">73376498</x:t>
  </x:si>
  <x:si>
    <x:t xml:space="preserve">2026-02-14 14:17:16</x:t>
  </x:si>
  <x:si>
    <x:t xml:space="preserve">2026-02-23 14:57:17</x:t>
  </x:si>
  <x:si>
    <x:t xml:space="preserve">660</x:t>
  </x:si>
  <x:si>
    <x:t xml:space="preserve">54973333</x:t>
  </x:si>
  <x:si>
    <x:t xml:space="preserve">88638568</x:t>
  </x:si>
  <x:si>
    <x:t xml:space="preserve">2026-06-01 14:26:55</x:t>
  </x:si>
  <x:si>
    <x:t xml:space="preserve">2026-07-12 23:01:04</x:t>
  </x:si>
  <x:si>
    <x:t xml:space="preserve">593</x:t>
  </x:si>
  <x:si>
    <x:t xml:space="preserve">42527616</x:t>
  </x:si>
  <x:si>
    <x:t xml:space="preserve">2026-04-04 19:08:31</x:t>
  </x:si>
  <x:si>
    <x:t xml:space="preserve">2026-05-22 17:08:50</x:t>
  </x:si>
  <x:si>
    <x:t xml:space="preserve">735</x:t>
  </x:si>
  <x:si>
    <x:t xml:space="preserve">27674865</x:t>
  </x:si>
  <x:si>
    <x:t xml:space="preserve">87797893</x:t>
  </x:si>
  <x:si>
    <x:t xml:space="preserve">2026-07-25 21:03:39</x:t>
  </x:si>
  <x:si>
    <x:t xml:space="preserve">2026-07-30 14:32:19</x:t>
  </x:si>
  <x:si>
    <x:t xml:space="preserve">294</x:t>
  </x:si>
  <x:si>
    <x:t xml:space="preserve">26163849</x:t>
  </x:si>
  <x:si>
    <x:t xml:space="preserve">2025-09-18 19:26:24</x:t>
  </x:si>
  <x:si>
    <x:t xml:space="preserve">2025-09-30 10:38:26</x:t>
  </x:si>
  <x:si>
    <x:t xml:space="preserve">138</x:t>
  </x:si>
  <x:si>
    <x:t xml:space="preserve">32355458</x:t>
  </x:si>
  <x:si>
    <x:t xml:space="preserve">2025-11-01 19:17:55</x:t>
  </x:si>
  <x:si>
    <x:t xml:space="preserve">2025-11-18 00:59:52</x:t>
  </x:si>
  <x:si>
    <x:t xml:space="preserve">436</x:t>
  </x:si>
  <x:si>
    <x:t xml:space="preserve">49765764</x:t>
  </x:si>
  <x:si>
    <x:t xml:space="preserve">97613687</x:t>
  </x:si>
  <x:si>
    <x:t xml:space="preserve">2025-12-14 23:51:45</x:t>
  </x:si>
  <x:si>
    <x:t xml:space="preserve">2025-12-19 01:18:33</x:t>
  </x:si>
  <x:si>
    <x:t xml:space="preserve">708</x:t>
  </x:si>
  <x:si>
    <x:t xml:space="preserve">22103102</x:t>
  </x:si>
  <x:si>
    <x:t xml:space="preserve">33885068</x:t>
  </x:si>
  <x:si>
    <x:t xml:space="preserve">2026-07-06 13:23:44</x:t>
  </x:si>
  <x:si>
    <x:t xml:space="preserve">2026-07-23 20:48:51</x:t>
  </x:si>
  <x:si>
    <x:t xml:space="preserve">13</x:t>
  </x:si>
  <x:si>
    <x:t xml:space="preserve">65614662</x:t>
  </x:si>
  <x:si>
    <x:t xml:space="preserve">90852659</x:t>
  </x:si>
  <x:si>
    <x:t xml:space="preserve">2025-02-22 22:56:43</x:t>
  </x:si>
  <x:si>
    <x:t xml:space="preserve">2025-02-24 13:21:07</x:t>
  </x:si>
  <x:si>
    <x:t xml:space="preserve">675</x:t>
  </x:si>
  <x:si>
    <x:t xml:space="preserve">88720363</x:t>
  </x:si>
  <x:si>
    <x:t xml:space="preserve">89859222</x:t>
  </x:si>
  <x:si>
    <x:t xml:space="preserve">2026-06-07 20:05:26</x:t>
  </x:si>
  <x:si>
    <x:t xml:space="preserve">2026-07-03 12:33:18</x:t>
  </x:si>
  <x:si>
    <x:t xml:space="preserve">197</x:t>
  </x:si>
  <x:si>
    <x:t xml:space="preserve">28306283</x:t>
  </x:si>
  <x:si>
    <x:t xml:space="preserve">33032427</x:t>
  </x:si>
  <x:si>
    <x:t xml:space="preserve">2025-09-01 06:04:17</x:t>
  </x:si>
  <x:si>
    <x:t xml:space="preserve">2025-10-16 23:05:52</x:t>
  </x:si>
  <x:si>
    <x:t xml:space="preserve">674</x:t>
  </x:si>
  <x:si>
    <x:t xml:space="preserve">35960586</x:t>
  </x:si>
  <x:si>
    <x:t xml:space="preserve">97894125</x:t>
  </x:si>
  <x:si>
    <x:t xml:space="preserve">2026-06-07 01:10:37</x:t>
  </x:si>
  <x:si>
    <x:t xml:space="preserve">2026-06-13 14:55:02</x:t>
  </x:si>
  <x:si>
    <x:t xml:space="preserve">653</x:t>
  </x:si>
  <x:si>
    <x:t xml:space="preserve">10900852</x:t>
  </x:si>
  <x:si>
    <x:t xml:space="preserve">16282543</x:t>
  </x:si>
  <x:si>
    <x:t xml:space="preserve">2026-05-26 08:28:02</x:t>
  </x:si>
  <x:si>
    <x:t xml:space="preserve">2026-06-06 09:53:50</x:t>
  </x:si>
  <x:si>
    <x:t xml:space="preserve">487</x:t>
  </x:si>
  <x:si>
    <x:t xml:space="preserve">14732762</x:t>
  </x:si>
  <x:si>
    <x:t xml:space="preserve">19134661</x:t>
  </x:si>
  <x:si>
    <x:t xml:space="preserve">2026-01-16 12:55:49</x:t>
  </x:si>
  <x:si>
    <x:t xml:space="preserve">2026-03-15 23:11:34</x:t>
  </x:si>
  <x:si>
    <x:t xml:space="preserve">468</x:t>
  </x:si>
  <x:si>
    <x:t xml:space="preserve">41061865</x:t>
  </x:si>
  <x:si>
    <x:t xml:space="preserve">2026-01-03 20:35:48</x:t>
  </x:si>
  <x:si>
    <x:t xml:space="preserve">2026-02-02 18:17:45</x:t>
  </x:si>
  <x:si>
    <x:t xml:space="preserve">358</x:t>
  </x:si>
  <x:si>
    <x:t xml:space="preserve">50043535</x:t>
  </x:si>
  <x:si>
    <x:t xml:space="preserve">83617414</x:t>
  </x:si>
  <x:si>
    <x:t xml:space="preserve">2025-11-01 22:05:12</x:t>
  </x:si>
  <x:si>
    <x:t xml:space="preserve">2025-11-03 19:16:50</x:t>
  </x:si>
  <x:si>
    <x:t xml:space="preserve">741</x:t>
  </x:si>
  <x:si>
    <x:t xml:space="preserve">95238010</x:t>
  </x:si>
  <x:si>
    <x:t xml:space="preserve">2026-07-28 06:05:33</x:t>
  </x:si>
  <x:si>
    <x:t xml:space="preserve">2026-08-11 22:42:29</x:t>
  </x:si>
  <x:si>
    <x:t xml:space="preserve">643</x:t>
  </x:si>
  <x:si>
    <x:t xml:space="preserve">59750527</x:t>
  </x:si>
  <x:si>
    <x:t xml:space="preserve">75146155</x:t>
  </x:si>
  <x:si>
    <x:t xml:space="preserve">2026-06-16 17:51:00</x:t>
  </x:si>
  <x:si>
    <x:t xml:space="preserve">2026-06-17 12:59:58</x:t>
  </x:si>
  <x:si>
    <x:t xml:space="preserve">363</x:t>
  </x:si>
  <x:si>
    <x:t xml:space="preserve">63724782</x:t>
  </x:si>
  <x:si>
    <x:t xml:space="preserve">2025-11-03 12:16:06</x:t>
  </x:si>
  <x:si>
    <x:t xml:space="preserve">2026-02-20 12:21:44</x:t>
  </x:si>
  <x:si>
    <x:t xml:space="preserve">562</x:t>
  </x:si>
  <x:si>
    <x:t xml:space="preserve">19033164</x:t>
  </x:si>
  <x:si>
    <x:t xml:space="preserve">81416034</x:t>
  </x:si>
  <x:si>
    <x:t xml:space="preserve">2026-03-16 21:07:57</x:t>
  </x:si>
  <x:si>
    <x:t xml:space="preserve">2026-03-19 23:03:47</x:t>
  </x:si>
  <x:si>
    <x:t xml:space="preserve">445</x:t>
  </x:si>
  <x:si>
    <x:t xml:space="preserve">19357811</x:t>
  </x:si>
  <x:si>
    <x:t xml:space="preserve">31878421</x:t>
  </x:si>
  <x:si>
    <x:t xml:space="preserve">2025-12-19 14:46:31</x:t>
  </x:si>
  <x:si>
    <x:t xml:space="preserve">2026-06-23 16:36:50</x:t>
  </x:si>
  <x:si>
    <x:t xml:space="preserve">541</x:t>
  </x:si>
  <x:si>
    <x:t xml:space="preserve">72707551</x:t>
  </x:si>
  <x:si>
    <x:t xml:space="preserve">89797667</x:t>
  </x:si>
  <x:si>
    <x:t xml:space="preserve">2026-02-19 20:42:44</x:t>
  </x:si>
  <x:si>
    <x:t xml:space="preserve">2026-03-03 21:59:40</x:t>
  </x:si>
  <x:si>
    <x:t xml:space="preserve">499</x:t>
  </x:si>
  <x:si>
    <x:t xml:space="preserve">98799913</x:t>
  </x:si>
  <x:si>
    <x:t xml:space="preserve">2026-01-25 21:42:58</x:t>
  </x:si>
  <x:si>
    <x:t xml:space="preserve">2026-07-24 17:45:00</x:t>
  </x:si>
  <x:si>
    <x:t xml:space="preserve">624</x:t>
  </x:si>
  <x:si>
    <x:t xml:space="preserve">54053405</x:t>
  </x:si>
  <x:si>
    <x:t xml:space="preserve">71102788</x:t>
  </x:si>
  <x:si>
    <x:t xml:space="preserve">2026-05-01 15:56:13</x:t>
  </x:si>
  <x:si>
    <x:t xml:space="preserve">2026-05-19 20:28:29</x:t>
  </x:si>
  <x:si>
    <x:t xml:space="preserve">421</x:t>
  </x:si>
  <x:si>
    <x:t xml:space="preserve">16634280</x:t>
  </x:si>
  <x:si>
    <x:t xml:space="preserve">17954363</x:t>
  </x:si>
  <x:si>
    <x:t xml:space="preserve">2026-02-16 19:33:32</x:t>
  </x:si>
  <x:si>
    <x:t xml:space="preserve">2026-05-11 04:05:41</x:t>
  </x:si>
  <x:si>
    <x:t xml:space="preserve">615</x:t>
  </x:si>
  <x:si>
    <x:t xml:space="preserve">88898998</x:t>
  </x:si>
  <x:si>
    <x:t xml:space="preserve">2026-04-24 11:36:22</x:t>
  </x:si>
  <x:si>
    <x:t xml:space="preserve">2026-06-02 16:09:25</x:t>
  </x:si>
  <x:si>
    <x:t xml:space="preserve">692</x:t>
  </x:si>
  <x:si>
    <x:t xml:space="preserve">47413366</x:t>
  </x:si>
  <x:si>
    <x:t xml:space="preserve">93298757</x:t>
  </x:si>
  <x:si>
    <x:t xml:space="preserve">2026-06-17 21:49:50</x:t>
  </x:si>
  <x:si>
    <x:t xml:space="preserve">2026-06-23 16:26:45</x:t>
  </x:si>
  <x:si>
    <x:t xml:space="preserve">265</x:t>
  </x:si>
  <x:si>
    <x:t xml:space="preserve">83594729</x:t>
  </x:si>
  <x:si>
    <x:t xml:space="preserve">2025-08-27 20:22:05</x:t>
  </x:si>
  <x:si>
    <x:t xml:space="preserve">2025-09-19 13:35:18</x:t>
  </x:si>
  <x:si>
    <x:t xml:space="preserve">590</x:t>
  </x:si>
  <x:si>
    <x:t xml:space="preserve">16407923</x:t>
  </x:si>
  <x:si>
    <x:t xml:space="preserve">29887875</x:t>
  </x:si>
  <x:si>
    <x:t xml:space="preserve">2026-04-03 09:33:13</x:t>
  </x:si>
  <x:si>
    <x:t xml:space="preserve">2026-06-13 20:36:17</x:t>
  </x:si>
  <x:si>
    <x:t xml:space="preserve">717</x:t>
  </x:si>
  <x:si>
    <x:t xml:space="preserve">25524500</x:t>
  </x:si>
  <x:si>
    <x:t xml:space="preserve">72228275</x:t>
  </x:si>
  <x:si>
    <x:t xml:space="preserve">2026-07-12 06:34:34</x:t>
  </x:si>
  <x:si>
    <x:t xml:space="preserve">616</x:t>
  </x:si>
  <x:si>
    <x:t xml:space="preserve">13962347</x:t>
  </x:si>
  <x:si>
    <x:t xml:space="preserve">2026-04-25 15:44:44</x:t>
  </x:si>
  <x:si>
    <x:t xml:space="preserve">2026-06-09 22:11:58</x:t>
  </x:si>
  <x:si>
    <x:t xml:space="preserve">127</x:t>
  </x:si>
  <x:si>
    <x:t xml:space="preserve">88437155</x:t>
  </x:si>
  <x:si>
    <x:t xml:space="preserve">2025-04-16 20:48:01</x:t>
  </x:si>
  <x:si>
    <x:t xml:space="preserve">2025-04-17 14:45:40</x:t>
  </x:si>
  <x:si>
    <x:t xml:space="preserve">560</x:t>
  </x:si>
  <x:si>
    <x:t xml:space="preserve">32948948</x:t>
  </x:si>
  <x:si>
    <x:t xml:space="preserve">77953089</x:t>
  </x:si>
  <x:si>
    <x:t xml:space="preserve">2026-03-10 21:41:45</x:t>
  </x:si>
  <x:si>
    <x:t xml:space="preserve">2026-04-25 11:45:57</x:t>
  </x:si>
  <x:si>
    <x:t xml:space="preserve">99</x:t>
  </x:si>
  <x:si>
    <x:t xml:space="preserve">68826549</x:t>
  </x:si>
  <x:si>
    <x:t xml:space="preserve">2025-04-01 22:24:08</x:t>
  </x:si>
  <x:si>
    <x:t xml:space="preserve">2025-04-02 22:12:18</x:t>
  </x:si>
  <x:si>
    <x:t xml:space="preserve">439</x:t>
  </x:si>
  <x:si>
    <x:t xml:space="preserve">56622372</x:t>
  </x:si>
  <x:si>
    <x:t xml:space="preserve">2025-12-26 03:18:31</x:t>
  </x:si>
  <x:si>
    <x:t xml:space="preserve">2025-12-31 23:00:05</x:t>
  </x:si>
  <x:si>
    <x:t xml:space="preserve">791</x:t>
  </x:si>
  <x:si>
    <x:t xml:space="preserve">63099490</x:t>
  </x:si>
  <x:si>
    <x:t xml:space="preserve">71805827</x:t>
  </x:si>
  <x:si>
    <x:t xml:space="preserve">2026-08-20 18:44:43</x:t>
  </x:si>
  <x:si>
    <x:t xml:space="preserve">2026-08-21 03:44:15</x:t>
  </x:si>
  <x:si>
    <x:t xml:space="preserve">594</x:t>
  </x:si>
  <x:si>
    <x:t xml:space="preserve">94978908</x:t>
  </x:si>
  <x:si>
    <x:t xml:space="preserve">2026-04-08 21:11:30</x:t>
  </x:si>
  <x:si>
    <x:t xml:space="preserve">2026-06-28 17:58:41</x:t>
  </x:si>
  <x:si>
    <x:t xml:space="preserve">492</x:t>
  </x:si>
  <x:si>
    <x:t xml:space="preserve">22761274</x:t>
  </x:si>
  <x:si>
    <x:t xml:space="preserve">53247367</x:t>
  </x:si>
  <x:si>
    <x:t xml:space="preserve">2026-01-19 18:01:15</x:t>
  </x:si>
  <x:si>
    <x:t xml:space="preserve">2026-07-23 00:24:06</x:t>
  </x:si>
  <x:si>
    <x:t xml:space="preserve">303</x:t>
  </x:si>
  <x:si>
    <x:t xml:space="preserve">15989652</x:t>
  </x:si>
  <x:si>
    <x:t xml:space="preserve">2025-09-30 21:26:12</x:t>
  </x:si>
  <x:si>
    <x:t xml:space="preserve">2025-10-10 22:49:33</x:t>
  </x:si>
  <x:si>
    <x:t xml:space="preserve">83</x:t>
  </x:si>
  <x:si>
    <x:t xml:space="preserve">82884839</x:t>
  </x:si>
  <x:si>
    <x:t xml:space="preserve">96861733</x:t>
  </x:si>
  <x:si>
    <x:t xml:space="preserve">2025-03-15 17:49:13</x:t>
  </x:si>
  <x:si>
    <x:t xml:space="preserve">2025-04-14 20:00:26</x:t>
  </x:si>
  <x:si>
    <x:t xml:space="preserve">465</x:t>
  </x:si>
  <x:si>
    <x:t xml:space="preserve">81583473</x:t>
  </x:si>
  <x:si>
    <x:t xml:space="preserve">90602574</x:t>
  </x:si>
  <x:si>
    <x:t xml:space="preserve">2026-01-03 13:27:48</x:t>
  </x:si>
  <x:si>
    <x:t xml:space="preserve">2026-03-29 12:15:50</x:t>
  </x:si>
  <x:si>
    <x:t xml:space="preserve">161</x:t>
  </x:si>
  <x:si>
    <x:t xml:space="preserve">81651509</x:t>
  </x:si>
  <x:si>
    <x:t xml:space="preserve">94500308</x:t>
  </x:si>
  <x:si>
    <x:t xml:space="preserve">2026-04-07 14:32:04</x:t>
  </x:si>
  <x:si>
    <x:t xml:space="preserve">2026-04-19 13:18:52</x:t>
  </x:si>
  <x:si>
    <x:t xml:space="preserve">116</x:t>
  </x:si>
  <x:si>
    <x:t xml:space="preserve">19267163</x:t>
  </x:si>
  <x:si>
    <x:t xml:space="preserve">2025-04-07 09:07:43</x:t>
  </x:si>
  <x:si>
    <x:t xml:space="preserve">2025-09-29 12:41:04</x:t>
  </x:si>
  <x:si>
    <x:t xml:space="preserve">352</x:t>
  </x:si>
  <x:si>
    <x:t xml:space="preserve">29465621</x:t>
  </x:si>
  <x:si>
    <x:t xml:space="preserve">89740116</x:t>
  </x:si>
  <x:si>
    <x:t xml:space="preserve">2025-11-01 08:45:03</x:t>
  </x:si>
  <x:si>
    <x:t xml:space="preserve">2025-11-01 09:13:25</x:t>
  </x:si>
  <x:si>
    <x:t xml:space="preserve">638</x:t>
  </x:si>
  <x:si>
    <x:t xml:space="preserve">24001707</x:t>
  </x:si>
  <x:si>
    <x:t xml:space="preserve">2026-05-16 08:00:32</x:t>
  </x:si>
  <x:si>
    <x:t xml:space="preserve">2026-06-21 18:26:36</x:t>
  </x:si>
  <x:si>
    <x:t xml:space="preserve">450</x:t>
  </x:si>
  <x:si>
    <x:t xml:space="preserve">66123222</x:t>
  </x:si>
  <x:si>
    <x:t xml:space="preserve">2026-01-07 19:11:24</x:t>
  </x:si>
  <x:si>
    <x:t xml:space="preserve">2026-01-13 18:06:08</x:t>
  </x:si>
  <x:si>
    <x:t xml:space="preserve">558</x:t>
  </x:si>
  <x:si>
    <x:t xml:space="preserve">24245225</x:t>
  </x:si>
  <x:si>
    <x:t xml:space="preserve">43465459</x:t>
  </x:si>
  <x:si>
    <x:t xml:space="preserve">2026-03-08 18:44:35</x:t>
  </x:si>
  <x:si>
    <x:t xml:space="preserve">2026-03-16 14:51:35</x:t>
  </x:si>
  <x:si>
    <x:t xml:space="preserve">672</x:t>
  </x:si>
  <x:si>
    <x:t xml:space="preserve">64653232</x:t>
  </x:si>
  <x:si>
    <x:t xml:space="preserve">71465671</x:t>
  </x:si>
  <x:si>
    <x:t xml:space="preserve">2026-06-06 19:39:31</x:t>
  </x:si>
  <x:si>
    <x:t xml:space="preserve">2026-06-13 22:12:46</x:t>
  </x:si>
  <x:si>
    <x:t xml:space="preserve">101</x:t>
  </x:si>
  <x:si>
    <x:t xml:space="preserve">35896950</x:t>
  </x:si>
  <x:si>
    <x:t xml:space="preserve">50634754</x:t>
  </x:si>
  <x:si>
    <x:t xml:space="preserve">2025-06-06 21:52:27</x:t>
  </x:si>
  <x:si>
    <x:t xml:space="preserve">2025-06-08 15:18:58</x:t>
  </x:si>
  <x:si>
    <x:t xml:space="preserve">403</x:t>
  </x:si>
  <x:si>
    <x:t xml:space="preserve">45709999</x:t>
  </x:si>
  <x:si>
    <x:t xml:space="preserve">67478000</x:t>
  </x:si>
  <x:si>
    <x:t xml:space="preserve">2025-11-28 22:42:20</x:t>
  </x:si>
  <x:si>
    <x:t xml:space="preserve">2025-11-30 12:27:11</x:t>
  </x:si>
  <x:si>
    <x:t xml:space="preserve">661</x:t>
  </x:si>
  <x:si>
    <x:t xml:space="preserve">18817113</x:t>
  </x:si>
  <x:si>
    <x:t xml:space="preserve">85168252</x:t>
  </x:si>
  <x:si>
    <x:t xml:space="preserve">2026-06-01 21:16:14</x:t>
  </x:si>
  <x:si>
    <x:t xml:space="preserve">2026-06-12 16:10:50</x:t>
  </x:si>
  <x:si>
    <x:t xml:space="preserve">139</x:t>
  </x:si>
  <x:si>
    <x:t xml:space="preserve">19348970</x:t>
  </x:si>
  <x:si>
    <x:t xml:space="preserve">44189579</x:t>
  </x:si>
  <x:si>
    <x:t xml:space="preserve">2025-04-28 20:25:06</x:t>
  </x:si>
  <x:si>
    <x:t xml:space="preserve">2025-08-22 20:57:30</x:t>
  </x:si>
  <x:si>
    <x:t xml:space="preserve">406</x:t>
  </x:si>
  <x:si>
    <x:t xml:space="preserve">26003160</x:t>
  </x:si>
  <x:si>
    <x:t xml:space="preserve">75064037</x:t>
  </x:si>
  <x:si>
    <x:t xml:space="preserve">2025-11-30 12:29:24</x:t>
  </x:si>
  <x:si>
    <x:t xml:space="preserve">2026-06-24 11:18:31</x:t>
  </x:si>
  <x:si>
    <x:t xml:space="preserve">637</x:t>
  </x:si>
  <x:si>
    <x:t xml:space="preserve">50188888</x:t>
  </x:si>
  <x:si>
    <x:t xml:space="preserve">68494166</x:t>
  </x:si>
  <x:si>
    <x:t xml:space="preserve">2026-05-15 20:17:47</x:t>
  </x:si>
  <x:si>
    <x:t xml:space="preserve">2026-06-01 09:41:52</x:t>
  </x:si>
  <x:si>
    <x:t xml:space="preserve">360</x:t>
  </x:si>
  <x:si>
    <x:t xml:space="preserve">17774086</x:t>
  </x:si>
  <x:si>
    <x:t xml:space="preserve">2025-11-01 22:27:21</x:t>
  </x:si>
  <x:si>
    <x:t xml:space="preserve">2025-11-14 11:54:51</x:t>
  </x:si>
  <x:si>
    <x:t xml:space="preserve">297</x:t>
  </x:si>
  <x:si>
    <x:t xml:space="preserve">91819805</x:t>
  </x:si>
  <x:si>
    <x:t xml:space="preserve">2025-09-20 18:04:05</x:t>
  </x:si>
  <x:si>
    <x:t xml:space="preserve">2025-09-28 20:34:20</x:t>
  </x:si>
  <x:si>
    <x:t xml:space="preserve">573</x:t>
  </x:si>
  <x:si>
    <x:t xml:space="preserve">73565763</x:t>
  </x:si>
  <x:si>
    <x:t xml:space="preserve">97611670</x:t>
  </x:si>
  <x:si>
    <x:t xml:space="preserve">2026-03-18 19:59:38</x:t>
  </x:si>
  <x:si>
    <x:t xml:space="preserve">2026-03-23 14:16:25</x:t>
  </x:si>
  <x:si>
    <x:t xml:space="preserve">120</x:t>
  </x:si>
  <x:si>
    <x:t xml:space="preserve">64988573</x:t>
  </x:si>
  <x:si>
    <x:t xml:space="preserve">89974241</x:t>
  </x:si>
  <x:si>
    <x:t xml:space="preserve">2025-04-11 16:24:44</x:t>
  </x:si>
  <x:si>
    <x:t xml:space="preserve">2025-05-01 18:04:42</x:t>
  </x:si>
  <x:si>
    <x:t xml:space="preserve">437</x:t>
  </x:si>
  <x:si>
    <x:t xml:space="preserve">49337935</x:t>
  </x:si>
  <x:si>
    <x:t xml:space="preserve">97078868</x:t>
  </x:si>
  <x:si>
    <x:t xml:space="preserve">2025-12-16 08:32:49</x:t>
  </x:si>
  <x:si>
    <x:t xml:space="preserve">2026-01-24 14:19:21</x:t>
  </x:si>
  <x:si>
    <x:t xml:space="preserve">463</x:t>
  </x:si>
  <x:si>
    <x:t xml:space="preserve">24313010</x:t>
  </x:si>
  <x:si>
    <x:t xml:space="preserve">2026-01-02 22:54:57</x:t>
  </x:si>
  <x:si>
    <x:t xml:space="preserve">2026-02-07 11:15:30</x:t>
  </x:si>
  <x:si>
    <x:t xml:space="preserve">2</x:t>
  </x:si>
  <x:si>
    <x:t xml:space="preserve">87216379</x:t>
  </x:si>
  <x:si>
    <x:t xml:space="preserve">2025-01-12 10:54:42</x:t>
  </x:si>
  <x:si>
    <x:t xml:space="preserve">2025-01-13 20:40:08</x:t>
  </x:si>
  <x:si>
    <x:t xml:space="preserve">5</x:t>
  </x:si>
  <x:si>
    <x:t xml:space="preserve">51064726</x:t>
  </x:si>
  <x:si>
    <x:t xml:space="preserve">72004840</x:t>
  </x:si>
  <x:si>
    <x:t xml:space="preserve">2025-01-13 14:50:46</x:t>
  </x:si>
  <x:si>
    <x:t xml:space="preserve">2025-01-14 20:41:29</x:t>
  </x:si>
  <x:si>
    <x:t xml:space="preserve">8</x:t>
  </x:si>
  <x:si>
    <x:t xml:space="preserve">54413568</x:t>
  </x:si>
  <x:si>
    <x:t xml:space="preserve">70085964</x:t>
  </x:si>
  <x:si>
    <x:t xml:space="preserve">2025-01-14 22:47:48</x:t>
  </x:si>
  <x:si>
    <x:t xml:space="preserve">2025-02-26 20:31:51</x:t>
  </x:si>
  <x:si>
    <x:t xml:space="preserve">17</x:t>
  </x:si>
  <x:si>
    <x:t xml:space="preserve">29442951</x:t>
  </x:si>
  <x:si>
    <x:t xml:space="preserve">58237708</x:t>
  </x:si>
  <x:si>
    <x:t xml:space="preserve">2025-01-26 03:15:25</x:t>
  </x:si>
  <x:si>
    <x:t xml:space="preserve">2025-08-03 20:02:11</x:t>
  </x:si>
  <x:si>
    <x:t xml:space="preserve">20</x:t>
  </x:si>
  <x:si>
    <x:t xml:space="preserve">93627072</x:t>
  </x:si>
  <x:si>
    <x:t xml:space="preserve">2025-02-14 02:48:54</x:t>
  </x:si>
  <x:si>
    <x:t xml:space="preserve">2025-03-21 11:20:45</x:t>
  </x:si>
  <x:si>
    <x:t xml:space="preserve">22</x:t>
  </x:si>
  <x:si>
    <x:t xml:space="preserve">34026505</x:t>
  </x:si>
  <x:si>
    <x:t xml:space="preserve">85073526</x:t>
  </x:si>
  <x:si>
    <x:t xml:space="preserve">2025-01-30 14:25:37</x:t>
  </x:si>
  <x:si>
    <x:t xml:space="preserve">2025-02-07 21:42:06</x:t>
  </x:si>
  <x:si>
    <x:t xml:space="preserve">23</x:t>
  </x:si>
  <x:si>
    <x:t xml:space="preserve">33995283</x:t>
  </x:si>
  <x:si>
    <x:t xml:space="preserve">78071156</x:t>
  </x:si>
  <x:si>
    <x:t xml:space="preserve">2025-01-30 20:13:52</x:t>
  </x:si>
  <x:si>
    <x:t xml:space="preserve">2025-02-12 14:08:33</x:t>
  </x:si>
  <x:si>
    <x:t xml:space="preserve">25</x:t>
  </x:si>
  <x:si>
    <x:t xml:space="preserve">91249531</x:t>
  </x:si>
  <x:si>
    <x:t xml:space="preserve">2025-02-01 16:25:13</x:t>
  </x:si>
  <x:si>
    <x:t xml:space="preserve">2025-02-19 10:36:58</x:t>
  </x:si>
  <x:si>
    <x:t xml:space="preserve">27</x:t>
  </x:si>
  <x:si>
    <x:t xml:space="preserve">36350285</x:t>
  </x:si>
  <x:si>
    <x:t xml:space="preserve">50608105</x:t>
  </x:si>
  <x:si>
    <x:t xml:space="preserve">2025-02-01 19:01:07</x:t>
  </x:si>
  <x:si>
    <x:t xml:space="preserve">2025-02-07 23:09:14</x:t>
  </x:si>
  <x:si>
    <x:t xml:space="preserve">29</x:t>
  </x:si>
  <x:si>
    <x:t xml:space="preserve">33912000</x:t>
  </x:si>
  <x:si>
    <x:t xml:space="preserve">46027887</x:t>
  </x:si>
  <x:si>
    <x:t xml:space="preserve">2025-02-05 19:05:57</x:t>
  </x:si>
  <x:si>
    <x:t xml:space="preserve">2025-04-05 22:31:16</x:t>
  </x:si>
  <x:si>
    <x:t xml:space="preserve">31</x:t>
  </x:si>
  <x:si>
    <x:t xml:space="preserve">40568028</x:t>
  </x:si>
  <x:si>
    <x:t xml:space="preserve">63833376</x:t>
  </x:si>
  <x:si>
    <x:t xml:space="preserve">2025-04-16 21:25:54</x:t>
  </x:si>
  <x:si>
    <x:t xml:space="preserve">2025-06-29 08:46:23</x:t>
  </x:si>
  <x:si>
    <x:t xml:space="preserve">32</x:t>
  </x:si>
  <x:si>
    <x:t xml:space="preserve">60360414</x:t>
  </x:si>
  <x:si>
    <x:t xml:space="preserve">2025-02-13 17:57:16</x:t>
  </x:si>
  <x:si>
    <x:t xml:space="preserve">2025-06-01 14:42:17</x:t>
  </x:si>
  <x:si>
    <x:t xml:space="preserve">35</x:t>
  </x:si>
  <x:si>
    <x:t xml:space="preserve">26979559</x:t>
  </x:si>
  <x:si>
    <x:t xml:space="preserve">2025-09-08 21:48:02</x:t>
  </x:si>
  <x:si>
    <x:t xml:space="preserve">2025-10-09 09:44:44</x:t>
  </x:si>
  <x:si>
    <x:t xml:space="preserve">37</x:t>
  </x:si>
  <x:si>
    <x:t xml:space="preserve">73806749</x:t>
  </x:si>
  <x:si>
    <x:t xml:space="preserve">87852779</x:t>
  </x:si>
  <x:si>
    <x:t xml:space="preserve">2025-02-20 12:31:30</x:t>
  </x:si>
  <x:si>
    <x:t xml:space="preserve">2025-04-12 15:18:51</x:t>
  </x:si>
  <x:si>
    <x:t xml:space="preserve">39</x:t>
  </x:si>
  <x:si>
    <x:t xml:space="preserve">40009915</x:t>
  </x:si>
  <x:si>
    <x:t xml:space="preserve">84108906</x:t>
  </x:si>
  <x:si>
    <x:t xml:space="preserve">2025-02-22 08:19:11</x:t>
  </x:si>
  <x:si>
    <x:t xml:space="preserve">2025-03-11 00:11:12</x:t>
  </x:si>
  <x:si>
    <x:t xml:space="preserve">42</x:t>
  </x:si>
  <x:si>
    <x:t xml:space="preserve">63429919</x:t>
  </x:si>
  <x:si>
    <x:t xml:space="preserve">81163291</x:t>
  </x:si>
  <x:si>
    <x:t xml:space="preserve">2025-03-24 19:35:03</x:t>
  </x:si>
  <x:si>
    <x:t xml:space="preserve">2025-03-27 20:07:09</x:t>
  </x:si>
  <x:si>
    <x:t xml:space="preserve">45</x:t>
  </x:si>
  <x:si>
    <x:t xml:space="preserve">15321788</x:t>
  </x:si>
  <x:si>
    <x:t xml:space="preserve">59907942</x:t>
  </x:si>
  <x:si>
    <x:t xml:space="preserve">2025-03-04 12:42:27</x:t>
  </x:si>
  <x:si>
    <x:t xml:space="preserve">2025-03-19 15:15:53</x:t>
  </x:si>
  <x:si>
    <x:t xml:space="preserve">49</x:t>
  </x:si>
  <x:si>
    <x:t xml:space="preserve">2025-03-03 00:09:22</x:t>
  </x:si>
  <x:si>
    <x:t xml:space="preserve">2025-03-13 23:27:52</x:t>
  </x:si>
  <x:si>
    <x:t xml:space="preserve">55</x:t>
  </x:si>
  <x:si>
    <x:t xml:space="preserve">56984499</x:t>
  </x:si>
  <x:si>
    <x:t xml:space="preserve">95223849</x:t>
  </x:si>
  <x:si>
    <x:t xml:space="preserve">2025-03-06 00:46:33</x:t>
  </x:si>
  <x:si>
    <x:t xml:space="preserve">2025-04-08 17:10:34</x:t>
  </x:si>
  <x:si>
    <x:t xml:space="preserve">62</x:t>
  </x:si>
  <x:si>
    <x:t xml:space="preserve">28099675</x:t>
  </x:si>
  <x:si>
    <x:t xml:space="preserve">38595341</x:t>
  </x:si>
  <x:si>
    <x:t xml:space="preserve">2025-03-06 01:27:10</x:t>
  </x:si>
  <x:si>
    <x:t xml:space="preserve">2025-03-13 03:30:03</x:t>
  </x:si>
  <x:si>
    <x:t xml:space="preserve">63</x:t>
  </x:si>
  <x:si>
    <x:t xml:space="preserve">90003592</x:t>
  </x:si>
  <x:si>
    <x:t xml:space="preserve">92763246</x:t>
  </x:si>
  <x:si>
    <x:t xml:space="preserve">2025-03-06 01:31:40</x:t>
  </x:si>
  <x:si>
    <x:t xml:space="preserve">2025-05-17 22:49:43</x:t>
  </x:si>
  <x:si>
    <x:t xml:space="preserve">71</x:t>
  </x:si>
  <x:si>
    <x:t xml:space="preserve">12947112</x:t>
  </x:si>
  <x:si>
    <x:t xml:space="preserve">26824806</x:t>
  </x:si>
  <x:si>
    <x:t xml:space="preserve">2025-03-09 02:18:03</x:t>
  </x:si>
  <x:si>
    <x:t xml:space="preserve">2025-03-23 01:57:16</x:t>
  </x:si>
  <x:si>
    <x:t xml:space="preserve">73</x:t>
  </x:si>
  <x:si>
    <x:t xml:space="preserve">20269053</x:t>
  </x:si>
  <x:si>
    <x:t xml:space="preserve">2025-03-09 21:46:18</x:t>
  </x:si>
  <x:si>
    <x:t xml:space="preserve">2025-03-10 20:03:16</x:t>
  </x:si>
  <x:si>
    <x:t xml:space="preserve">74</x:t>
  </x:si>
  <x:si>
    <x:t xml:space="preserve">18730201</x:t>
  </x:si>
  <x:si>
    <x:t xml:space="preserve">62036939</x:t>
  </x:si>
  <x:si>
    <x:t xml:space="preserve">2025-03-10 02:42:37</x:t>
  </x:si>
  <x:si>
    <x:t xml:space="preserve">2025-03-16 20:25:25</x:t>
  </x:si>
  <x:si>
    <x:t xml:space="preserve">76</x:t>
  </x:si>
  <x:si>
    <x:t xml:space="preserve">79790840</x:t>
  </x:si>
  <x:si>
    <x:t xml:space="preserve">84837338</x:t>
  </x:si>
  <x:si>
    <x:t xml:space="preserve">2025-03-11 03:52:26</x:t>
  </x:si>
  <x:si>
    <x:t xml:space="preserve">2025-03-14 15:50:52</x:t>
  </x:si>
  <x:si>
    <x:t xml:space="preserve">79</x:t>
  </x:si>
  <x:si>
    <x:t xml:space="preserve">37962638</x:t>
  </x:si>
  <x:si>
    <x:t xml:space="preserve">2025-03-13 04:50:55</x:t>
  </x:si>
  <x:si>
    <x:t xml:space="preserve">2025-04-17 17:51:11</x:t>
  </x:si>
  <x:si>
    <x:t xml:space="preserve">81</x:t>
  </x:si>
  <x:si>
    <x:t xml:space="preserve">27026968</x:t>
  </x:si>
  <x:si>
    <x:t xml:space="preserve">2025-03-22 12:39:10</x:t>
  </x:si>
  <x:si>
    <x:t xml:space="preserve">2025-03-29 13:48:39</x:t>
  </x:si>
  <x:si>
    <x:t xml:space="preserve">82</x:t>
  </x:si>
  <x:si>
    <x:t xml:space="preserve">79734210</x:t>
  </x:si>
  <x:si>
    <x:t xml:space="preserve">90948870</x:t>
  </x:si>
  <x:si>
    <x:t xml:space="preserve">2025-03-15 11:34:57</x:t>
  </x:si>
  <x:si>
    <x:t xml:space="preserve">2025-04-12 09:37:15</x:t>
  </x:si>
  <x:si>
    <x:t xml:space="preserve">84</x:t>
  </x:si>
  <x:si>
    <x:t xml:space="preserve">35224243</x:t>
  </x:si>
  <x:si>
    <x:t xml:space="preserve">91789140</x:t>
  </x:si>
  <x:si>
    <x:t xml:space="preserve">2025-06-11 17:59:33</x:t>
  </x:si>
  <x:si>
    <x:t xml:space="preserve">2025-06-25 22:18:09</x:t>
  </x:si>
  <x:si>
    <x:t xml:space="preserve">86</x:t>
  </x:si>
  <x:si>
    <x:t xml:space="preserve">40137359</x:t>
  </x:si>
  <x:si>
    <x:t xml:space="preserve">71652943</x:t>
  </x:si>
  <x:si>
    <x:t xml:space="preserve">2025-03-16 15:36:42</x:t>
  </x:si>
  <x:si>
    <x:t xml:space="preserve">2025-04-28 23:51:43</x:t>
  </x:si>
  <x:si>
    <x:t xml:space="preserve">98</x:t>
  </x:si>
  <x:si>
    <x:t xml:space="preserve">43226634</x:t>
  </x:si>
  <x:si>
    <x:t xml:space="preserve">79472823</x:t>
  </x:si>
  <x:si>
    <x:t xml:space="preserve">2025-03-28 19:46:52</x:t>
  </x:si>
  <x:si>
    <x:t xml:space="preserve">2025-04-06 12:00:44</x:t>
  </x:si>
  <x:si>
    <x:t xml:space="preserve">102</x:t>
  </x:si>
  <x:si>
    <x:t xml:space="preserve">32207769</x:t>
  </x:si>
  <x:si>
    <x:t xml:space="preserve">91464847</x:t>
  </x:si>
  <x:si>
    <x:t xml:space="preserve">2025-04-01 02:55:20</x:t>
  </x:si>
  <x:si>
    <x:t xml:space="preserve">2025-04-18 20:43:21</x:t>
  </x:si>
  <x:si>
    <x:t xml:space="preserve">103</x:t>
  </x:si>
  <x:si>
    <x:t xml:space="preserve">14626477</x:t>
  </x:si>
  <x:si>
    <x:t xml:space="preserve">99961368</x:t>
  </x:si>
  <x:si>
    <x:t xml:space="preserve">2025-04-01 04:04:58</x:t>
  </x:si>
  <x:si>
    <x:t xml:space="preserve">2025-05-01 19:44:42</x:t>
  </x:si>
  <x:si>
    <x:t xml:space="preserve">104</x:t>
  </x:si>
  <x:si>
    <x:t xml:space="preserve">23550406</x:t>
  </x:si>
  <x:si>
    <x:t xml:space="preserve">2025-04-01 07:22:39</x:t>
  </x:si>
  <x:si>
    <x:t xml:space="preserve">2025-04-07 08:15:47</x:t>
  </x:si>
  <x:si>
    <x:t xml:space="preserve">108</x:t>
  </x:si>
  <x:si>
    <x:t xml:space="preserve">73460814</x:t>
  </x:si>
  <x:si>
    <x:t xml:space="preserve">99660007</x:t>
  </x:si>
  <x:si>
    <x:t xml:space="preserve">2025-04-02 09:32:57</x:t>
  </x:si>
  <x:si>
    <x:t xml:space="preserve">2025-04-04 11:11:28</x:t>
  </x:si>
  <x:si>
    <x:t xml:space="preserve">109</x:t>
  </x:si>
  <x:si>
    <x:t xml:space="preserve">52852367</x:t>
  </x:si>
  <x:si>
    <x:t xml:space="preserve">94618024</x:t>
  </x:si>
  <x:si>
    <x:t xml:space="preserve">2025-04-02 22:19:32</x:t>
  </x:si>
  <x:si>
    <x:t xml:space="preserve">2025-09-29 08:15:24</x:t>
  </x:si>
  <x:si>
    <x:t xml:space="preserve">112</x:t>
  </x:si>
  <x:si>
    <x:t xml:space="preserve">44714607</x:t>
  </x:si>
  <x:si>
    <x:t xml:space="preserve">82712095</x:t>
  </x:si>
  <x:si>
    <x:t xml:space="preserve">2025-04-05 19:18:22</x:t>
  </x:si>
  <x:si>
    <x:t xml:space="preserve">2025-05-28 10:38:20</x:t>
  </x:si>
  <x:si>
    <x:t xml:space="preserve">113</x:t>
  </x:si>
  <x:si>
    <x:t xml:space="preserve">53925875</x:t>
  </x:si>
  <x:si>
    <x:t xml:space="preserve">85880988</x:t>
  </x:si>
  <x:si>
    <x:t xml:space="preserve">2025-04-06 13:51:17</x:t>
  </x:si>
  <x:si>
    <x:t xml:space="preserve">2025-04-09 08:36:28</x:t>
  </x:si>
  <x:si>
    <x:t xml:space="preserve">115</x:t>
  </x:si>
  <x:si>
    <x:t xml:space="preserve">44021180</x:t>
  </x:si>
  <x:si>
    <x:t xml:space="preserve">2025-04-07 08:49:09</x:t>
  </x:si>
  <x:si>
    <x:t xml:space="preserve">2025-06-16 12:25:19</x:t>
  </x:si>
  <x:si>
    <x:t xml:space="preserve">122</x:t>
  </x:si>
  <x:si>
    <x:t xml:space="preserve">32600324</x:t>
  </x:si>
  <x:si>
    <x:t xml:space="preserve">59583823</x:t>
  </x:si>
  <x:si>
    <x:t xml:space="preserve">2025-04-12 22:43:37</x:t>
  </x:si>
  <x:si>
    <x:t xml:space="preserve">2025-04-20 20:28:22</x:t>
  </x:si>
  <x:si>
    <x:t xml:space="preserve">132</x:t>
  </x:si>
  <x:si>
    <x:t xml:space="preserve">43427677</x:t>
  </x:si>
  <x:si>
    <x:t xml:space="preserve">2025-04-22 02:43:55</x:t>
  </x:si>
  <x:si>
    <x:t xml:space="preserve">2025-04-22 05:06:49</x:t>
  </x:si>
  <x:si>
    <x:t xml:space="preserve">142</x:t>
  </x:si>
  <x:si>
    <x:t xml:space="preserve">41716519</x:t>
  </x:si>
  <x:si>
    <x:t xml:space="preserve">93157759</x:t>
  </x:si>
  <x:si>
    <x:t xml:space="preserve">2025-04-29 16:40:44</x:t>
  </x:si>
  <x:si>
    <x:t xml:space="preserve">2025-06-13 08:50:22</x:t>
  </x:si>
  <x:si>
    <x:t xml:space="preserve">147</x:t>
  </x:si>
  <x:si>
    <x:t xml:space="preserve">35850871</x:t>
  </x:si>
  <x:si>
    <x:t xml:space="preserve">84391488</x:t>
  </x:si>
  <x:si>
    <x:t xml:space="preserve">2025-05-07 17:11:13</x:t>
  </x:si>
  <x:si>
    <x:t xml:space="preserve">2025-12-31 08:57:24</x:t>
  </x:si>
  <x:si>
    <x:t xml:space="preserve">149</x:t>
  </x:si>
  <x:si>
    <x:t xml:space="preserve">50760779</x:t>
  </x:si>
  <x:si>
    <x:t xml:space="preserve">82059946</x:t>
  </x:si>
  <x:si>
    <x:t xml:space="preserve">2025-05-07 21:48:36</x:t>
  </x:si>
  <x:si>
    <x:t xml:space="preserve">2025-05-11 14:40:00</x:t>
  </x:si>
  <x:si>
    <x:t xml:space="preserve">150</x:t>
  </x:si>
  <x:si>
    <x:t xml:space="preserve">56185354</x:t>
  </x:si>
  <x:si>
    <x:t xml:space="preserve">86314829</x:t>
  </x:si>
  <x:si>
    <x:t xml:space="preserve">2025-05-07 23:31:17</x:t>
  </x:si>
  <x:si>
    <x:t xml:space="preserve">2025-05-14 15:29:06</x:t>
  </x:si>
  <x:si>
    <x:t xml:space="preserve">151</x:t>
  </x:si>
  <x:si>
    <x:t xml:space="preserve">26474959</x:t>
  </x:si>
  <x:si>
    <x:t xml:space="preserve">2025-05-10 17:40:15</x:t>
  </x:si>
  <x:si>
    <x:t xml:space="preserve">2025-05-23 00:14:16</x:t>
  </x:si>
  <x:si>
    <x:t xml:space="preserve">152</x:t>
  </x:si>
  <x:si>
    <x:t xml:space="preserve">90162907</x:t>
  </x:si>
  <x:si>
    <x:t xml:space="preserve">2025-05-11 08:29:35</x:t>
  </x:si>
  <x:si>
    <x:t xml:space="preserve">2026-02-16 11:34:07</x:t>
  </x:si>
  <x:si>
    <x:t xml:space="preserve">153</x:t>
  </x:si>
  <x:si>
    <x:t xml:space="preserve">47507931</x:t>
  </x:si>
  <x:si>
    <x:t xml:space="preserve">55902743</x:t>
  </x:si>
  <x:si>
    <x:t xml:space="preserve">2025-05-12 00:11:23</x:t>
  </x:si>
  <x:si>
    <x:t xml:space="preserve">2025-05-12 17:37:23</x:t>
  </x:si>
  <x:si>
    <x:t xml:space="preserve">154</x:t>
  </x:si>
  <x:si>
    <x:t xml:space="preserve">16392719</x:t>
  </x:si>
  <x:si>
    <x:t xml:space="preserve">2025-05-13 20:51:26</x:t>
  </x:si>
  <x:si>
    <x:t xml:space="preserve">2025-05-25 11:07:41</x:t>
  </x:si>
  <x:si>
    <x:t xml:space="preserve">156</x:t>
  </x:si>
  <x:si>
    <x:t xml:space="preserve">14224293</x:t>
  </x:si>
  <x:si>
    <x:t xml:space="preserve">69854699</x:t>
  </x:si>
  <x:si>
    <x:t xml:space="preserve">2025-05-16 13:36:56</x:t>
  </x:si>
  <x:si>
    <x:t xml:space="preserve">2025-08-14 13:30:52</x:t>
  </x:si>
  <x:si>
    <x:t xml:space="preserve">157</x:t>
  </x:si>
  <x:si>
    <x:t xml:space="preserve">72837011</x:t>
  </x:si>
  <x:si>
    <x:t xml:space="preserve">2025-05-16 17:45:18</x:t>
  </x:si>
  <x:si>
    <x:t xml:space="preserve">2025-05-20 14:12:11</x:t>
  </x:si>
  <x:si>
    <x:t xml:space="preserve">158</x:t>
  </x:si>
  <x:si>
    <x:t xml:space="preserve">40533904</x:t>
  </x:si>
  <x:si>
    <x:t xml:space="preserve">92284618</x:t>
  </x:si>
  <x:si>
    <x:t xml:space="preserve">2025-05-17 01:38:37</x:t>
  </x:si>
  <x:si>
    <x:t xml:space="preserve">2025-05-28 23:31:48</x:t>
  </x:si>
  <x:si>
    <x:t xml:space="preserve">159</x:t>
  </x:si>
  <x:si>
    <x:t xml:space="preserve">10421802</x:t>
  </x:si>
  <x:si>
    <x:t xml:space="preserve">45202489</x:t>
  </x:si>
  <x:si>
    <x:t xml:space="preserve">2025-05-17 21:14:42</x:t>
  </x:si>
  <x:si>
    <x:t xml:space="preserve">2025-05-27 22:21:04</x:t>
  </x:si>
  <x:si>
    <x:t xml:space="preserve">164</x:t>
  </x:si>
  <x:si>
    <x:t xml:space="preserve">17771616</x:t>
  </x:si>
  <x:si>
    <x:t xml:space="preserve">76158423</x:t>
  </x:si>
  <x:si>
    <x:t xml:space="preserve">2025-05-20 16:40:22</x:t>
  </x:si>
  <x:si>
    <x:t xml:space="preserve">2025-10-27 20:52:17</x:t>
  </x:si>
  <x:si>
    <x:t xml:space="preserve">165</x:t>
  </x:si>
  <x:si>
    <x:t xml:space="preserve">38881089</x:t>
  </x:si>
  <x:si>
    <x:t xml:space="preserve">90469064</x:t>
  </x:si>
  <x:si>
    <x:t xml:space="preserve">2025-05-20 21:07:19</x:t>
  </x:si>
  <x:si>
    <x:t xml:space="preserve">2025-05-23 16:28:47</x:t>
  </x:si>
  <x:si>
    <x:t xml:space="preserve">167</x:t>
  </x:si>
  <x:si>
    <x:t xml:space="preserve">45822721</x:t>
  </x:si>
  <x:si>
    <x:t xml:space="preserve">2025-05-21 12:47:07</x:t>
  </x:si>
  <x:si>
    <x:t xml:space="preserve">2025-09-25 19:19:04</x:t>
  </x:si>
  <x:si>
    <x:t xml:space="preserve">171</x:t>
  </x:si>
  <x:si>
    <x:t xml:space="preserve">19010402</x:t>
  </x:si>
  <x:si>
    <x:t xml:space="preserve">2025-05-26 23:37:08</x:t>
  </x:si>
  <x:si>
    <x:t xml:space="preserve">2025-06-02 07:35:39</x:t>
  </x:si>
  <x:si>
    <x:t xml:space="preserve">172</x:t>
  </x:si>
  <x:si>
    <x:t xml:space="preserve">2025-05-29 23:35:49</x:t>
  </x:si>
  <x:si>
    <x:t xml:space="preserve">2025-07-03 12:04:26</x:t>
  </x:si>
  <x:si>
    <x:t xml:space="preserve">176</x:t>
  </x:si>
  <x:si>
    <x:t xml:space="preserve">2025-06-01 15:16:25</x:t>
  </x:si>
  <x:si>
    <x:t xml:space="preserve">2025-06-02 19:16:00</x:t>
  </x:si>
  <x:si>
    <x:t xml:space="preserve">177</x:t>
  </x:si>
  <x:si>
    <x:t xml:space="preserve">10771126</x:t>
  </x:si>
  <x:si>
    <x:t xml:space="preserve">2025-06-01 16:28:46</x:t>
  </x:si>
  <x:si>
    <x:t xml:space="preserve">2025-06-10 21:13:53</x:t>
  </x:si>
  <x:si>
    <x:t xml:space="preserve">179</x:t>
  </x:si>
  <x:si>
    <x:t xml:space="preserve">37508157</x:t>
  </x:si>
  <x:si>
    <x:t xml:space="preserve">81987671</x:t>
  </x:si>
  <x:si>
    <x:t xml:space="preserve">2025-06-02 18:09:11</x:t>
  </x:si>
  <x:si>
    <x:t xml:space="preserve">2025-06-20 10:58:02</x:t>
  </x:si>
  <x:si>
    <x:t xml:space="preserve">181</x:t>
  </x:si>
  <x:si>
    <x:t xml:space="preserve">72658773</x:t>
  </x:si>
  <x:si>
    <x:t xml:space="preserve">2025-06-02 18:50:15</x:t>
  </x:si>
  <x:si>
    <x:t xml:space="preserve">2025-08-09 15:00:02</x:t>
  </x:si>
  <x:si>
    <x:t xml:space="preserve">182</x:t>
  </x:si>
  <x:si>
    <x:t xml:space="preserve">32025398</x:t>
  </x:si>
  <x:si>
    <x:t xml:space="preserve">58889517</x:t>
  </x:si>
  <x:si>
    <x:t xml:space="preserve">2025-06-03 19:02:03</x:t>
  </x:si>
  <x:si>
    <x:t xml:space="preserve">2026-01-31 21:09:25</x:t>
  </x:si>
  <x:si>
    <x:t xml:space="preserve">184</x:t>
  </x:si>
  <x:si>
    <x:t xml:space="preserve">35320772</x:t>
  </x:si>
  <x:si>
    <x:t xml:space="preserve">68328787</x:t>
  </x:si>
  <x:si>
    <x:t xml:space="preserve">2025-06-04 10:00:24</x:t>
  </x:si>
  <x:si>
    <x:t xml:space="preserve">2025-06-17 16:58:11</x:t>
  </x:si>
  <x:si>
    <x:t xml:space="preserve">186</x:t>
  </x:si>
  <x:si>
    <x:t xml:space="preserve">27971102</x:t>
  </x:si>
  <x:si>
    <x:t xml:space="preserve">86855003</x:t>
  </x:si>
  <x:si>
    <x:t xml:space="preserve">2025-06-05 17:58:35</x:t>
  </x:si>
  <x:si>
    <x:t xml:space="preserve">2025-06-13 14:14:49</x:t>
  </x:si>
  <x:si>
    <x:t xml:space="preserve">188</x:t>
  </x:si>
  <x:si>
    <x:t xml:space="preserve">29254567</x:t>
  </x:si>
  <x:si>
    <x:t xml:space="preserve">2025-06-07 02:53:37</x:t>
  </x:si>
  <x:si>
    <x:t xml:space="preserve">2025-06-10 12:35:19</x:t>
  </x:si>
  <x:si>
    <x:t xml:space="preserve">192</x:t>
  </x:si>
  <x:si>
    <x:t xml:space="preserve">42085351</x:t>
  </x:si>
  <x:si>
    <x:t xml:space="preserve">2025-06-14 16:30:29</x:t>
  </x:si>
  <x:si>
    <x:t xml:space="preserve">2025-09-29 19:44:32</x:t>
  </x:si>
  <x:si>
    <x:t xml:space="preserve">193</x:t>
  </x:si>
  <x:si>
    <x:t xml:space="preserve">21813333</x:t>
  </x:si>
  <x:si>
    <x:t xml:space="preserve">88497860</x:t>
  </x:si>
  <x:si>
    <x:t xml:space="preserve">2025-06-15 01:22:53</x:t>
  </x:si>
  <x:si>
    <x:t xml:space="preserve">2025-06-28 07:05:41</x:t>
  </x:si>
  <x:si>
    <x:t xml:space="preserve">196</x:t>
  </x:si>
  <x:si>
    <x:t xml:space="preserve">52365087</x:t>
  </x:si>
  <x:si>
    <x:t xml:space="preserve">2025-06-16 15:57:32</x:t>
  </x:si>
  <x:si>
    <x:t xml:space="preserve">2025-06-18 21:13:28</x:t>
  </x:si>
  <x:si>
    <x:t xml:space="preserve">198</x:t>
  </x:si>
  <x:si>
    <x:t xml:space="preserve">13768601</x:t>
  </x:si>
  <x:si>
    <x:t xml:space="preserve">92569882</x:t>
  </x:si>
  <x:si>
    <x:t xml:space="preserve">2025-06-17 19:48:16</x:t>
  </x:si>
  <x:si>
    <x:t xml:space="preserve">2025-06-22 22:34:18</x:t>
  </x:si>
  <x:si>
    <x:t xml:space="preserve">201</x:t>
  </x:si>
  <x:si>
    <x:t xml:space="preserve">23033849</x:t>
  </x:si>
  <x:si>
    <x:t xml:space="preserve">40678261</x:t>
  </x:si>
  <x:si>
    <x:t xml:space="preserve">2025-06-19 23:11:38</x:t>
  </x:si>
  <x:si>
    <x:t xml:space="preserve">2025-08-14 11:59:57</x:t>
  </x:si>
  <x:si>
    <x:t xml:space="preserve">202</x:t>
  </x:si>
  <x:si>
    <x:t xml:space="preserve">49556979</x:t>
  </x:si>
  <x:si>
    <x:t xml:space="preserve">2025-06-23 15:27:57</x:t>
  </x:si>
  <x:si>
    <x:t xml:space="preserve">2025-10-07 22:58:42</x:t>
  </x:si>
  <x:si>
    <x:t xml:space="preserve">203</x:t>
  </x:si>
  <x:si>
    <x:t xml:space="preserve">66547746</x:t>
  </x:si>
  <x:si>
    <x:t xml:space="preserve">96206375</x:t>
  </x:si>
  <x:si>
    <x:t xml:space="preserve">2025-06-23 21:42:49</x:t>
  </x:si>
  <x:si>
    <x:t xml:space="preserve">2025-08-12 02:21:11</x:t>
  </x:si>
  <x:si>
    <x:t xml:space="preserve">208</x:t>
  </x:si>
  <x:si>
    <x:t xml:space="preserve">30525502</x:t>
  </x:si>
  <x:si>
    <x:t xml:space="preserve">2025-07-01 13:58:33</x:t>
  </x:si>
  <x:si>
    <x:t xml:space="preserve">2025-07-21 14:13:51</x:t>
  </x:si>
  <x:si>
    <x:t xml:space="preserve">209</x:t>
  </x:si>
  <x:si>
    <x:t xml:space="preserve">37433627</x:t>
  </x:si>
  <x:si>
    <x:t xml:space="preserve">2025-07-01 17:29:28</x:t>
  </x:si>
  <x:si>
    <x:t xml:space="preserve">2025-07-13 22:07:17</x:t>
  </x:si>
  <x:si>
    <x:t xml:space="preserve">211</x:t>
  </x:si>
  <x:si>
    <x:t xml:space="preserve">68536969</x:t>
  </x:si>
  <x:si>
    <x:t xml:space="preserve">93024143</x:t>
  </x:si>
  <x:si>
    <x:t xml:space="preserve">2025-07-02 23:05:36</x:t>
  </x:si>
  <x:si>
    <x:t xml:space="preserve">2025-10-10 22:29:48</x:t>
  </x:si>
  <x:si>
    <x:t xml:space="preserve">215</x:t>
  </x:si>
  <x:si>
    <x:t xml:space="preserve">79604834</x:t>
  </x:si>
  <x:si>
    <x:t xml:space="preserve">2025-07-11 18:09:02</x:t>
  </x:si>
  <x:si>
    <x:t xml:space="preserve">2025-07-21 23:23:53</x:t>
  </x:si>
  <x:si>
    <x:t xml:space="preserve">219</x:t>
  </x:si>
  <x:si>
    <x:t xml:space="preserve">39676672</x:t>
  </x:si>
  <x:si>
    <x:t xml:space="preserve">2025-07-16 03:22:47</x:t>
  </x:si>
  <x:si>
    <x:t xml:space="preserve">2025-07-24 11:02:45</x:t>
  </x:si>
  <x:si>
    <x:t xml:space="preserve">224</x:t>
  </x:si>
  <x:si>
    <x:t xml:space="preserve">76833041</x:t>
  </x:si>
  <x:si>
    <x:t xml:space="preserve">2025-07-19 13:35:14</x:t>
  </x:si>
  <x:si>
    <x:t xml:space="preserve">2026-02-01 19:29:19</x:t>
  </x:si>
  <x:si>
    <x:t xml:space="preserve">226</x:t>
  </x:si>
  <x:si>
    <x:t xml:space="preserve">89029930</x:t>
  </x:si>
  <x:si>
    <x:t xml:space="preserve">2025-07-29 12:10:04</x:t>
  </x:si>
  <x:si>
    <x:t xml:space="preserve">2025-08-01 04:57:37</x:t>
  </x:si>
  <x:si>
    <x:t xml:space="preserve">227</x:t>
  </x:si>
  <x:si>
    <x:t xml:space="preserve">42773996</x:t>
  </x:si>
  <x:si>
    <x:t xml:space="preserve">2025-07-24 21:28:58</x:t>
  </x:si>
  <x:si>
    <x:t xml:space="preserve">2025-07-27 05:06:45</x:t>
  </x:si>
  <x:si>
    <x:t xml:space="preserve">228</x:t>
  </x:si>
  <x:si>
    <x:t xml:space="preserve">91054191</x:t>
  </x:si>
  <x:si>
    <x:t xml:space="preserve">2025-07-26 20:07:05</x:t>
  </x:si>
  <x:si>
    <x:t xml:space="preserve">2025-08-22 02:44:15</x:t>
  </x:si>
  <x:si>
    <x:t xml:space="preserve">230</x:t>
  </x:si>
  <x:si>
    <x:t xml:space="preserve">2025-07-27 10:58:02</x:t>
  </x:si>
  <x:si>
    <x:t xml:space="preserve">2025-09-11 16:42:42</x:t>
  </x:si>
  <x:si>
    <x:t xml:space="preserve">232</x:t>
  </x:si>
  <x:si>
    <x:t xml:space="preserve">15898479</x:t>
  </x:si>
  <x:si>
    <x:t xml:space="preserve">55681606</x:t>
  </x:si>
  <x:si>
    <x:t xml:space="preserve">2025-07-31 13:41:14</x:t>
  </x:si>
  <x:si>
    <x:t xml:space="preserve">2025-09-01 18:48:11</x:t>
  </x:si>
  <x:si>
    <x:t xml:space="preserve">234</x:t>
  </x:si>
  <x:si>
    <x:t xml:space="preserve">27947935</x:t>
  </x:si>
  <x:si>
    <x:t xml:space="preserve">2025-08-07 17:55:51</x:t>
  </x:si>
  <x:si>
    <x:t xml:space="preserve">2025-08-12 18:56:50</x:t>
  </x:si>
  <x:si>
    <x:t xml:space="preserve">237</x:t>
  </x:si>
  <x:si>
    <x:t xml:space="preserve">69004880</x:t>
  </x:si>
  <x:si>
    <x:t xml:space="preserve">69945900</x:t>
  </x:si>
  <x:si>
    <x:t xml:space="preserve">2025-08-02 19:25:41</x:t>
  </x:si>
  <x:si>
    <x:t xml:space="preserve">2025-08-18 07:53:07</x:t>
  </x:si>
  <x:si>
    <x:t xml:space="preserve">238</x:t>
  </x:si>
  <x:si>
    <x:t xml:space="preserve">2025-08-04 01:27:01</x:t>
  </x:si>
  <x:si>
    <x:t xml:space="preserve">2025-08-13 13:14:59</x:t>
  </x:si>
  <x:si>
    <x:t xml:space="preserve">242</x:t>
  </x:si>
  <x:si>
    <x:t xml:space="preserve">14876066</x:t>
  </x:si>
  <x:si>
    <x:t xml:space="preserve">55412163</x:t>
  </x:si>
  <x:si>
    <x:t xml:space="preserve">2025-08-06 13:21:52</x:t>
  </x:si>
  <x:si>
    <x:t xml:space="preserve">2025-08-07 08:33:52</x:t>
  </x:si>
  <x:si>
    <x:t xml:space="preserve">245</x:t>
  </x:si>
  <x:si>
    <x:t xml:space="preserve">36492923</x:t>
  </x:si>
  <x:si>
    <x:t xml:space="preserve">55970763</x:t>
  </x:si>
  <x:si>
    <x:t xml:space="preserve">2025-08-09 16:18:37</x:t>
  </x:si>
  <x:si>
    <x:t xml:space="preserve">2025-09-23 16:19:29</x:t>
  </x:si>
  <x:si>
    <x:t xml:space="preserve">247</x:t>
  </x:si>
  <x:si>
    <x:t xml:space="preserve">25261642</x:t>
  </x:si>
  <x:si>
    <x:t xml:space="preserve">47726461</x:t>
  </x:si>
  <x:si>
    <x:t xml:space="preserve">2025-08-11 17:42:34</x:t>
  </x:si>
  <x:si>
    <x:t xml:space="preserve">2026-02-14 12:57:53</x:t>
  </x:si>
  <x:si>
    <x:t xml:space="preserve">252</x:t>
  </x:si>
  <x:si>
    <x:t xml:space="preserve">10137460</x:t>
  </x:si>
  <x:si>
    <x:t xml:space="preserve">64060436</x:t>
  </x:si>
  <x:si>
    <x:t xml:space="preserve">2025-08-20 20:21:22</x:t>
  </x:si>
  <x:si>
    <x:t xml:space="preserve">2025-10-31 18:19:28</x:t>
  </x:si>
  <x:si>
    <x:t xml:space="preserve">256</x:t>
  </x:si>
  <x:si>
    <x:t xml:space="preserve">33961905</x:t>
  </x:si>
  <x:si>
    <x:t xml:space="preserve">2025-08-21 18:16:13</x:t>
  </x:si>
  <x:si>
    <x:t xml:space="preserve">2025-08-24 10:07:06</x:t>
  </x:si>
  <x:si>
    <x:t xml:space="preserve">258</x:t>
  </x:si>
  <x:si>
    <x:t xml:space="preserve">54336490</x:t>
  </x:si>
  <x:si>
    <x:t xml:space="preserve">91363152</x:t>
  </x:si>
  <x:si>
    <x:t xml:space="preserve">2025-08-22 11:32:00</x:t>
  </x:si>
  <x:si>
    <x:t xml:space="preserve">2025-09-10 20:09:26</x:t>
  </x:si>
  <x:si>
    <x:t xml:space="preserve">266</x:t>
  </x:si>
  <x:si>
    <x:t xml:space="preserve">93583764</x:t>
  </x:si>
  <x:si>
    <x:t xml:space="preserve">2025-08-31 12:09:22</x:t>
  </x:si>
  <x:si>
    <x:t xml:space="preserve">2025-09-05 17:16:19</x:t>
  </x:si>
  <x:si>
    <x:t xml:space="preserve">269</x:t>
  </x:si>
  <x:si>
    <x:t xml:space="preserve">60862137</x:t>
  </x:si>
  <x:si>
    <x:t xml:space="preserve">2025-09-01 07:55:38</x:t>
  </x:si>
  <x:si>
    <x:t xml:space="preserve">2025-09-08 14:44:54</x:t>
  </x:si>
  <x:si>
    <x:t xml:space="preserve">271</x:t>
  </x:si>
  <x:si>
    <x:t xml:space="preserve">36425338</x:t>
  </x:si>
  <x:si>
    <x:t xml:space="preserve">59664671</x:t>
  </x:si>
  <x:si>
    <x:t xml:space="preserve">2025-09-02 10:43:37</x:t>
  </x:si>
  <x:si>
    <x:t xml:space="preserve">2025-10-15 15:09:42</x:t>
  </x:si>
  <x:si>
    <x:t xml:space="preserve">272</x:t>
  </x:si>
  <x:si>
    <x:t xml:space="preserve">43400579</x:t>
  </x:si>
  <x:si>
    <x:t xml:space="preserve">86888257</x:t>
  </x:si>
  <x:si>
    <x:t xml:space="preserve">2025-09-02 17:29:23</x:t>
  </x:si>
  <x:si>
    <x:t xml:space="preserve">2025-12-07 19:47:53</x:t>
  </x:si>
  <x:si>
    <x:t xml:space="preserve">273</x:t>
  </x:si>
  <x:si>
    <x:t xml:space="preserve">29331557</x:t>
  </x:si>
  <x:si>
    <x:t xml:space="preserve">49786278</x:t>
  </x:si>
  <x:si>
    <x:t xml:space="preserve">2025-09-02 20:33:26</x:t>
  </x:si>
  <x:si>
    <x:t xml:space="preserve">2025-09-20 15:56:44</x:t>
  </x:si>
  <x:si>
    <x:t xml:space="preserve">277</x:t>
  </x:si>
  <x:si>
    <x:t xml:space="preserve">73807313</x:t>
  </x:si>
  <x:si>
    <x:t xml:space="preserve">84500959</x:t>
  </x:si>
  <x:si>
    <x:t xml:space="preserve">2025-09-06 22:45:03</x:t>
  </x:si>
  <x:si>
    <x:t xml:space="preserve">2025-11-07 22:00:42</x:t>
  </x:si>
  <x:si>
    <x:t xml:space="preserve">285</x:t>
  </x:si>
  <x:si>
    <x:t xml:space="preserve">14694852</x:t>
  </x:si>
  <x:si>
    <x:t xml:space="preserve">2025-09-12 08:13:09</x:t>
  </x:si>
  <x:si>
    <x:t xml:space="preserve">2025-11-09 16:59:22</x:t>
  </x:si>
  <x:si>
    <x:t xml:space="preserve">300</x:t>
  </x:si>
  <x:si>
    <x:t xml:space="preserve">33955936</x:t>
  </x:si>
  <x:si>
    <x:t xml:space="preserve">47068464</x:t>
  </x:si>
  <x:si>
    <x:t xml:space="preserve">2025-09-28 23:23:37</x:t>
  </x:si>
  <x:si>
    <x:t xml:space="preserve">2025-10-05 00:37:34</x:t>
  </x:si>
  <x:si>
    <x:t xml:space="preserve">301</x:t>
  </x:si>
  <x:si>
    <x:t xml:space="preserve">77568385</x:t>
  </x:si>
  <x:si>
    <x:t xml:space="preserve">83630615</x:t>
  </x:si>
  <x:si>
    <x:t xml:space="preserve">2025-09-29 17:46:31</x:t>
  </x:si>
  <x:si>
    <x:t xml:space="preserve">2025-10-24 16:48:00</x:t>
  </x:si>
  <x:si>
    <x:t xml:space="preserve">305</x:t>
  </x:si>
  <x:si>
    <x:t xml:space="preserve">90298588</x:t>
  </x:si>
  <x:si>
    <x:t xml:space="preserve">99657426</x:t>
  </x:si>
  <x:si>
    <x:t xml:space="preserve">2025-10-01 14:11:54</x:t>
  </x:si>
  <x:si>
    <x:t xml:space="preserve">2026-03-21 16:14:10</x:t>
  </x:si>
  <x:si>
    <x:t xml:space="preserve">309</x:t>
  </x:si>
  <x:si>
    <x:t xml:space="preserve">18794994</x:t>
  </x:si>
  <x:si>
    <x:t xml:space="preserve">72558278</x:t>
  </x:si>
  <x:si>
    <x:t xml:space="preserve">2025-10-04 09:37:46</x:t>
  </x:si>
  <x:si>
    <x:t xml:space="preserve">2025-10-30 20:33:53</x:t>
  </x:si>
  <x:si>
    <x:t xml:space="preserve">310</x:t>
  </x:si>
  <x:si>
    <x:t xml:space="preserve">2025-10-04 17:06:59</x:t>
  </x:si>
  <x:si>
    <x:t xml:space="preserve">2025-11-03 07:13:36</x:t>
  </x:si>
  <x:si>
    <x:t xml:space="preserve">312</x:t>
  </x:si>
  <x:si>
    <x:t xml:space="preserve">45332300</x:t>
  </x:si>
  <x:si>
    <x:t xml:space="preserve">2025-10-06 12:53:57</x:t>
  </x:si>
  <x:si>
    <x:t xml:space="preserve">2025-10-09 03:00:28</x:t>
  </x:si>
  <x:si>
    <x:t xml:space="preserve">313</x:t>
  </x:si>
  <x:si>
    <x:t xml:space="preserve">54864280</x:t>
  </x:si>
  <x:si>
    <x:t xml:space="preserve">94323465</x:t>
  </x:si>
  <x:si>
    <x:t xml:space="preserve">2025-10-06 23:28:01</x:t>
  </x:si>
  <x:si>
    <x:t xml:space="preserve">2025-11-02 20:25:23</x:t>
  </x:si>
  <x:si>
    <x:t xml:space="preserve">316</x:t>
  </x:si>
  <x:si>
    <x:t xml:space="preserve">66720466</x:t>
  </x:si>
  <x:si>
    <x:t xml:space="preserve">89501967</x:t>
  </x:si>
  <x:si>
    <x:t xml:space="preserve">2025-10-09 17:24:07</x:t>
  </x:si>
  <x:si>
    <x:t xml:space="preserve">2025-10-10 20:25:00</x:t>
  </x:si>
  <x:si>
    <x:t xml:space="preserve">317</x:t>
  </x:si>
  <x:si>
    <x:t xml:space="preserve">85327898</x:t>
  </x:si>
  <x:si>
    <x:t xml:space="preserve">2025-10-09 21:00:16</x:t>
  </x:si>
  <x:si>
    <x:t xml:space="preserve">2025-11-12 08:53:28</x:t>
  </x:si>
  <x:si>
    <x:t xml:space="preserve">321</x:t>
  </x:si>
  <x:si>
    <x:t xml:space="preserve">22925908</x:t>
  </x:si>
  <x:si>
    <x:t xml:space="preserve">2025-10-13 00:06:02</x:t>
  </x:si>
  <x:si>
    <x:t xml:space="preserve">2025-11-23 22:42:36</x:t>
  </x:si>
  <x:si>
    <x:t xml:space="preserve">326</x:t>
  </x:si>
  <x:si>
    <x:t xml:space="preserve">43986936</x:t>
  </x:si>
  <x:si>
    <x:t xml:space="preserve">79616216</x:t>
  </x:si>
  <x:si>
    <x:t xml:space="preserve">2025-10-16 21:12:15</x:t>
  </x:si>
  <x:si>
    <x:t xml:space="preserve">2025-10-25 09:55:54</x:t>
  </x:si>
  <x:si>
    <x:t xml:space="preserve">327</x:t>
  </x:si>
  <x:si>
    <x:t xml:space="preserve">57112131</x:t>
  </x:si>
  <x:si>
    <x:t xml:space="preserve">98466445</x:t>
  </x:si>
  <x:si>
    <x:t xml:space="preserve">2025-10-19 11:06:40</x:t>
  </x:si>
  <x:si>
    <x:t xml:space="preserve">2025-10-20 22:53:12</x:t>
  </x:si>
  <x:si>
    <x:t xml:space="preserve">329</x:t>
  </x:si>
  <x:si>
    <x:t xml:space="preserve">18807625</x:t>
  </x:si>
  <x:si>
    <x:t xml:space="preserve">40402102</x:t>
  </x:si>
  <x:si>
    <x:t xml:space="preserve">2025-10-18 16:35:15</x:t>
  </x:si>
  <x:si>
    <x:t xml:space="preserve">2025-10-21 22:04:00</x:t>
  </x:si>
  <x:si>
    <x:t xml:space="preserve">332</x:t>
  </x:si>
  <x:si>
    <x:t xml:space="preserve">64535270</x:t>
  </x:si>
  <x:si>
    <x:t xml:space="preserve">2025-10-20 14:27:06</x:t>
  </x:si>
  <x:si>
    <x:t xml:space="preserve">2025-11-19 23:10:35</x:t>
  </x:si>
  <x:si>
    <x:t xml:space="preserve">333</x:t>
  </x:si>
  <x:si>
    <x:t xml:space="preserve">53766534</x:t>
  </x:si>
  <x:si>
    <x:t xml:space="preserve">89068065</x:t>
  </x:si>
  <x:si>
    <x:t xml:space="preserve">2025-10-20 18:40:03</x:t>
  </x:si>
  <x:si>
    <x:t xml:space="preserve">2025-11-03 14:37:16</x:t>
  </x:si>
  <x:si>
    <x:t xml:space="preserve">340</x:t>
  </x:si>
  <x:si>
    <x:t xml:space="preserve">13833746</x:t>
  </x:si>
  <x:si>
    <x:t xml:space="preserve">21054788</x:t>
  </x:si>
  <x:si>
    <x:t xml:space="preserve">2025-10-24 17:51:40</x:t>
  </x:si>
  <x:si>
    <x:t xml:space="preserve">2025-11-08 17:09:45</x:t>
  </x:si>
  <x:si>
    <x:t xml:space="preserve">351</x:t>
  </x:si>
  <x:si>
    <x:t xml:space="preserve">22170827</x:t>
  </x:si>
  <x:si>
    <x:t xml:space="preserve">51658117</x:t>
  </x:si>
  <x:si>
    <x:t xml:space="preserve">2025-11-01 08:17:21</x:t>
  </x:si>
  <x:si>
    <x:t xml:space="preserve">2026-02-05 18:17:08</x:t>
  </x:si>
  <x:si>
    <x:t xml:space="preserve">353</x:t>
  </x:si>
  <x:si>
    <x:t xml:space="preserve">11260447</x:t>
  </x:si>
  <x:si>
    <x:t xml:space="preserve">68489095</x:t>
  </x:si>
  <x:si>
    <x:t xml:space="preserve">2025-11-01 10:19:08</x:t>
  </x:si>
  <x:si>
    <x:t xml:space="preserve">2025-12-09 08:37:11</x:t>
  </x:si>
  <x:si>
    <x:t xml:space="preserve">356</x:t>
  </x:si>
  <x:si>
    <x:t xml:space="preserve">22878476</x:t>
  </x:si>
  <x:si>
    <x:t xml:space="preserve">2025-11-01 13:51:30</x:t>
  </x:si>
  <x:si>
    <x:t xml:space="preserve">2025-11-09 14:34:52</x:t>
  </x:si>
  <x:si>
    <x:t xml:space="preserve">357</x:t>
  </x:si>
  <x:si>
    <x:t xml:space="preserve">25246793</x:t>
  </x:si>
  <x:si>
    <x:t xml:space="preserve">2025-11-01 19:48:42</x:t>
  </x:si>
  <x:si>
    <x:t xml:space="preserve">2026-06-08 22:01:10</x:t>
  </x:si>
  <x:si>
    <x:t xml:space="preserve">368</x:t>
  </x:si>
  <x:si>
    <x:t xml:space="preserve">11917132</x:t>
  </x:si>
  <x:si>
    <x:t xml:space="preserve">70852487</x:t>
  </x:si>
  <x:si>
    <x:t xml:space="preserve">2025-11-06 19:23:40</x:t>
  </x:si>
  <x:si>
    <x:t xml:space="preserve">2025-11-10 19:17:54</x:t>
  </x:si>
  <x:si>
    <x:t xml:space="preserve">371</x:t>
  </x:si>
  <x:si>
    <x:t xml:space="preserve">86846476</x:t>
  </x:si>
  <x:si>
    <x:t xml:space="preserve">2025-11-09 20:30:25</x:t>
  </x:si>
  <x:si>
    <x:t xml:space="preserve">2025-11-17 21:07:13</x:t>
  </x:si>
  <x:si>
    <x:t xml:space="preserve">375</x:t>
  </x:si>
  <x:si>
    <x:t xml:space="preserve">27374329</x:t>
  </x:si>
  <x:si>
    <x:t xml:space="preserve">2025-11-10 16:35:30</x:t>
  </x:si>
  <x:si>
    <x:t xml:space="preserve">2025-12-20 06:37:51</x:t>
  </x:si>
  <x:si>
    <x:t xml:space="preserve">378</x:t>
  </x:si>
  <x:si>
    <x:t xml:space="preserve">89432440</x:t>
  </x:si>
  <x:si>
    <x:t xml:space="preserve">90996018</x:t>
  </x:si>
  <x:si>
    <x:t xml:space="preserve">2025-11-11 20:34:02</x:t>
  </x:si>
  <x:si>
    <x:t xml:space="preserve">2026-01-03 01:47:08</x:t>
  </x:si>
  <x:si>
    <x:t xml:space="preserve">379</x:t>
  </x:si>
  <x:si>
    <x:t xml:space="preserve">52953430</x:t>
  </x:si>
  <x:si>
    <x:t xml:space="preserve">92550717</x:t>
  </x:si>
  <x:si>
    <x:t xml:space="preserve">2025-11-13 01:50:09</x:t>
  </x:si>
  <x:si>
    <x:t xml:space="preserve">2025-12-22 06:33:46</x:t>
  </x:si>
  <x:si>
    <x:t xml:space="preserve">380</x:t>
  </x:si>
  <x:si>
    <x:t xml:space="preserve">20373759</x:t>
  </x:si>
  <x:si>
    <x:t xml:space="preserve">40444338</x:t>
  </x:si>
  <x:si>
    <x:t xml:space="preserve">2025-11-13 02:52:05</x:t>
  </x:si>
  <x:si>
    <x:t xml:space="preserve">2025-12-04 04:15:34</x:t>
  </x:si>
  <x:si>
    <x:t xml:space="preserve">381</x:t>
  </x:si>
  <x:si>
    <x:t xml:space="preserve">67120620</x:t>
  </x:si>
  <x:si>
    <x:t xml:space="preserve">2025-11-15 12:59:25</x:t>
  </x:si>
  <x:si>
    <x:t xml:space="preserve">2025-11-27 07:16:17</x:t>
  </x:si>
  <x:si>
    <x:t xml:space="preserve">388</x:t>
  </x:si>
  <x:si>
    <x:t xml:space="preserve">72851455</x:t>
  </x:si>
  <x:si>
    <x:t xml:space="preserve">2025-11-16 23:22:40</x:t>
  </x:si>
  <x:si>
    <x:t xml:space="preserve">2025-11-28 12:55:36</x:t>
  </x:si>
  <x:si>
    <x:t xml:space="preserve">389</x:t>
  </x:si>
  <x:si>
    <x:t xml:space="preserve">2025-11-17 04:43:22</x:t>
  </x:si>
  <x:si>
    <x:t xml:space="preserve">2025-12-05 00:37:02</x:t>
  </x:si>
  <x:si>
    <x:t xml:space="preserve">392</x:t>
  </x:si>
  <x:si>
    <x:t xml:space="preserve">36761042</x:t>
  </x:si>
  <x:si>
    <x:t xml:space="preserve">79357452</x:t>
  </x:si>
  <x:si>
    <x:t xml:space="preserve">2025-11-18 19:02:00</x:t>
  </x:si>
  <x:si>
    <x:t xml:space="preserve">2025-11-22 05:31:09</x:t>
  </x:si>
  <x:si>
    <x:t xml:space="preserve">395</x:t>
  </x:si>
  <x:si>
    <x:t xml:space="preserve">17994036</x:t>
  </x:si>
  <x:si>
    <x:t xml:space="preserve">2025-11-22 21:11:32</x:t>
  </x:si>
  <x:si>
    <x:t xml:space="preserve">2025-12-17 20:01:03</x:t>
  </x:si>
  <x:si>
    <x:t xml:space="preserve">396</x:t>
  </x:si>
  <x:si>
    <x:t xml:space="preserve">39919679</x:t>
  </x:si>
  <x:si>
    <x:t xml:space="preserve">2025-11-23 09:00:52</x:t>
  </x:si>
  <x:si>
    <x:t xml:space="preserve">2025-12-07 13:36:08</x:t>
  </x:si>
  <x:si>
    <x:t xml:space="preserve">399</x:t>
  </x:si>
  <x:si>
    <x:t xml:space="preserve">72784236</x:t>
  </x:si>
  <x:si>
    <x:t xml:space="preserve">96518832</x:t>
  </x:si>
  <x:si>
    <x:t xml:space="preserve">2025-11-24 19:21:39</x:t>
  </x:si>
  <x:si>
    <x:t xml:space="preserve">2025-11-24 19:29:11</x:t>
  </x:si>
  <x:si>
    <x:t xml:space="preserve">400</x:t>
  </x:si>
  <x:si>
    <x:t xml:space="preserve">89185224</x:t>
  </x:si>
  <x:si>
    <x:t xml:space="preserve">2025-11-26 12:46:30</x:t>
  </x:si>
  <x:si>
    <x:t xml:space="preserve">2026-01-01 09:09:28</x:t>
  </x:si>
  <x:si>
    <x:t xml:space="preserve">401</x:t>
  </x:si>
  <x:si>
    <x:t xml:space="preserve">47720054</x:t>
  </x:si>
  <x:si>
    <x:t xml:space="preserve">2025-11-26 22:33:02</x:t>
  </x:si>
  <x:si>
    <x:t xml:space="preserve">2025-12-15 06:31:56</x:t>
  </x:si>
  <x:si>
    <x:t xml:space="preserve">409</x:t>
  </x:si>
  <x:si>
    <x:t xml:space="preserve">25052795</x:t>
  </x:si>
  <x:si>
    <x:t xml:space="preserve">64461392</x:t>
  </x:si>
  <x:si>
    <x:t xml:space="preserve">2025-12-02 14:51:42</x:t>
  </x:si>
  <x:si>
    <x:t xml:space="preserve">2025-12-05 21:50:23</x:t>
  </x:si>
  <x:si>
    <x:t xml:space="preserve">412</x:t>
  </x:si>
  <x:si>
    <x:t xml:space="preserve">15750762</x:t>
  </x:si>
  <x:si>
    <x:t xml:space="preserve">63847270</x:t>
  </x:si>
  <x:si>
    <x:t xml:space="preserve">2025-12-09 15:53:38</x:t>
  </x:si>
  <x:si>
    <x:t xml:space="preserve">2025-12-16 13:02:12</x:t>
  </x:si>
  <x:si>
    <x:t xml:space="preserve">413</x:t>
  </x:si>
  <x:si>
    <x:t xml:space="preserve">28710760</x:t>
  </x:si>
  <x:si>
    <x:t xml:space="preserve">58383496</x:t>
  </x:si>
  <x:si>
    <x:t xml:space="preserve">2025-12-03 18:39:43</x:t>
  </x:si>
  <x:si>
    <x:t xml:space="preserve">2026-01-21 16:24:08</x:t>
  </x:si>
  <x:si>
    <x:t xml:space="preserve">415</x:t>
  </x:si>
  <x:si>
    <x:t xml:space="preserve">41944417</x:t>
  </x:si>
  <x:si>
    <x:t xml:space="preserve">64263111</x:t>
  </x:si>
  <x:si>
    <x:t xml:space="preserve">2025-12-04 19:25:22</x:t>
  </x:si>
  <x:si>
    <x:t xml:space="preserve">2025-12-31 10:01:02</x:t>
  </x:si>
  <x:si>
    <x:t xml:space="preserve">417</x:t>
  </x:si>
  <x:si>
    <x:t xml:space="preserve">31557586</x:t>
  </x:si>
  <x:si>
    <x:t xml:space="preserve">55591781</x:t>
  </x:si>
  <x:si>
    <x:t xml:space="preserve">2025-12-05 19:59:47</x:t>
  </x:si>
  <x:si>
    <x:t xml:space="preserve">2025-12-06 00:54:43</x:t>
  </x:si>
  <x:si>
    <x:t xml:space="preserve">420</x:t>
  </x:si>
  <x:si>
    <x:t xml:space="preserve">2025-12-07 01:53:54</x:t>
  </x:si>
  <x:si>
    <x:t xml:space="preserve">2025-12-07 12:47:28</x:t>
  </x:si>
  <x:si>
    <x:t xml:space="preserve">423</x:t>
  </x:si>
  <x:si>
    <x:t xml:space="preserve">27852157</x:t>
  </x:si>
  <x:si>
    <x:t xml:space="preserve">67251465</x:t>
  </x:si>
  <x:si>
    <x:t xml:space="preserve">2025-12-15 13:41:01</x:t>
  </x:si>
  <x:si>
    <x:t xml:space="preserve">2025-12-20 14:27:37</x:t>
  </x:si>
  <x:si>
    <x:t xml:space="preserve">427</x:t>
  </x:si>
  <x:si>
    <x:t xml:space="preserve">12520472</x:t>
  </x:si>
  <x:si>
    <x:t xml:space="preserve">46905983</x:t>
  </x:si>
  <x:si>
    <x:t xml:space="preserve">2025-12-10 22:20:57</x:t>
  </x:si>
  <x:si>
    <x:t xml:space="preserve">2025-12-13 19:56:30</x:t>
  </x:si>
  <x:si>
    <x:t xml:space="preserve">451</x:t>
  </x:si>
  <x:si>
    <x:t xml:space="preserve">21574059</x:t>
  </x:si>
  <x:si>
    <x:t xml:space="preserve">2025-12-25 06:26:11</x:t>
  </x:si>
  <x:si>
    <x:t xml:space="preserve">2026-04-29 09:01:46</x:t>
  </x:si>
  <x:si>
    <x:t xml:space="preserve">458</x:t>
  </x:si>
  <x:si>
    <x:t xml:space="preserve">26850057</x:t>
  </x:si>
  <x:si>
    <x:t xml:space="preserve">2026-01-01 17:31:33</x:t>
  </x:si>
  <x:si>
    <x:t xml:space="preserve">2026-04-09 01:04:08</x:t>
  </x:si>
  <x:si>
    <x:t xml:space="preserve">459</x:t>
  </x:si>
  <x:si>
    <x:t xml:space="preserve">78252113</x:t>
  </x:si>
  <x:si>
    <x:t xml:space="preserve">2026-01-01 20:20:59</x:t>
  </x:si>
  <x:si>
    <x:t xml:space="preserve">2026-02-22 18:55:25</x:t>
  </x:si>
  <x:si>
    <x:t xml:space="preserve">460</x:t>
  </x:si>
  <x:si>
    <x:t xml:space="preserve">40329756</x:t>
  </x:si>
  <x:si>
    <x:t xml:space="preserve">2026-01-01 23:13:29</x:t>
  </x:si>
  <x:si>
    <x:t xml:space="preserve">2026-01-10 03:33:42</x:t>
  </x:si>
  <x:si>
    <x:t xml:space="preserve">464</x:t>
  </x:si>
  <x:si>
    <x:t xml:space="preserve">2026-01-03 11:15:16</x:t>
  </x:si>
  <x:si>
    <x:t xml:space="preserve">2026-01-11 19:36:32</x:t>
  </x:si>
  <x:si>
    <x:t xml:space="preserve">467</x:t>
  </x:si>
  <x:si>
    <x:t xml:space="preserve">32582955</x:t>
  </x:si>
  <x:si>
    <x:t xml:space="preserve">33506692</x:t>
  </x:si>
  <x:si>
    <x:t xml:space="preserve">2026-01-03 20:02:51</x:t>
  </x:si>
  <x:si>
    <x:t xml:space="preserve">2026-01-06 20:44:38</x:t>
  </x:si>
  <x:si>
    <x:t xml:space="preserve">470</x:t>
  </x:si>
  <x:si>
    <x:t xml:space="preserve">19855512</x:t>
  </x:si>
  <x:si>
    <x:t xml:space="preserve">63002787</x:t>
  </x:si>
  <x:si>
    <x:t xml:space="preserve">2026-01-05 21:26:50</x:t>
  </x:si>
  <x:si>
    <x:t xml:space="preserve">2026-03-02 14:17:07</x:t>
  </x:si>
  <x:si>
    <x:t xml:space="preserve">475</x:t>
  </x:si>
  <x:si>
    <x:t xml:space="preserve">23838933</x:t>
  </x:si>
  <x:si>
    <x:t xml:space="preserve">2026-01-10 22:53:05</x:t>
  </x:si>
  <x:si>
    <x:t xml:space="preserve">2026-02-11 21:14:43</x:t>
  </x:si>
  <x:si>
    <x:t xml:space="preserve">477</x:t>
  </x:si>
  <x:si>
    <x:t xml:space="preserve">27808395</x:t>
  </x:si>
  <x:si>
    <x:t xml:space="preserve">35410483</x:t>
  </x:si>
  <x:si>
    <x:t xml:space="preserve">2026-01-11 17:36:48</x:t>
  </x:si>
  <x:si>
    <x:t xml:space="preserve">2026-01-11 18:11:14</x:t>
  </x:si>
  <x:si>
    <x:t xml:space="preserve">481</x:t>
  </x:si>
  <x:si>
    <x:t xml:space="preserve">21903294</x:t>
  </x:si>
  <x:si>
    <x:t xml:space="preserve">35677081</x:t>
  </x:si>
  <x:si>
    <x:t xml:space="preserve">2026-01-12 12:48:55</x:t>
  </x:si>
  <x:si>
    <x:t xml:space="preserve">2026-01-19 20:40:03</x:t>
  </x:si>
  <x:si>
    <x:t xml:space="preserve">489</x:t>
  </x:si>
  <x:si>
    <x:t xml:space="preserve">42299640</x:t>
  </x:si>
  <x:si>
    <x:t xml:space="preserve">60564768</x:t>
  </x:si>
  <x:si>
    <x:t xml:space="preserve">2026-01-16 19:44:50</x:t>
  </x:si>
  <x:si>
    <x:t xml:space="preserve">2026-01-25 12:17:50</x:t>
  </x:si>
  <x:si>
    <x:t xml:space="preserve">501</x:t>
  </x:si>
  <x:si>
    <x:t xml:space="preserve">12332339</x:t>
  </x:si>
  <x:si>
    <x:t xml:space="preserve">79730502</x:t>
  </x:si>
  <x:si>
    <x:t xml:space="preserve">2026-01-27 18:09:19</x:t>
  </x:si>
  <x:si>
    <x:t xml:space="preserve">2026-03-26 01:01:18</x:t>
  </x:si>
  <x:si>
    <x:t xml:space="preserve">504</x:t>
  </x:si>
  <x:si>
    <x:t xml:space="preserve">36157823</x:t>
  </x:si>
  <x:si>
    <x:t xml:space="preserve">56994687</x:t>
  </x:si>
  <x:si>
    <x:t xml:space="preserve">2026-01-28 18:08:51</x:t>
  </x:si>
  <x:si>
    <x:t xml:space="preserve">2026-05-10 16:37:47</x:t>
  </x:si>
  <x:si>
    <x:t xml:space="preserve">511</x:t>
  </x:si>
  <x:si>
    <x:t xml:space="preserve">15059414</x:t>
  </x:si>
  <x:si>
    <x:t xml:space="preserve">2026-02-03 19:37:36</x:t>
  </x:si>
  <x:si>
    <x:t xml:space="preserve">2026-02-03 20:54:31</x:t>
  </x:si>
  <x:si>
    <x:t xml:space="preserve">513</x:t>
  </x:si>
  <x:si>
    <x:t xml:space="preserve">59892045</x:t>
  </x:si>
  <x:si>
    <x:t xml:space="preserve">68759489</x:t>
  </x:si>
  <x:si>
    <x:t xml:space="preserve">2026-02-05 09:47:46</x:t>
  </x:si>
  <x:si>
    <x:t xml:space="preserve">2026-04-26 10:03:00</x:t>
  </x:si>
  <x:si>
    <x:t xml:space="preserve">515</x:t>
  </x:si>
  <x:si>
    <x:t xml:space="preserve">61462892</x:t>
  </x:si>
  <x:si>
    <x:t xml:space="preserve">76936425</x:t>
  </x:si>
  <x:si>
    <x:t xml:space="preserve">2026-02-05 16:00:39</x:t>
  </x:si>
  <x:si>
    <x:t xml:space="preserve">2026-03-25 20:24:23</x:t>
  </x:si>
  <x:si>
    <x:t xml:space="preserve">520</x:t>
  </x:si>
  <x:si>
    <x:t xml:space="preserve">74459214</x:t>
  </x:si>
  <x:si>
    <x:t xml:space="preserve">99706586</x:t>
  </x:si>
  <x:si>
    <x:t xml:space="preserve">2026-02-09 07:42:35</x:t>
  </x:si>
  <x:si>
    <x:t xml:space="preserve">2026-04-29 08:32:28</x:t>
  </x:si>
  <x:si>
    <x:t xml:space="preserve">522</x:t>
  </x:si>
  <x:si>
    <x:t xml:space="preserve">42946025</x:t>
  </x:si>
  <x:si>
    <x:t xml:space="preserve">50739565</x:t>
  </x:si>
  <x:si>
    <x:t xml:space="preserve">2026-02-09 20:16:49</x:t>
  </x:si>
  <x:si>
    <x:t xml:space="preserve">2026-08-12 17:36:31</x:t>
  </x:si>
  <x:si>
    <x:t xml:space="preserve">526</x:t>
  </x:si>
  <x:si>
    <x:t xml:space="preserve">59859022</x:t>
  </x:si>
  <x:si>
    <x:t xml:space="preserve">2026-02-13 01:28:07</x:t>
  </x:si>
  <x:si>
    <x:t xml:space="preserve">2026-03-23 00:48:33</x:t>
  </x:si>
  <x:si>
    <x:t xml:space="preserve">533</x:t>
  </x:si>
  <x:si>
    <x:t xml:space="preserve">22183522</x:t>
  </x:si>
  <x:si>
    <x:t xml:space="preserve">76575599</x:t>
  </x:si>
  <x:si>
    <x:t xml:space="preserve">2026-02-16 10:22:50</x:t>
  </x:si>
  <x:si>
    <x:t xml:space="preserve">2026-05-27 21:29:40</x:t>
  </x:si>
  <x:si>
    <x:t xml:space="preserve">538</x:t>
  </x:si>
  <x:si>
    <x:t xml:space="preserve">37713094</x:t>
  </x:si>
  <x:si>
    <x:t xml:space="preserve">55205464</x:t>
  </x:si>
  <x:si>
    <x:t xml:space="preserve">2026-02-16 23:34:55</x:t>
  </x:si>
  <x:si>
    <x:t xml:space="preserve">2026-06-20 21:14:54</x:t>
  </x:si>
  <x:si>
    <x:t xml:space="preserve">555</x:t>
  </x:si>
  <x:si>
    <x:t xml:space="preserve">41368870</x:t>
  </x:si>
  <x:si>
    <x:t xml:space="preserve">91923827</x:t>
  </x:si>
  <x:si>
    <x:t xml:space="preserve">2026-03-05 18:52:45</x:t>
  </x:si>
  <x:si>
    <x:t xml:space="preserve">2026-03-21 20:08:06</x:t>
  </x:si>
  <x:si>
    <x:t xml:space="preserve">现网样本指标</x:t>
  </x:si>
  <x:si>
    <x:t xml:space="preserve">数值</x:t>
  </x:si>
  <x:si>
    <x:t xml:space="preserve">曲线参数</x:t>
  </x:si>
  <x:si>
    <x:t xml:space="preserve">建议值</x:t>
  </x:si>
  <x:si>
    <x:t xml:space="preserve">单位</x:t>
  </x:si>
  <x:si>
    <x:t xml:space="preserve">属性</x:t>
  </x:si>
  <x:si>
    <x:t xml:space="preserve">设定依据</x:t>
  </x:si>
  <x:si>
    <x:t xml:space="preserve">当前CP对数</x:t>
  </x:si>
  <x:si>
    <x:t xml:space="preserve">参考母版</x:t>
  </x:si>
  <x:si>
    <x:t xml:space="preserve">活跃等级累计曲线</x:t>
  </x:si>
  <x:si>
    <x:t xml:space="preserve">-</x:t>
  </x:si>
  <x:si>
    <x:t xml:space="preserve">固定</x:t>
  </x:si>
  <x:si>
    <x:t xml:space="preserve">沿用平台每10级抬升步长的增长节奏</x:t>
  </x:si>
  <x:si>
    <x:t xml:space="preserve">历史解除关系对数</x:t>
  </x:si>
  <x:si>
    <x:t xml:space="preserve">CP Lv1门槛</x:t>
  </x:si>
  <x:si>
    <x:t xml:space="preserve">亲密值</x:t>
  </x:si>
  <x:si>
    <x:t xml:space="preserve">评审定稿</x:t>
  </x:si>
  <x:si>
    <x:t xml:space="preserve">新CP达到2,000后可求婚；同时作为Lv1起点</x:t>
  </x:si>
  <x:si>
    <x:t xml:space="preserve">当前CP低于2000</x:t>
  </x:si>
  <x:si>
    <x:t xml:space="preserve">母版Lv80累计值</x:t>
  </x:si>
  <x:si>
    <x:t xml:space="preserve">活跃金币</x:t>
  </x:si>
  <x:si>
    <x:t xml:space="preserve">引用</x:t>
  </x:si>
  <x:si>
    <x:t xml:space="preserve">平台活跃等级Lv80累计值</x:t>
  </x:si>
  <x:si>
    <x:t xml:space="preserve">当前CP亲密值为0</x:t>
  </x:si>
  <x:si>
    <x:t xml:space="preserve">CP Lv80门槛</x:t>
  </x:si>
  <x:si>
    <x:t xml:space="preserve">评审输入</x:t>
  </x:si>
  <x:si>
    <x:t xml:space="preserve">把现网最高值放在G4中段，而非贴近G5</x:t>
  </x:si>
  <x:si>
    <x:t xml:space="preserve">当前CP存在离婚日期</x:t>
  </x:si>
  <x:si>
    <x:t xml:space="preserve">亲密值缩放系数</x:t>
  </x:si>
  <x:si>
    <x:t xml:space="preserve">倍</x:t>
  </x:si>
  <x:si>
    <x:t xml:space="preserve">公式</x:t>
  </x:si>
  <x:si>
    <x:t xml:space="preserve">(CP Lv80门槛-曲线衔接基准)/母版Lv80累计值</x:t>
  </x:si>
  <x:si>
    <x:t xml:space="preserve">当前CP亲密值P50</x:t>
  </x:si>
  <x:si>
    <x:t xml:space="preserve">Lv1-Lv20取整单位</x:t>
  </x:si>
  <x:si>
    <x:t xml:space="preserve">保留低等级区分</x:t>
  </x:si>
  <x:si>
    <x:t xml:space="preserve">当前CP亲密值P90</x:t>
  </x:si>
  <x:si>
    <x:t xml:space="preserve">Lv21-Lv80取整单位</x:t>
  </x:si>
  <x:si>
    <x:t xml:space="preserve">控制中段配置噪声</x:t>
  </x:si>
  <x:si>
    <x:t xml:space="preserve">当前CP亲密值P99</x:t>
  </x:si>
  <x:si>
    <x:t xml:space="preserve">Lv81-Lv100取整单位</x:t>
  </x:si>
  <x:si>
    <x:t xml:space="preserve">便于高段运营读取</x:t>
  </x:si>
  <x:si>
    <x:t xml:space="preserve">当前CP最高值</x:t>
  </x:si>
  <x:si>
    <x:t xml:space="preserve">当前最高样本等级</x:t>
  </x:si>
  <x:si>
    <x:t xml:space="preserve">级</x:t>
  </x:si>
  <x:si>
    <x:t xml:space="preserve">回放结果</x:t>
  </x:si>
  <x:si>
    <x:t xml:space="preserve">目标：低于Lv80且位于G4</x:t>
  </x:si>
  <x:si>
    <x:t xml:space="preserve">G5起点门槛</x:t>
  </x:si>
  <x:si>
    <x:t xml:space="preserve">Lv81累计亲密值</x:t>
  </x:si>
  <x:si>
    <x:t xml:space="preserve">最高样本距G5差值</x:t>
  </x:si>
  <x:si>
    <x:t xml:space="preserve">用于评估CP礼物加速缓冲</x:t>
  </x:si>
  <x:si>
    <x:t xml:space="preserve">Lv5+曲线衔接基准</x:t>
  </x:si>
  <x:si>
    <x:t xml:space="preserve">仅用于保持Lv5及以上原门槛；不再作为求婚门槛</x:t>
  </x:si>
  <x:si>
    <x:t xml:space="preserve">阶段</x:t>
  </x:si>
  <x:si>
    <x:t xml:space="preserve">等级范围</x:t>
  </x:si>
  <x:si>
    <x:t xml:space="preserve">起点等级</x:t>
  </x:si>
  <x:si>
    <x:t xml:space="preserve">视觉定位</x:t>
  </x:si>
  <x:si>
    <x:t xml:space="preserve">核心节点 / 备注</x:t>
  </x:si>
  <x:si>
    <x:t xml:space="preserve">G1 初识</x:t>
  </x:si>
  <x:si>
    <x:t xml:space="preserve">Lv1-Lv20</x:t>
  </x:si>
  <x:si>
    <x:t xml:space="preserve">关系建立与基础成长</x:t>
  </x:si>
  <x:si>
    <x:t xml:space="preserve">基础关系页 / 任务 / 纪念</x:t>
  </x:si>
  <x:si>
    <x:t xml:space="preserve">G2 默契</x:t>
  </x:si>
  <x:si>
    <x:t xml:space="preserve">Lv21-Lv40</x:t>
  </x:si>
  <x:si>
    <x:t xml:space="preserve">稳定互动</x:t>
  </x:si>
  <x:si>
    <x:t xml:space="preserve">主题背景 / 头像框</x:t>
  </x:si>
  <x:si>
    <x:t xml:space="preserve">G3 同行</x:t>
  </x:si>
  <x:si>
    <x:t xml:space="preserve">Lv41-Lv60</x:t>
  </x:si>
  <x:si>
    <x:t xml:space="preserve">长期同行</x:t>
  </x:si>
  <x:si>
    <x:t xml:space="preserve">房间展示 / 关系动效</x:t>
  </x:si>
  <x:si>
    <x:t xml:space="preserve">G4 知心</x:t>
  </x:si>
  <x:si>
    <x:t xml:space="preserve">Lv61-Lv80</x:t>
  </x:si>
  <x:si>
    <x:t xml:space="preserve">高阶关系</x:t>
  </x:si>
  <x:si>
    <x:t xml:space="preserve">现网最高样本所在阶段</x:t>
  </x:si>
  <x:si>
    <x:t xml:space="preserve">G5 长伴</x:t>
  </x:si>
  <x:si>
    <x:t xml:space="preserve">Lv81-Lv100</x:t>
  </x:si>
  <x:si>
    <x:t xml:space="preserve">长期荣誉</x:t>
  </x:si>
  <x:si>
    <x:t xml:space="preserve">高阶勋章 / 典藏展示</x:t>
  </x:si>
  <x:si>
    <x:t xml:space="preserve">CP Lv1-Lv100 亲密值与礼物档位｜每20级一阶段 v3.4</x:t>
  </x:si>
  <x:si>
    <x:t xml:space="preserve">Lv1-Lv4调整为2,000/5,000/12,000/24,000；Lv5起沿用原门槛。等级只读取现有共同亲密值，不迁移、不折算；礼物解锁见里程碑列与“CP礼物配置”。</x:t>
  </x:si>
  <x:si>
    <x:t xml:space="preserve">等级</x:t>
  </x:si>
  <x:si>
    <x:t xml:space="preserve">累计亲密值门槛</x:t>
  </x:si>
  <x:si>
    <x:t xml:space="preserve">较上一级增加</x:t>
  </x:si>
  <x:si>
    <x:t xml:space="preserve">本级增量/上级门槛</x:t>
  </x:si>
  <x:si>
    <x:t xml:space="preserve">当前CP占比</x:t>
  </x:si>
  <x:si>
    <x:t xml:space="preserve">达到该等级对数</x:t>
  </x:si>
  <x:si>
    <x:t xml:space="preserve">达到该等级占比</x:t>
  </x:si>
  <x:si>
    <x:t xml:space="preserve">里程碑/权益</x:t>
  </x:si>
  <x:si>
    <x:t xml:space="preserve">达到2,000并建立CP；解锁CP_GIFT_01</x:t>
  </x:si>
  <x:si>
    <x:t xml:space="preserve">Lv10；解锁CP_GIFT_02</x:t>
  </x:si>
  <x:si>
    <x:t xml:space="preserve">Lv20；解锁CP_GIFT_03</x:t>
  </x:si>
  <x:si>
    <x:t xml:space="preserve">进入G2 默契</x:t>
  </x:si>
  <x:si>
    <x:t xml:space="preserve">进入G3 同行</x:t>
  </x:si>
  <x:si>
    <x:t xml:space="preserve">进入G4 知心</x:t>
  </x:si>
  <x:si>
    <x:t xml:space="preserve">现网最高样本回放位置</x:t>
  </x:si>
  <x:si>
    <x:t xml:space="preserve">G4末级；校准点2000万</x:t>
  </x:si>
  <x:si>
    <x:t xml:space="preserve">进入G5 长伴</x:t>
  </x:si>
  <x:si>
    <x:t xml:space="preserve">当前等级上限；亲密值继续累计</x:t>
  </x:si>
  <x:si>
    <x:t xml:space="preserve">当前CP样本映射｜Lv100全量回放</x:t>
  </x:si>
  <x:si>
    <x:t xml:space="preserve">共312对当前CP。等级按现有亲密值对照Lv1-Lv100门槛计算；低于2,000的存量CP兼容显示Lv1，不写回亲密值、不解除关系。</x:t>
  </x:si>
  <x:si>
    <x:t xml:space="preserve">共312对当前CP。等级按现有亲密值对照Lv1-Lv100门槛计算；低于3500的存量CP兼容显示Lv1，不写回亲密值。</x:t>
  </x:si>
  <x:si>
    <x:t xml:space="preserve">来源行号</x:t>
  </x:si>
  <x:si>
    <x:t xml:space="preserve">兼容/质量提示</x:t>
  </x:si>
  <x:si>
    <x:t xml:space="preserve">现网CP亲密值与Lv100阶段分布</x:t>
  </x:si>
  <x:si>
    <x:t xml:space="preserve">阶段每20级划分。当前样本高度集中在G1，最高值单独位于G4；这反映现网长尾，不使用人为均匀分布反推档位。</x:t>
  </x:si>
  <x:si>
    <x:t xml:space="preserve">分位点</x:t>
  </x:si>
  <x:si>
    <x:t xml:space="preserve">当前CP亲密值</x:t>
  </x:si>
  <x:si>
    <x:t xml:space="preserve">解读</x:t>
  </x:si>
  <x:si>
    <x:t xml:space="preserve">占比</x:t>
  </x:si>
  <x:si>
    <x:t xml:space="preserve">最小值</x:t>
  </x:si>
  <x:si>
    <x:t xml:space="preserve">90%的当前CP高于该值</x:t>
  </x:si>
  <x:si>
    <x:t xml:space="preserve">四分之一位置</x:t>
  </x:si>
  <x:si>
    <x:t xml:space="preserve">中位数</x:t>
  </x:si>
  <x:si>
    <x:t xml:space="preserve">四分之三位置</x:t>
  </x:si>
  <x:si>
    <x:t xml:space="preserve">前10%起点</x:t>
  </x:si>
  <x:si>
    <x:t xml:space="preserve">前5%起点</x:t>
  </x:si>
  <x:si>
    <x:t xml:space="preserve">前1%起点</x:t>
  </x:si>
  <x:si>
    <x:t xml:space="preserve">最大值 / 极端长尾</x:t>
  </x:si>
  <x:si>
    <x:t xml:space="preserve">亲密值区间</x:t>
  </x:si>
  <x:si>
    <x:t xml:space="preserve">关键回放</x:t>
  </x:si>
  <x:si>
    <x:t xml:space="preserve">新等级/阶段</x:t>
  </x:si>
  <x:si>
    <x:t xml:space="preserve">结论</x:t>
  </x:si>
  <x:si>
    <x:t xml:space="preserve">0</x:t>
  </x:si>
  <x:si>
    <x:t xml:space="preserve">最高值</x:t>
  </x:si>
  <x:si>
    <x:t xml:space="preserve">最高样本稳定落在G4</x:t>
  </x:si>
  <x:si>
    <x:t xml:space="preserve">1-999</x:t>
  </x:si>
  <x:si>
    <x:t xml:space="preserve">第二高值</x:t>
  </x:si>
  <x:si>
    <x:t xml:space="preserve">非极端高值仍处于G2</x:t>
  </x:si>
  <x:si>
    <x:t xml:space="preserve">1,000-1,999</x:t>
  </x:si>
  <x:si>
    <x:t xml:space="preserve">G5起点</x:t>
  </x:si>
  <x:si>
    <x:t xml:space="preserve">Lv81 / G5</x:t>
  </x:si>
  <x:si>
    <x:t xml:space="preserve">高于当前最高，避免上线即进G5</x:t>
  </x:si>
  <x:si>
    <x:t xml:space="preserve">2,000-9,999</x:t>
  </x:si>
  <x:si>
    <x:t xml:space="preserve">距G5差值</x:t>
  </x:si>
  <x:si>
    <x:t xml:space="preserve">用于承接CP礼物增量</x:t>
  </x:si>
  <x:si>
    <x:t xml:space="preserve">10,000-99,999</x:t>
  </x:si>
  <x:si>
    <x:t xml:space="preserve">Lv100当前人数</x:t>
  </x:si>
  <x:si>
    <x:t xml:space="preserve">上线时无满级</x:t>
  </x:si>
  <x:si>
    <x:t xml:space="preserve">100,000-999,999</x:t>
  </x:si>
  <x:si>
    <x:t xml:space="preserve">1,000,000-4,999,999</x:t>
  </x:si>
  <x:si>
    <x:t xml:space="preserve">5,000,000-9,999,999</x:t>
  </x:si>
  <x:si>
    <x:t xml:space="preserve">10,000,000+</x:t>
  </x:si>
  <x:si>
    <x:t xml:space="preserve">当前CP</x:t>
  </x:si>
  <x:si>
    <x:t xml:space="preserve">最高等级</x:t>
  </x:si>
  <x:si>
    <x:t xml:space="preserve">最高阶段</x:t>
  </x:si>
  <x:si>
    <x:t xml:space="preserve">距G5缓冲</x:t>
  </x:si>
  <x:si>
    <x:t xml:space="preserve">Lv100门槛</x:t>
  </x:si>
  <x:si>
    <x:t xml:space="preserve">核心裁决</x:t>
  </x:si>
  <x:si>
    <x:t xml:space="preserve">1. 求婚门槛与Lv1起点改为2,000；不新增等级、不整体后移存量等级。</x:t>
  </x:si>
  <x:si>
    <x:t xml:space="preserve">2. Lv2-Lv4为5,000/12,000/24,000；Lv5起沿用原曲线。</x:t>
  </x:si>
  <x:si>
    <x:t xml:space="preserve">3. Lv80=2,000万；现网最高1,570.6万仍映射Lv72/G4。</x:t>
  </x:si>
  <x:si>
    <x:t xml:space="preserve">5. 幸运礼物只计普通礼物亲密值的10%，不计中奖或返奖金额。</x:t>
  </x:si>
  <x:si>
    <x:t xml:space="preserve">礼物/来源</x:t>
  </x:si>
  <x:si>
    <x:t xml:space="preserve">价格</x:t>
  </x:si>
  <x:si>
    <x:t xml:space="preserve">权限/结算</x:t>
  </x:si>
  <x:si>
    <x:t xml:space="preserve">里程碑</x:t>
  </x:si>
  <x:si>
    <x:t xml:space="preserve">较上级增加</x:t>
  </x:si>
  <x:si>
    <x:t xml:space="preserve">当前达到对数</x:t>
  </x:si>
  <x:si>
    <x:t xml:space="preserve">Lv1</x:t>
  </x:si>
  <x:si>
    <x:t xml:space="preserve">Lv20</x:t>
  </x:si>
  <x:si>
    <x:t xml:space="preserve">Lv21</x:t>
  </x:si>
  <x:si>
    <x:t xml:space="preserve">Lv40</x:t>
  </x:si>
  <x:si>
    <x:t xml:space="preserve">上线验收重点</x:t>
  </x:si>
  <x:si>
    <x:t xml:space="preserve">Lv41</x:t>
  </x:si>
  <x:si>
    <x:t xml:space="preserve">Lv60</x:t>
  </x:si>
  <x:si>
    <x:t xml:space="preserve">Lv61</x:t>
  </x:si>
  <x:si>
    <x:t xml:space="preserve">Lv72</x:t>
  </x:si>
  <x:si>
    <x:t xml:space="preserve">Lv80</x:t>
  </x:si>
  <x:si>
    <x:t xml:space="preserve">Lv81</x:t>
  </x:si>
  <x:si>
    <x:t xml:space="preserve">Lv100</x:t>
  </x:si>
  <x:si>
    <x:t xml:space="preserve">平台四类等级原表与CP独立档位对照｜Lv1-Lv100 v3.4</x:t>
  </x:si>
  <x:si>
    <x:t xml:space="preserve">游戏等级</x:t>
  </x:si>
  <x:si>
    <x:t xml:space="preserve">活跃等级</x:t>
  </x:si>
  <x:si>
    <x:t xml:space="preserve">魅力等级</x:t>
  </x:si>
  <x:si>
    <x:t xml:space="preserve">财富等级</x:t>
  </x:si>
  <x:si>
    <x:t xml:space="preserve">CP等级独立对照（不与平台数值直接等同）</x:t>
  </x:si>
  <x:si>
    <x:t xml:space="preserve">经验(exp)</x:t>
  </x:si>
  <x:si>
    <x:t xml:space="preserve">金币(gold)</x:t>
  </x:si>
  <x:si>
    <x:t xml:space="preserve">CP等级</x:t>
  </x:si>
  <x:si>
    <x:t xml:space="preserve">同级活跃金币参考</x:t>
  </x:si>
  <x:si>
    <x:t xml:space="preserve">映射说明</x:t>
  </x:si>
  <x:si>
    <x:t xml:space="preserve">前段独立配置，不由平台曲线计算</x:t>
  </x:si>
  <x:si>
    <x:t xml:space="preserve">从Lv5起参考同级活跃累计金币的增长节奏</x:t>
  </x:si>
  <x:si>
    <x:t xml:space="preserve">3671</x:t>
  </x:si>
  <x:si>
    <x:t xml:space="preserve">G1阶段末级</x:t>
  </x:si>
  <x:si>
    <x:t xml:space="preserve">G2阶段起点</x:t>
  </x:si>
  <x:si>
    <x:t xml:space="preserve">G2阶段末级</x:t>
  </x:si>
  <x:si>
    <x:t xml:space="preserve">G3阶段起点</x:t>
  </x:si>
  <x:si>
    <x:t xml:space="preserve">G3阶段末级</x:t>
  </x:si>
  <x:si>
    <x:t xml:space="preserve">G4阶段起点</x:t>
  </x:si>
  <x:si>
    <x:t xml:space="preserve">G4阶段末级</x:t>
  </x:si>
  <x:si>
    <x:t xml:space="preserve">G5阶段起点</x:t>
  </x:si>
  <x:si>
    <x:t xml:space="preserve">G5阶段末级</x:t>
  </x:si>
  <x:si>
    <x:t xml:space="preserve">对齐说明：A-I列逐行复刻《等级配置｜四类等级汇总｜current.xlsx》的Lv1-Lv100原始值；J-M列是CP自己的等级体系。CP Lv1-Lv4为独立平滑值，Lv5起才参考同级活跃累计金币的增长节奏并按CP目标量级缩放。</x:t>
  </x:si>
  <x:si>
    <x:t xml:space="preserve">风险</x:t>
  </x:si>
  <x:si>
    <x:t xml:space="preserve">触发条件</x:t>
  </x:si>
  <x:si>
    <x:t xml:space="preserve">可能影响</x:t>
  </x:si>
  <x:si>
    <x:t xml:space="preserve">建议控制</x:t>
  </x:si>
  <x:si>
    <x:t xml:space="preserve">产品验收</x:t>
  </x:si>
  <x:si>
    <x:t xml:space="preserve">优先级</x:t>
  </x:si>
  <x:si>
    <x:t xml:space="preserve">是否改现网亲密值</x:t>
  </x:si>
  <x:si>
    <x:t xml:space="preserve">备注</x:t>
  </x:si>
  <x:si>
    <x:t xml:space="preserve">单笔礼物跨多级/跨阶段</x:t>
  </x:si>
  <x:si>
    <x:t xml:space="preserve">高价值CP礼物一次增加大量亲密值</x:t>
  </x:si>
  <x:si>
    <x:t xml:space="preserve">连续弹出升级动画；权益漏发或重复发</x:t>
  </x:si>
  <x:si>
    <x:t xml:space="preserve">服务端一次计算最终等级；权益逐项幂等补齐；前端合并为一次升级结果</x:t>
  </x:si>
  <x:si>
    <x:t xml:space="preserve">同一订单重复回调不重复加值/发奖</x:t>
  </x:si>
  <x:si>
    <x:t xml:space="preserve">P0</x:t>
  </x:si>
  <x:si>
    <x:t xml:space="preserve">否</x:t>
  </x:si>
  <x:si>
    <x:t xml:space="preserve">必须覆盖并发与补偿</x:t>
  </x:si>
  <x:si>
    <x:t xml:space="preserve">G5过快进入</x:t>
  </x:si>
  <x:si>
    <x:t xml:space="preserve">最高CP距离G5过近</x:t>
  </x:si>
  <x:si>
    <x:t xml:space="preserve">新增礼物上线后短期进入G5</x:t>
  </x:si>
  <x:si>
    <x:t xml:space="preserve">把现网最高放在Lv72；G5起点约2062万，预留约491万</x:t>
  </x:si>
  <x:si>
    <x:t xml:space="preserve">上线时最高为G4；30/90天压力测试通过</x:t>
  </x:si>
  <x:si>
    <x:t xml:space="preserve">当前参数满足静态回放</x:t>
  </x:si>
  <x:si>
    <x:t xml:space="preserve">阶段反馈过疏</x:t>
  </x:si>
  <x:si>
    <x:t xml:space="preserve">只在每20级发权益或换物料</x:t>
  </x:si>
  <x:si>
    <x:t xml:space="preserve">用户长期无感；等级存在感弱</x:t>
  </x:si>
  <x:si>
    <x:t xml:space="preserve">每5级设置小里程碑，每20级升级阶段；小里程碑复用同阶段物料</x:t>
  </x:si>
  <x:si>
    <x:t xml:space="preserve">任意5级内至少有一次可感知反馈</x:t>
  </x:si>
  <x:si>
    <x:t xml:space="preserve">P1</x:t>
  </x:si>
  <x:si>
    <x:t xml:space="preserve">首期只做5套阶段物料</x:t>
  </x:si>
  <x:si>
    <x:t xml:space="preserve">衰减跨阶段抖动</x:t>
  </x:si>
  <x:si>
    <x:t xml:space="preserve">亲密值在阶段门槛上下波动</x:t>
  </x:si>
  <x:si>
    <x:t xml:space="preserve">权益频繁开关、客服争议</x:t>
  </x:si>
  <x:si>
    <x:t xml:space="preserve">数值等级实时重算；阶段权益沿用7天降级宽限；历史奖励不追回</x:t>
  </x:si>
  <x:si>
    <x:t xml:space="preserve">宽限期内展示、赠礼资格和权益口径一致</x:t>
  </x:si>
  <x:si>
    <x:t xml:space="preserve">沿用PRD现有兼容方向</x:t>
  </x:si>
  <x:si>
    <x:t xml:space="preserve">100级容量不足</x:t>
  </x:si>
  <x:si>
    <x:t xml:space="preserve">CP礼物使头部增长速度显著高于预期</x:t>
  </x:si>
  <x:si>
    <x:t xml:space="preserve">头部用户过早满级，后续目标断档</x:t>
  </x:si>
  <x:si>
    <x:t xml:space="preserve">首期保留Lv100封顶和溢出累计；观察30/90天分布后再扩到Lv120或Lv200</x:t>
  </x:si>
  <x:si>
    <x:t xml:space="preserve">Lv100人数或头部升级速度达到扩容阈值时触发评审</x:t>
  </x:si>
  <x:si>
    <x:t xml:space="preserve">先验证再扩容，不提前增加物料</x:t>
  </x:si>
  <x:si>
    <x:t xml:space="preserve">高阶礼物复购加速</x:t>
  </x:si>
  <x:si>
    <x:t xml:space="preserve">CP_GIFT_03可重复购买且效率为普通礼物约3倍</x:t>
  </x:si>
  <x:si>
    <x:t xml:space="preserve">头部增长速度显著提高</x:t>
  </x:si>
  <x:si>
    <x:t xml:space="preserve">首期不新增独立上限；按订单、关系和国家监控P95/P99</x:t>
  </x:si>
  <x:si>
    <x:t xml:space="preserve">重复回调不重复加值；30/90天分布可回放</x:t>
  </x:si>
  <x:si>
    <x:t xml:space="preserve">以199,999金币/+6,000为评审值</x:t>
  </x:si>
  <x:si>
    <x:t xml:space="preserve">礼物压力测试边界</x:t>
  </x:si>
  <x:si>
    <x:t xml:space="preserve">公式/数值</x:t>
  </x:si>
  <x:si>
    <x:t xml:space="preserve">当前结论</x:t>
  </x:si>
  <x:si>
    <x:t xml:space="preserve">当前最高亲密值</x:t>
  </x:si>
  <x:si>
    <x:t xml:space="preserve">静态样本最高</x:t>
  </x:si>
  <x:si>
    <x:t xml:space="preserve">Lv72 / G4</x:t>
  </x:si>
  <x:si>
    <x:t xml:space="preserve">Lv81累计门槛</x:t>
  </x:si>
  <x:si>
    <x:t xml:space="preserve">必须高于当前最高</x:t>
  </x:si>
  <x:si>
    <x:t xml:space="preserve">只计算门槛差值</x:t>
  </x:si>
  <x:si>
    <x:t xml:space="preserve">约491万</x:t>
  </x:si>
  <x:si>
    <x:t xml:space="preserve">最高样本到G5所需三档礼物</x:t>
  </x:si>
  <x:si>
    <x:t xml:space="preserve">件</x:t>
  </x:si>
  <x:si>
    <x:t xml:space="preserve">按CP_GIFT_03计算</x:t>
  </x:si>
  <x:si>
    <x:t xml:space="preserve">约820件</x:t>
  </x:si>
  <x:si>
    <x:t xml:space="preserve">对应金币</x:t>
  </x:si>
  <x:si>
    <x:t xml:space="preserve">金币</x:t>
  </x:si>
  <x:si>
    <x:t xml:space="preserve">件数×199,999</x:t>
  </x:si>
  <x:si>
    <x:t xml:space="preserve">约1.64亿</x:t>
  </x:si>
  <x:si>
    <x:t xml:space="preserve">首期等级容量</x:t>
  </x:si>
  <x:si>
    <x:t xml:space="preserve">用于判断后续是否扩容</x:t>
  </x:si>
  <x:si>
    <x:t xml:space="preserve">模块</x:t>
  </x:si>
  <x:si>
    <x:t xml:space="preserve">来源</x:t>
  </x:si>
  <x:si>
    <x:t xml:space="preserve">有效条件</x:t>
  </x:si>
  <x:si>
    <x:t xml:space="preserve">单次变化</x:t>
  </x:si>
  <x:si>
    <x:t xml:space="preserve">周期上限</x:t>
  </x:si>
  <x:si>
    <x:t xml:space="preserve">入账方式</x:t>
  </x:si>
  <x:si>
    <x:t xml:space="preserve">基础互动</x:t>
  </x:si>
  <x:si>
    <x:t xml:space="preserve">私信双向回合</x:t>
  </x:si>
  <x:si>
    <x:t xml:space="preserve">双方来回发送1对有效消息</x:t>
  </x:si>
  <x:si>
    <x:t xml:space="preserve">+1</x:t>
  </x:si>
  <x:si>
    <x:t xml:space="preserve">20/日</x:t>
  </x:si>
  <x:si>
    <x:t xml:space="preserve">完成后自动入账</x:t>
  </x:si>
  <x:si>
    <x:t xml:space="preserve">双方共同数值；尽量实时更新</x:t>
  </x:si>
  <x:si>
    <x:t xml:space="preserve">共同游戏</x:t>
  </x:si>
  <x:si>
    <x:t xml:space="preserve">双方完成1场有效游戏</x:t>
  </x:si>
  <x:si>
    <x:t xml:space="preserve">+10</x:t>
  </x:si>
  <x:si>
    <x:t xml:space="preserve">30/日</x:t>
  </x:si>
  <x:si>
    <x:t xml:space="preserve">按有效局结算</x:t>
  </x:si>
  <x:si>
    <x:t xml:space="preserve">礼物</x:t>
  </x:si>
  <x:si>
    <x:t xml:space="preserve">普通礼物</x:t>
  </x:si>
  <x:si>
    <x:t xml:space="preserve">有效订单完成</x:t>
  </x:si>
  <x:si>
    <x:t xml:space="preserve">实际金币/100</x:t>
  </x:si>
  <x:si>
    <x:t xml:space="preserve">每日无上限</x:t>
  </x:si>
  <x:si>
    <x:t xml:space="preserve">订单完成后自动入账</x:t>
  </x:si>
  <x:si>
    <x:t xml:space="preserve">取整沿用现网</x:t>
  </x:si>
  <x:si>
    <x:t xml:space="preserve">幸运礼物</x:t>
  </x:si>
  <x:si>
    <x:t xml:space="preserve">floor(实际金币/1000)</x:t>
  </x:si>
  <x:si>
    <x:t xml:space="preserve">只计普通礼物结果的10%</x:t>
  </x:si>
  <x:si>
    <x:t xml:space="preserve">上限核算</x:t>
  </x:si>
  <x:si>
    <x:t xml:space="preserve">说明</x:t>
  </x:si>
  <x:si>
    <x:t xml:space="preserve">基础免费互动每日上限</x:t>
  </x:si>
  <x:si>
    <x:t xml:space="preserve">亲密值/日</x:t>
  </x:si>
  <x:si>
    <x:t xml:space="preserve">私信20+游戏30，不含礼物</x:t>
  </x:si>
  <x:si>
    <x:t xml:space="preserve">日任务明细｜固定 4 条，奖励 +5/+10/+10/+15，全部领取合计 40/日</x:t>
  </x:si>
  <x:si>
    <x:t xml:space="preserve">任务ID</x:t>
  </x:si>
  <x:si>
    <x:t xml:space="preserve">任务名称</x:t>
  </x:si>
  <x:si>
    <x:t xml:space="preserve">达成条件</x:t>
  </x:si>
  <x:si>
    <x:t xml:space="preserve">奖励亲密值</x:t>
  </x:si>
  <x:si>
    <x:t xml:space="preserve">统计口径</x:t>
  </x:si>
  <x:si>
    <x:t xml:space="preserve">刷新/过期</x:t>
  </x:si>
  <x:si>
    <x:t xml:space="preserve">CP_DAILY_01</x:t>
  </x:si>
  <x:si>
    <x:t xml:space="preserve">每日签到</x:t>
  </x:si>
  <x:si>
    <x:t xml:space="preserve">双方各在当前关系页完成 1 次主动签到</x:t>
  </x:si>
  <x:si>
    <x:t xml:space="preserve">每日 00:00 刷新；未领取奖励随刷新过期</x:t>
  </x:si>
  <x:si>
    <x:t xml:space="preserve">CP_DAILY_02</x:t>
  </x:si>
  <x:si>
    <x:t xml:space="preserve">双方互赠</x:t>
  </x:si>
  <x:si>
    <x:t xml:space="preserve">双方互赠方向合计有效礼物消费≥1,000金币</x:t>
  </x:si>
  <x:si>
    <x:t xml:space="preserve">CP_DAILY_03</x:t>
  </x:si>
  <x:si>
    <x:t xml:space="preserve">CP_DAILY_04</x:t>
  </x:si>
  <x:si>
    <x:t xml:space="preserve">共同在麦</x:t>
  </x:si>
  <x:si>
    <x:t xml:space="preserve">双方共同在麦时间≥15分钟</x:t>
  </x:si>
  <x:si>
    <x:t xml:space="preserve">周任务明细｜固定 4 条，每条 +20，全部领取合计 80/周</x:t>
  </x:si>
  <x:si>
    <x:t xml:space="preserve">CP_WEEKLY_01</x:t>
  </x:si>
  <x:si>
    <x:t xml:space="preserve">连续签到</x:t>
  </x:si>
  <x:si>
    <x:t xml:space="preserve">本周至少 3 个自然日双方都完成关系签到</x:t>
  </x:si>
  <x:si>
    <x:t xml:space="preserve">每周一 00:00 刷新；未领取奖励随刷新过期</x:t>
  </x:si>
  <x:si>
    <x:t xml:space="preserve">CP_WEEKLY_02</x:t>
  </x:si>
  <x:si>
    <x:t xml:space="preserve">双方心意</x:t>
  </x:si>
  <x:si>
    <x:t xml:space="preserve">本周双方各累计送出 3 笔有效付费礼物</x:t>
  </x:si>
  <x:si>
    <x:t xml:space="preserve">CP_WEEKLY_03</x:t>
  </x:si>
  <x:si>
    <x:t xml:space="preserve">CP_WEEKLY_04</x:t>
  </x:si>
  <x:si>
    <x:t xml:space="preserve">共同成长</x:t>
  </x:si>
  <x:si>
    <x:t xml:space="preserve">本周由非任务来源累计增加 300 亲密值</x:t>
  </x:si>
  <x:si>
    <x:t xml:space="preserve">统一领取与结算规则</x:t>
  </x:si>
  <x:si>
    <x:t xml:space="preserve">避免重复</x:t>
  </x:si>
  <x:si>
    <x:t xml:space="preserve">礼物双向</x:t>
  </x:si>
  <x:si>
    <x:t xml:space="preserve">礼物结算</x:t>
  </x:si>
  <x:si>
    <x:t xml:space="preserve">共享与幂等</x:t>
  </x:si>
  <x:si>
    <x:t xml:space="preserve">刷新过期</x:t>
  </x:si>
  <x:si>
    <x:t xml:space="preserve">完成奖励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</x:si>
</x:sst>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\+0"/>
    <x:numFmt numFmtId="177" formatCode="0.00#"/>
    <x:numFmt numFmtId="178" formatCode="0.0%"/>
    <x:numFmt numFmtId="179" formatCode="0.000"/>
    <x:numFmt numFmtId="200" formatCode="#,##0.00"/>
    <x:numFmt numFmtId="201" formatCode="0.00"/>
    <x:numFmt numFmtId="202" formatCode="#,##0"/>
  </x:numFmts>
  <x:fonts count="36">
    <x:font>
      <x:sz val="11"/>
      <x:name val="Carlito"/>
    </x:font>
    <x:font>
      <x:b/>
      <x:sz val="11"/>
      <x:color rgb="FFFFFFFF"/>
      <x:name val="Carlito"/>
    </x:font>
    <x:font>
      <x:sz val="11"/>
      <x:color rgb="FF40566B"/>
      <x:name val="Carlito"/>
    </x:font>
    <x:font>
      <x:sz val="11"/>
      <x:color rgb="FF263746"/>
      <x:name val="Carlito"/>
    </x:font>
    <x:font>
      <x:b/>
      <x:sz val="11"/>
      <x:color rgb="FF17324D"/>
      <x:name val="Carlito"/>
    </x:font>
    <x:font>
      <x:b/>
      <x:sz val="18"/>
      <x:color rgb="FFFFFFFF"/>
      <x:name val="Arial"/>
    </x:font>
    <x:font>
      <x:sz val="10"/>
      <x:color rgb="FF64748B"/>
      <x:name val="Arial"/>
    </x:font>
    <x:font>
      <x:sz val="11"/>
      <x:name val="Arial"/>
    </x:font>
    <x:font>
      <x:b/>
      <x:sz val="11"/>
      <x:color rgb="FF52606D"/>
      <x:name val="Carlito"/>
    </x:font>
    <x:font>
      <x:b/>
      <x:sz val="11"/>
      <x:color rgb="FF16324F"/>
      <x:name val="Arial"/>
    </x:font>
    <x:font>
      <x:b/>
      <x:sz val="11"/>
      <x:color rgb="FF263746"/>
      <x:name val="Carlito"/>
    </x:font>
    <x:font>
      <x:b/>
      <x:sz val="11"/>
      <x:color rgb="FF1D4ED8"/>
      <x:name val="Carlito"/>
    </x:font>
    <x:font>
      <x:b/>
      <x:sz val="11"/>
      <x:color rgb="FF2878B5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宋体"/>
    </x:font>
    <x:font>
      <x:sz val="11"/>
      <x:color rgb="FF526A7B"/>
      <x:name val="Carlito"/>
    </x:font>
    <x:font>
      <x:sz val="11"/>
      <x:color rgb="FF32495C"/>
      <x:name val="Carlito"/>
    </x:font>
  </x:fonts>
  <x:fills count="6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5"/>
      </x:patternFill>
    </x:fill>
    <x:fill>
      <x:patternFill patternType="solid">
        <x:fgColor rgb="FF2878B5"/>
      </x:patternFill>
    </x:fill>
    <x:fill>
      <x:patternFill patternType="solid">
        <x:fgColor theme="0"/>
      </x:patternFill>
    </x:fill>
    <x:fill>
      <x:patternFill patternType="solid">
        <x:fgColor rgb="FFADD0DD"/>
      </x:patternFill>
    </x:fill>
    <x:fill>
      <x:patternFill patternType="solid">
        <x:fgColor rgb="FFADD0DD"/>
      </x:patternFill>
    </x:fill>
    <x:fill>
      <x:patternFill patternType="solid">
        <x:fgColor rgb="FFB7791F"/>
      </x:patternFill>
    </x:fill>
    <x:fill>
      <x:patternFill patternType="solid">
        <x:fgColor rgb="FF087F8C"/>
      </x:patternFill>
    </x:fill>
    <x:fill>
      <x:patternFill patternType="solid">
        <x:fgColor rgb="FFEAF7F7"/>
      </x:patternFill>
    </x:fill>
    <x:fill>
      <x:patternFill patternType="solid">
        <x:fgColor rgb="FFEDF5FB"/>
      </x:patternFill>
    </x:fill>
    <x:fill>
      <x:patternFill patternType="solid">
        <x:fgColor rgb="FFFFFFFF"/>
      </x:patternFill>
    </x:fill>
    <x:fill>
      <x:patternFill patternType="solid">
        <x:fgColor rgb="FFF6F8FA"/>
      </x:patternFill>
    </x:fill>
    <x:fill>
      <x:patternFill patternType="solid">
        <x:fgColor rgb="FFF3F5F7"/>
      </x:patternFill>
    </x:fill>
    <x:fill>
      <x:patternFill patternType="solid">
        <x:fgColor rgb="FF263746"/>
      </x:patternFill>
    </x:fill>
    <x:fill>
      <x:patternFill patternType="solid">
        <x:fgColor rgb="FFEDF8FA"/>
      </x:patternFill>
    </x:fill>
    <x:fill>
      <x:patternFill patternType="solid">
        <x:fgColor rgb="FF16324F"/>
      </x:patternFill>
    </x:fill>
    <x:fill>
      <x:patternFill patternType="solid">
        <x:fgColor rgb="FFEEF3F7"/>
      </x:patternFill>
    </x:fill>
    <x:fill>
      <x:patternFill patternType="solid">
        <x:fgColor rgb="FFEAF2F8"/>
      </x:patternFill>
    </x:fill>
    <x:fill>
      <x:patternFill patternType="solid">
        <x:fgColor rgb="FFF7FBFC"/>
      </x:patternFill>
    </x:fill>
    <x:fill>
      <x:patternFill patternType="solid">
        <x:fgColor rgb="FFB24C63"/>
      </x:patternFill>
    </x:fill>
    <x:fill>
      <x:patternFill patternType="solid">
        <x:fgColor rgb="FFFFF7F8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24D"/>
      </x:patternFill>
    </x:fill>
    <x:fill>
      <x:patternFill patternType="solid">
        <x:fgColor rgb="FFEAF2F7"/>
      </x:patternFill>
    </x:fill>
    <x:fill>
      <x:patternFill patternType="solid">
        <x:fgColor rgb="FF2D84BC"/>
      </x:patternFill>
    </x:fill>
    <x:fill>
      <x:patternFill patternType="solid">
        <x:fgColor rgb="FFE8F4EE"/>
      </x:patternFill>
    </x:fill>
    <x:fill>
      <x:patternFill patternType="solid">
        <x:fgColor rgb="FFFCEFF3"/>
      </x:patternFill>
    </x:fill>
    <x:fill>
      <x:patternFill patternType="solid">
        <x:fgColor rgb="FF0C8992"/>
      </x:patternFill>
    </x:fill>
    <x:fill>
      <x:patternFill patternType="solid">
        <x:fgColor rgb="FFF3F6F8"/>
      </x:patternFill>
    </x:fill>
    <x:fill>
      <x:patternFill patternType="solid">
        <x:fgColor rgb="FFC48116"/>
      </x:patternFill>
    </x:fill>
    <x:fill>
      <x:patternFill patternType="solid">
        <x:fgColor rgb="FFC5E2EC"/>
      </x:patternFill>
    </x:fill>
    <x:fill>
      <x:patternFill patternType="solid">
        <x:fgColor rgb="FFE8EFF5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</x:fills>
  <x:borders count="57">
    <x:border/>
    <x:border>
      <x:left style="thin">
        <x:color rgb="FFCCD6DF"/>
      </x:left>
      <x:right style="thin">
        <x:color rgb="FFCCD6DF"/>
      </x:right>
      <x:top style="thin">
        <x:color rgb="FFCCD6DF"/>
      </x:top>
      <x:bottom style="thin">
        <x:color rgb="FFCCD6DF"/>
      </x:bottom>
    </x:border>
    <x:border>
      <x:bottom style="thin">
        <x:color rgb="FFE3E8ED"/>
      </x:bottom>
    </x:border>
    <x:border>
      <x:top style="thin">
        <x:color rgb="FFE3E8ED"/>
      </x:top>
      <x:bottom style="thin">
        <x:color rgb="FFE3E8ED"/>
      </x:bottom>
    </x:border>
    <x:border>
      <x:top style="thin">
        <x:color rgb="FFE3E8ED"/>
      </x:top>
    </x:border>
    <x:border>
      <x:right style="thin">
        <x:color rgb="FFCCD6DF"/>
      </x:right>
      <x:bottom style="thin">
        <x:color rgb="FFCCD6DF"/>
      </x:bottom>
    </x:border>
    <x:border>
      <x:left style="thin">
        <x:color rgb="FFCCD6DF"/>
      </x:left>
      <x:right style="thin">
        <x:color rgb="FFCCD6DF"/>
      </x:right>
      <x:bottom style="thin">
        <x:color rgb="FFCCD6DF"/>
      </x:bottom>
    </x:border>
    <x:border>
      <x:left style="thin">
        <x:color rgb="FFCCD6DF"/>
      </x:left>
      <x:bottom style="thin">
        <x:color rgb="FFCCD6DF"/>
      </x:bottom>
    </x:border>
    <x:border>
      <x:right style="thin">
        <x:color rgb="FFCCD6DF"/>
      </x:right>
      <x:top style="thin">
        <x:color rgb="FFCCD6DF"/>
      </x:top>
      <x:bottom style="thin">
        <x:color rgb="FFCCD6DF"/>
      </x:bottom>
    </x:border>
    <x:border>
      <x:left style="thin">
        <x:color rgb="FFCCD6DF"/>
      </x:left>
      <x:top style="thin">
        <x:color rgb="FFCCD6DF"/>
      </x:top>
      <x:bottom style="thin">
        <x:color rgb="FFCCD6DF"/>
      </x:bottom>
    </x:border>
    <x:border>
      <x:right style="thin">
        <x:color rgb="FFCCD6DF"/>
      </x:right>
      <x:top style="thin">
        <x:color rgb="FFCCD6DF"/>
      </x:top>
    </x:border>
    <x:border>
      <x:left style="thin">
        <x:color rgb="FFCCD6DF"/>
      </x:left>
      <x:right style="thin">
        <x:color rgb="FFCCD6DF"/>
      </x:right>
      <x:top style="thin">
        <x:color rgb="FFCCD6DF"/>
      </x:top>
    </x:border>
    <x:border>
      <x:left style="thin">
        <x:color rgb="FFCCD6DF"/>
      </x:left>
      <x:top style="thin">
        <x:color rgb="FFCCD6DF"/>
      </x:top>
    </x:border>
    <x:border>
      <x:left style="medium">
        <x:color rgb="FF087F8C"/>
      </x:left>
      <x:bottom style="thin">
        <x:color rgb="FFDDE8EA"/>
      </x:bottom>
    </x:border>
    <x:border>
      <x:bottom style="thin">
        <x:color rgb="FFDDE8EA"/>
      </x:bottom>
    </x:border>
    <x:border>
      <x:left style="medium">
        <x:color rgb="FF087F8C"/>
      </x:left>
      <x:top style="thin">
        <x:color rgb="FFDDE8EA"/>
      </x:top>
      <x:bottom style="thin">
        <x:color rgb="FFDDE8EA"/>
      </x:bottom>
    </x:border>
    <x:border>
      <x:top style="thin">
        <x:color rgb="FFDDE8EA"/>
      </x:top>
      <x:bottom style="thin">
        <x:color rgb="FFDDE8EA"/>
      </x:bottom>
    </x:border>
    <x:border>
      <x:top style="thin">
        <x:color rgb="FFDDE8EA"/>
      </x:top>
      <x:bottom style="thin">
        <x:color rgb="FFE3E8ED"/>
      </x:bottom>
    </x:border>
    <x:border>
      <x:top style="thin">
        <x:color rgb="FFCCD6DF"/>
      </x:top>
    </x:border>
    <x:border>
      <x:bottom style="thin">
        <x:color rgb="FFCCD6DF"/>
      </x:bottom>
    </x:border>
    <x:border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right style="thin">
        <x:color rgb="FFD7DEE7"/>
      </x:right>
    </x:border>
    <x:border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top style="thin">
        <x:color rgb="FFD7DEE7"/>
      </x:top>
    </x:border>
    <x:border>
      <x:right style="thin">
        <x:color rgb="FFCCD6DF"/>
      </x:right>
    </x:border>
    <x:border>
      <x:left style="thin">
        <x:color rgb="FFCCD6DF"/>
      </x:left>
      <x:right style="thin">
        <x:color rgb="FFCCD6DF"/>
      </x:right>
    </x:border>
    <x:border>
      <x:left style="thin">
        <x:color rgb="FFCCD6DF"/>
      </x:lef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C9D7E1"/>
      </x:left>
      <x:right style="thin">
        <x:color rgb="FFC9D7E1"/>
      </x:right>
      <x:top style="thin">
        <x:color rgb="FFC9D7E1"/>
      </x:top>
      <x:bottom style="thin">
        <x:color rgb="FFC9D7E1"/>
      </x:bottom>
    </x:border>
    <x:border>
      <x:right style="thin">
        <x:color rgb="FFC9D7E1"/>
      </x:right>
      <x:bottom style="thin">
        <x:color rgb="FFC9D7E1"/>
      </x:bottom>
    </x:border>
    <x:border>
      <x:left style="thin">
        <x:color rgb="FFC9D7E1"/>
      </x:left>
      <x:right style="thin">
        <x:color rgb="FFC9D7E1"/>
      </x:right>
      <x:bottom style="thin">
        <x:color rgb="FFC9D7E1"/>
      </x:bottom>
    </x:border>
    <x:border>
      <x:left style="thin">
        <x:color rgb="FFC9D7E1"/>
      </x:left>
      <x:bottom style="thin">
        <x:color rgb="FFC9D7E1"/>
      </x:bottom>
    </x:border>
    <x:border>
      <x:right style="thin">
        <x:color rgb="FFC9D7E1"/>
      </x:right>
      <x:top style="thin">
        <x:color rgb="FFC9D7E1"/>
      </x:top>
      <x:bottom style="thin">
        <x:color rgb="FFC9D7E1"/>
      </x:bottom>
    </x:border>
    <x:border>
      <x:left style="thin">
        <x:color rgb="FFC9D7E1"/>
      </x:left>
      <x:top style="thin">
        <x:color rgb="FFC9D7E1"/>
      </x:top>
      <x:bottom style="thin">
        <x:color rgb="FFC9D7E1"/>
      </x:bottom>
    </x:border>
    <x:border>
      <x:right style="thin">
        <x:color rgb="FFC9D7E1"/>
      </x:right>
      <x:top style="thin">
        <x:color rgb="FFC9D7E1"/>
      </x:top>
    </x:border>
    <x:border>
      <x:left style="thin">
        <x:color rgb="FFC9D7E1"/>
      </x:left>
      <x:right style="thin">
        <x:color rgb="FFC9D7E1"/>
      </x:right>
      <x:top style="thin">
        <x:color rgb="FFC9D7E1"/>
      </x:top>
    </x:border>
    <x:border>
      <x:left style="thin">
        <x:color rgb="FFC9D7E1"/>
      </x:left>
      <x:top style="thin">
        <x:color rgb="FFC9D7E1"/>
      </x:top>
    </x:border>
    <x:border>
      <x:right style="thin">
        <x:color rgb="FFC9D7E1"/>
      </x:right>
      <x:top style="thin">
        <x:color rgb="FFC9D7E1"/>
      </x:top>
      <x:bottom style="thin">
        <x:color rgb="FFE3E8ED"/>
      </x:bottom>
    </x:border>
    <x:border>
      <x:left style="thin">
        <x:color rgb="FFC9D7E1"/>
      </x:left>
      <x:right style="thin">
        <x:color rgb="FFC9D7E1"/>
      </x:right>
      <x:top style="thin">
        <x:color rgb="FFC9D7E1"/>
      </x:top>
      <x:bottom style="thin">
        <x:color rgb="FFE3E8ED"/>
      </x:bottom>
    </x:border>
    <x:border>
      <x:left style="thin">
        <x:color rgb="FFC9D7E1"/>
      </x:left>
      <x:top style="thin">
        <x:color rgb="FFC9D7E1"/>
      </x:top>
      <x:bottom style="thin">
        <x:color rgb="FFE3E8ED"/>
      </x:bottom>
    </x:border>
    <x:border>
      <x:top style="thin">
        <x:color rgb="FFE3E8ED"/>
      </x:top>
      <x:bottom style="thin">
        <x:color rgb="FFC9D7E1"/>
      </x:bottom>
    </x:border>
    <x:border>
      <x:top style="thin">
        <x:color rgb="FFC9D7E1"/>
      </x:top>
      <x:bottom style="thin">
        <x:color rgb="FFC9D7E1"/>
      </x:bottom>
    </x:border>
    <x:border>
      <x:top style="thin">
        <x:color rgb="FFC9D7E1"/>
      </x:top>
      <x:bottom style="thin">
        <x:color rgb="FFE3E8ED"/>
      </x:bottom>
    </x:border>
  </x:borders>
  <x:cellStyleXfs count="50">
    <x:xf numFmtId="0" fontId="13" fillId="0" borderId="0">
      <x:alignment vertical="center"/>
    </x:xf>
    <x:xf numFmtId="43" fontId="13" fillId="0" borderId="0" applyFont="0" applyFill="0" applyBorder="0" applyAlignment="0" applyProtection="0">
      <x:alignment vertical="center"/>
    </x:xf>
    <x:xf numFmtId="44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41" fontId="13" fillId="0" borderId="0" applyFont="0" applyFill="0" applyBorder="0" applyAlignment="0" applyProtection="0">
      <x:alignment vertical="center"/>
    </x:xf>
    <x:xf numFmtId="42" fontId="13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3" fillId="24" borderId="34" applyNumberFormat="0" applyFont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35" applyNumberFormat="0" applyFill="0" applyAlignment="0" applyProtection="0">
      <x:alignment vertical="center"/>
    </x:xf>
    <x:xf numFmtId="0" fontId="20" fillId="0" borderId="35" applyNumberFormat="0" applyFill="0" applyAlignment="0" applyProtection="0">
      <x:alignment vertical="center"/>
    </x:xf>
    <x:xf numFmtId="0" fontId="21" fillId="0" borderId="36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25" borderId="37" applyNumberFormat="0" applyAlignment="0" applyProtection="0">
      <x:alignment vertical="center"/>
    </x:xf>
    <x:xf numFmtId="0" fontId="23" fillId="26" borderId="38" applyNumberFormat="0" applyAlignment="0" applyProtection="0">
      <x:alignment vertical="center"/>
    </x:xf>
    <x:xf numFmtId="0" fontId="24" fillId="26" borderId="37" applyNumberFormat="0" applyAlignment="0" applyProtection="0">
      <x:alignment vertical="center"/>
    </x:xf>
    <x:xf numFmtId="0" fontId="25" fillId="27" borderId="39" applyNumberFormat="0" applyAlignment="0" applyProtection="0">
      <x:alignment vertical="center"/>
    </x:xf>
    <x:xf numFmtId="0" fontId="26" fillId="0" borderId="40" applyNumberFormat="0" applyFill="0" applyAlignment="0" applyProtection="0">
      <x:alignment vertical="center"/>
    </x:xf>
    <x:xf numFmtId="0" fontId="27" fillId="0" borderId="41" applyNumberFormat="0" applyFill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9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1" fillId="31" borderId="0" applyNumberFormat="0" applyBorder="0" applyAlignment="0" applyProtection="0">
      <x:alignment vertical="center"/>
    </x:xf>
    <x:xf numFmtId="0" fontId="32" fillId="32" borderId="0" applyNumberFormat="0" applyBorder="0" applyAlignment="0" applyProtection="0">
      <x:alignment vertical="center"/>
    </x:xf>
    <x:xf numFmtId="0" fontId="32" fillId="33" borderId="0" applyNumberFormat="0" applyBorder="0" applyAlignment="0" applyProtection="0">
      <x:alignment vertical="center"/>
    </x:xf>
    <x:xf numFmtId="0" fontId="31" fillId="34" borderId="0" applyNumberFormat="0" applyBorder="0" applyAlignment="0" applyProtection="0">
      <x:alignment vertical="center"/>
    </x:xf>
    <x:xf numFmtId="0" fontId="31" fillId="35" borderId="0" applyNumberFormat="0" applyBorder="0" applyAlignment="0" applyProtection="0">
      <x:alignment vertical="center"/>
    </x:xf>
    <x:xf numFmtId="0" fontId="32" fillId="36" borderId="0" applyNumberFormat="0" applyBorder="0" applyAlignment="0" applyProtection="0">
      <x:alignment vertical="center"/>
    </x:xf>
    <x:xf numFmtId="0" fontId="32" fillId="37" borderId="0" applyNumberFormat="0" applyBorder="0" applyAlignment="0" applyProtection="0">
      <x:alignment vertical="center"/>
    </x:xf>
    <x:xf numFmtId="0" fontId="31" fillId="38" borderId="0" applyNumberFormat="0" applyBorder="0" applyAlignment="0" applyProtection="0">
      <x:alignment vertical="center"/>
    </x:xf>
    <x:xf numFmtId="0" fontId="31" fillId="39" borderId="0" applyNumberFormat="0" applyBorder="0" applyAlignment="0" applyProtection="0">
      <x:alignment vertical="center"/>
    </x:xf>
    <x:xf numFmtId="0" fontId="32" fillId="40" borderId="0" applyNumberFormat="0" applyBorder="0" applyAlignment="0" applyProtection="0">
      <x:alignment vertical="center"/>
    </x:xf>
    <x:xf numFmtId="0" fontId="32" fillId="41" borderId="0" applyNumberFormat="0" applyBorder="0" applyAlignment="0" applyProtection="0">
      <x:alignment vertical="center"/>
    </x:xf>
    <x:xf numFmtId="0" fontId="31" fillId="42" borderId="0" applyNumberFormat="0" applyBorder="0" applyAlignment="0" applyProtection="0">
      <x:alignment vertical="center"/>
    </x:xf>
    <x:xf numFmtId="0" fontId="31" fillId="43" borderId="0" applyNumberFormat="0" applyBorder="0" applyAlignment="0" applyProtection="0">
      <x:alignment vertical="center"/>
    </x:xf>
    <x:xf numFmtId="0" fontId="32" fillId="44" borderId="0" applyNumberFormat="0" applyBorder="0" applyAlignment="0" applyProtection="0">
      <x:alignment vertical="center"/>
    </x:xf>
    <x:xf numFmtId="0" fontId="32" fillId="45" borderId="0" applyNumberFormat="0" applyBorder="0" applyAlignment="0" applyProtection="0">
      <x:alignment vertical="center"/>
    </x:xf>
    <x:xf numFmtId="0" fontId="31" fillId="46" borderId="0" applyNumberFormat="0" applyBorder="0" applyAlignment="0" applyProtection="0">
      <x:alignment vertical="center"/>
    </x:xf>
    <x:xf numFmtId="0" fontId="31" fillId="47" borderId="0" applyNumberFormat="0" applyBorder="0" applyAlignment="0" applyProtection="0">
      <x:alignment vertical="center"/>
    </x:xf>
    <x:xf numFmtId="0" fontId="32" fillId="48" borderId="0" applyNumberFormat="0" applyBorder="0" applyAlignment="0" applyProtection="0">
      <x:alignment vertical="center"/>
    </x:xf>
    <x:xf numFmtId="0" fontId="32" fillId="49" borderId="0" applyNumberFormat="0" applyBorder="0" applyAlignment="0" applyProtection="0">
      <x:alignment vertical="center"/>
    </x:xf>
    <x:xf numFmtId="0" fontId="31" fillId="50" borderId="0" applyNumberFormat="0" applyBorder="0" applyAlignment="0" applyProtection="0">
      <x:alignment vertical="center"/>
    </x:xf>
    <x:xf numFmtId="0" fontId="31" fillId="51" borderId="0" applyNumberFormat="0" applyBorder="0" applyAlignment="0" applyProtection="0">
      <x:alignment vertical="center"/>
    </x:xf>
    <x:xf numFmtId="0" fontId="32" fillId="52" borderId="0" applyNumberFormat="0" applyBorder="0" applyAlignment="0" applyProtection="0">
      <x:alignment vertical="center"/>
    </x:xf>
    <x:xf numFmtId="0" fontId="32" fillId="53" borderId="0" applyNumberFormat="0" applyBorder="0" applyAlignment="0" applyProtection="0">
      <x:alignment vertical="center"/>
    </x:xf>
    <x:xf numFmtId="0" fontId="31" fillId="54" borderId="0" applyNumberFormat="0" applyBorder="0" applyAlignment="0" applyProtection="0">
      <x:alignment vertical="center"/>
    </x:xf>
    <x:xf numFmtId="0" fontId="0" fillId="0" borderId="0"/>
  </x:cellStyleXfs>
  <x:cellXfs count="349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horizontal="left" vertical="center" wrapText="1"/>
    </x:xf>
    <x:xf numFmtId="0" fontId="1" fillId="4" borderId="1" xfId="49" applyNumberFormat="1" applyFont="1" applyFill="1" applyBorder="1" applyAlignment="1">
      <x:alignment horizontal="center" vertical="center" wrapText="1"/>
    </x:xf>
    <x:xf numFmtId="0" fontId="3" fillId="5" borderId="2" xfId="49" applyNumberFormat="1" applyFont="1" applyFill="1" applyBorder="1" applyAlignment="1">
      <x:alignment vertical="center"/>
    </x:xf>
    <x:xf numFmtId="0" fontId="3" fillId="5" borderId="2" xfId="49" applyNumberFormat="1" applyFont="1" applyFill="1" applyBorder="1" applyAlignment="1">
      <x:alignment vertical="center" wrapText="1"/>
    </x:xf>
    <x:xf numFmtId="0" fontId="3" fillId="5" borderId="3" xfId="49" applyNumberFormat="1" applyFont="1" applyFill="1" applyBorder="1" applyAlignment="1">
      <x:alignment vertical="center"/>
    </x:xf>
    <x:xf numFmtId="0" fontId="3" fillId="5" borderId="3" xfId="49" applyNumberFormat="1" applyFont="1" applyFill="1" applyBorder="1" applyAlignment="1">
      <x:alignment vertical="center" wrapText="1"/>
    </x:xf>
    <x:xf numFmtId="0" fontId="3" fillId="6" borderId="3" xfId="49" applyNumberFormat="1" applyFont="1" applyFill="1" applyBorder="1" applyAlignment="1">
      <x:alignment vertical="center"/>
    </x:xf>
    <x:xf numFmtId="0" fontId="3" fillId="6" borderId="3" xfId="49" applyNumberFormat="1" applyFont="1" applyFill="1" applyBorder="1" applyAlignment="1">
      <x:alignment vertical="center" wrapText="1"/>
    </x:xf>
    <x:xf numFmtId="0" fontId="3" fillId="7" borderId="3" xfId="49" applyNumberFormat="1" applyFont="1" applyFill="1" applyBorder="1" applyAlignment="1">
      <x:alignment vertical="center"/>
    </x:xf>
    <x:xf numFmtId="0" fontId="3" fillId="7" borderId="3" xfId="49" applyNumberFormat="1" applyFont="1" applyFill="1" applyBorder="1" applyAlignment="1">
      <x:alignment vertical="center" wrapText="1"/>
    </x:xf>
    <x:xf numFmtId="0" fontId="3" fillId="5" borderId="4" xfId="49" applyNumberFormat="1" applyFont="1" applyFill="1" applyBorder="1" applyAlignment="1">
      <x:alignment vertical="center"/>
    </x:xf>
    <x:xf numFmtId="0" fontId="3" fillId="5" borderId="4" xfId="49" applyNumberFormat="1" applyFont="1" applyFill="1" applyBorder="1" applyAlignment="1">
      <x:alignment vertical="center" wrapText="1"/>
    </x:xf>
    <x:xf numFmtId="0" fontId="1" fillId="8" borderId="1" xfId="49" applyNumberFormat="1" applyFont="1" applyFill="1" applyBorder="1" applyAlignment="1">
      <x:alignment horizontal="center" vertical="center" wrapText="1"/>
    </x:xf>
    <x:xf numFmtId="0" fontId="3" fillId="0" borderId="2" xfId="49" applyNumberFormat="1" applyFont="1" applyFill="1" applyBorder="1" applyAlignment="1">
      <x:alignment vertical="center"/>
    </x:xf>
    <x:xf numFmtId="3" fontId="3" fillId="0" borderId="2" xfId="49" applyNumberFormat="1" applyFont="1" applyFill="1" applyBorder="1" applyAlignment="1">
      <x:alignment vertical="center"/>
    </x:xf>
    <x:xf numFmtId="0" fontId="3" fillId="0" borderId="2" xfId="49" applyNumberFormat="1" applyFont="1" applyFill="1" applyBorder="1" applyAlignment="1">
      <x:alignment vertical="center" wrapText="1"/>
    </x:xf>
    <x:xf numFmtId="0" fontId="3" fillId="0" borderId="3" xfId="49" applyNumberFormat="1" applyFont="1" applyFill="1" applyBorder="1" applyAlignment="1">
      <x:alignment vertical="center"/>
    </x:xf>
    <x:xf numFmtId="3" fontId="3" fillId="0" borderId="3" xfId="49" applyNumberFormat="1" applyFont="1" applyFill="1" applyBorder="1" applyAlignment="1">
      <x:alignment vertical="center"/>
    </x:xf>
    <x:xf numFmtId="0" fontId="3" fillId="0" borderId="3" xfId="49" applyNumberFormat="1" applyFont="1" applyFill="1" applyBorder="1" applyAlignment="1">
      <x:alignment vertical="center" wrapText="1"/>
    </x:xf>
    <x:xf numFmtId="0" fontId="3" fillId="0" borderId="4" xfId="49" applyNumberFormat="1" applyFont="1" applyFill="1" applyBorder="1" applyAlignment="1">
      <x:alignment vertical="center"/>
    </x:xf>
    <x:xf numFmtId="0" fontId="3" fillId="0" borderId="4" xfId="49" applyNumberFormat="1" applyFont="1" applyFill="1" applyBorder="1" applyAlignment="1">
      <x:alignment vertical="center" wrapText="1"/>
    </x:xf>
    <x:xf numFmtId="0" fontId="1" fillId="9" borderId="0" xfId="49" applyNumberFormat="1" applyFont="1" applyFill="1" applyBorder="1" applyAlignment="1">
      <x:alignment horizontal="left" vertical="center"/>
    </x:xf>
    <x:xf numFmtId="0" fontId="3" fillId="10" borderId="1" xfId="49" applyNumberFormat="1" applyFont="1" applyFill="1" applyBorder="1" applyAlignment="1">
      <x:alignment horizontal="center" vertical="center" wrapText="1"/>
    </x:xf>
    <x:xf numFmtId="0" fontId="4" fillId="10" borderId="1" xfId="49" applyNumberFormat="1" applyFont="1" applyFill="1" applyBorder="1" applyAlignment="1">
      <x:alignment vertical="center" wrapText="1"/>
    </x:xf>
    <x:xf numFmtId="0" fontId="3" fillId="10" borderId="1" xfId="49" applyNumberFormat="1" applyFont="1" applyFill="1" applyBorder="1" applyAlignment="1">
      <x:alignment vertical="center" wrapText="1"/>
    </x:xf>
    <x:xf numFmtId="176" fontId="3" fillId="10" borderId="1" xfId="49" applyNumberFormat="1" applyFont="1" applyFill="1" applyBorder="1" applyAlignment="1">
      <x:alignment horizontal="center" vertical="center" wrapText="1"/>
    </x:xf>
    <x:xf numFmtId="0" fontId="1" fillId="2" borderId="0" xfId="49" applyNumberFormat="1" applyFont="1" applyFill="1" applyBorder="1" applyAlignment="1">
      <x:alignment horizontal="left" vertical="center"/>
    </x:xf>
    <x:xf numFmtId="0" fontId="3" fillId="11" borderId="1" xfId="49" applyNumberFormat="1" applyFont="1" applyFill="1" applyBorder="1" applyAlignment="1">
      <x:alignment horizontal="center" vertical="center" wrapText="1"/>
    </x:xf>
    <x:xf numFmtId="0" fontId="4" fillId="11" borderId="1" xfId="49" applyNumberFormat="1" applyFont="1" applyFill="1" applyBorder="1" applyAlignment="1">
      <x:alignment vertical="center" wrapText="1"/>
    </x:xf>
    <x:xf numFmtId="0" fontId="3" fillId="11" borderId="1" xfId="49" applyNumberFormat="1" applyFont="1" applyFill="1" applyBorder="1" applyAlignment="1">
      <x:alignment vertical="center" wrapText="1"/>
    </x:xf>
    <x:xf numFmtId="176" fontId="3" fillId="11" borderId="1" xfId="49" applyNumberFormat="1" applyFont="1" applyFill="1" applyBorder="1" applyAlignment="1">
      <x:alignment horizontal="center" vertical="center" wrapText="1"/>
    </x:xf>
    <x:xf numFmtId="0" fontId="4" fillId="3" borderId="1" xfId="49" applyNumberFormat="1" applyFont="1" applyFill="1" applyBorder="1" applyAlignment="1">
      <x:alignment horizontal="center" vertical="center"/>
    </x:xf>
    <x:xf numFmtId="0" fontId="3" fillId="12" borderId="1" xfId="49" applyNumberFormat="1" applyFont="1" applyFill="1" applyBorder="1" applyAlignment="1">
      <x:alignment vertical="center" wrapText="1"/>
    </x:xf>
    <x:xf numFmtId="0" fontId="3" fillId="13" borderId="1" xfId="49" applyNumberFormat="1" applyFont="1" applyFill="1" applyBorder="1" applyAlignment="1">
      <x:alignment vertical="center" wrapText="1"/>
    </x:xf>
    <x:xf numFmtId="4" fontId="3" fillId="0" borderId="2" xfId="49" applyNumberFormat="1" applyFont="1" applyFill="1" applyBorder="1" applyAlignment="1">
      <x:alignment vertical="center"/>
    </x:xf>
    <x:xf numFmtId="177" fontId="3" fillId="0" borderId="2" xfId="49" applyNumberFormat="1" applyFont="1" applyFill="1" applyBorder="1" applyAlignment="1">
      <x:alignment vertical="center"/>
    </x:xf>
    <x:xf numFmtId="2" fontId="3" fillId="0" borderId="2" xfId="49" applyNumberFormat="1" applyFont="1" applyFill="1" applyBorder="1" applyAlignment="1">
      <x:alignment vertical="center"/>
    </x:xf>
    <x:xf numFmtId="4" fontId="3" fillId="0" borderId="3" xfId="49" applyNumberFormat="1" applyFont="1" applyFill="1" applyBorder="1" applyAlignment="1">
      <x:alignment vertical="center"/>
    </x:xf>
    <x:xf numFmtId="177" fontId="3" fillId="0" borderId="3" xfId="49" applyNumberFormat="1" applyFont="1" applyFill="1" applyBorder="1" applyAlignment="1">
      <x:alignment vertical="center"/>
    </x:xf>
    <x:xf numFmtId="2" fontId="3" fillId="0" borderId="3" xfId="49" applyNumberFormat="1" applyFont="1" applyFill="1" applyBorder="1" applyAlignment="1">
      <x:alignment vertical="center"/>
    </x:xf>
    <x:xf numFmtId="3" fontId="3" fillId="0" borderId="4" xfId="49" applyNumberFormat="1" applyFont="1" applyFill="1" applyBorder="1" applyAlignment="1">
      <x:alignment vertical="center"/>
    </x:xf>
    <x:xf numFmtId="4" fontId="3" fillId="0" borderId="4" xfId="49" applyNumberFormat="1" applyFont="1" applyFill="1" applyBorder="1" applyAlignment="1">
      <x:alignment vertical="center"/>
    </x:xf>
    <x:xf numFmtId="177" fontId="3" fillId="0" borderId="4" xfId="49" applyNumberFormat="1" applyFont="1" applyFill="1" applyBorder="1" applyAlignment="1">
      <x:alignment vertical="center"/>
    </x:xf>
    <x:xf numFmtId="2" fontId="3" fillId="0" borderId="4" xfId="49" applyNumberFormat="1" applyFont="1" applyFill="1" applyBorder="1" applyAlignment="1">
      <x:alignment vertical="center"/>
    </x:xf>
    <x:xf numFmtId="0" fontId="1" fillId="9" borderId="1" xfId="49" applyNumberFormat="1" applyFont="1" applyFill="1" applyBorder="1" applyAlignment="1">
      <x:alignment horizontal="center" vertical="center" wrapText="1"/>
    </x:xf>
    <x:xf numFmtId="0" fontId="4" fillId="14" borderId="5" xfId="49" applyNumberFormat="1" applyFont="1" applyFill="1" applyBorder="1" applyAlignment="1">
      <x:alignment vertical="center"/>
    </x:xf>
    <x:xf numFmtId="0" fontId="3" fillId="0" borderId="6" xfId="49" applyNumberFormat="1" applyFont="1" applyFill="1" applyBorder="1" applyAlignment="1">
      <x:alignment vertical="center" wrapText="1"/>
    </x:xf>
    <x:xf numFmtId="0" fontId="3" fillId="0" borderId="7" xfId="49" applyNumberFormat="1" applyFont="1" applyFill="1" applyBorder="1" applyAlignment="1">
      <x:alignment vertical="center" wrapText="1"/>
    </x:xf>
    <x:xf numFmtId="0" fontId="4" fillId="14" borderId="8" xfId="49" applyNumberFormat="1" applyFont="1" applyFill="1" applyBorder="1" applyAlignment="1">
      <x:alignment vertical="center"/>
    </x:xf>
    <x:xf numFmtId="0" fontId="3" fillId="0" borderId="1" xfId="49" applyNumberFormat="1" applyFont="1" applyFill="1" applyBorder="1" applyAlignment="1">
      <x:alignment vertical="center" wrapText="1"/>
    </x:xf>
    <x:xf numFmtId="0" fontId="3" fillId="0" borderId="9" xfId="49" applyNumberFormat="1" applyFont="1" applyFill="1" applyBorder="1" applyAlignment="1">
      <x:alignment vertical="center" wrapText="1"/>
    </x:xf>
    <x:xf numFmtId="0" fontId="4" fillId="14" borderId="10" xfId="49" applyNumberFormat="1" applyFont="1" applyFill="1" applyBorder="1" applyAlignment="1">
      <x:alignment vertical="center"/>
    </x:xf>
    <x:xf numFmtId="0" fontId="3" fillId="0" borderId="11" xfId="49" applyNumberFormat="1" applyFont="1" applyFill="1" applyBorder="1" applyAlignment="1">
      <x:alignment vertical="center" wrapText="1"/>
    </x:xf>
    <x:xf numFmtId="0" fontId="3" fillId="0" borderId="12" xfId="49" applyNumberFormat="1" applyFont="1" applyFill="1" applyBorder="1" applyAlignment="1">
      <x:alignment vertical="center" wrapText="1"/>
    </x:xf>
    <x:xf numFmtId="0" fontId="1" fillId="15" borderId="1" xfId="49" applyNumberFormat="1" applyFont="1" applyFill="1" applyBorder="1" applyAlignment="1">
      <x:alignment horizontal="center" vertical="center" wrapText="1"/>
    </x:xf>
    <x:xf numFmtId="0" fontId="3" fillId="0" borderId="2" xfId="49" applyNumberFormat="1" applyFont="1" applyFill="1" applyBorder="1" applyAlignment="1">
      <x:alignment horizontal="center" vertical="center"/>
    </x:xf>
    <x:xf numFmtId="0" fontId="3" fillId="0" borderId="3" xfId="49" applyNumberFormat="1" applyFont="1" applyFill="1" applyBorder="1" applyAlignment="1">
      <x:alignment horizontal="center" vertical="center"/>
    </x:xf>
    <x:xf numFmtId="0" fontId="3" fillId="0" borderId="4" xfId="49" applyNumberFormat="1" applyFont="1" applyFill="1" applyBorder="1" applyAlignment="1">
      <x:alignment horizontal="center" vertical="center"/>
    </x:xf>
    <x:xf numFmtId="1" fontId="3" fillId="16" borderId="13" xfId="49" applyNumberFormat="1" applyFont="1" applyFill="1" applyBorder="1" applyAlignment="1">
      <x:alignment horizontal="center" vertical="center"/>
    </x:xf>
    <x:xf numFmtId="3" fontId="3" fillId="16" borderId="14" xfId="49" applyNumberFormat="1" applyFont="1" applyFill="1" applyBorder="1" applyAlignment="1">
      <x:alignment horizontal="right" vertical="center"/>
    </x:xf>
    <x:xf numFmtId="3" fontId="3" fillId="16" borderId="14" xfId="49" applyNumberFormat="1" applyFont="1" applyFill="1" applyBorder="1" applyAlignment="1">
      <x:alignment horizontal="right" vertical="center" wrapText="1"/>
    </x:xf>
    <x:xf numFmtId="0" fontId="3" fillId="16" borderId="14" xfId="49" applyNumberFormat="1" applyFont="1" applyFill="1" applyBorder="1" applyAlignment="1">
      <x:alignment vertical="center" wrapText="1"/>
    </x:xf>
    <x:xf numFmtId="1" fontId="3" fillId="16" borderId="15" xfId="49" applyNumberFormat="1" applyFont="1" applyFill="1" applyBorder="1" applyAlignment="1">
      <x:alignment horizontal="center" vertical="center"/>
    </x:xf>
    <x:xf numFmtId="3" fontId="3" fillId="16" borderId="16" xfId="49" applyNumberFormat="1" applyFont="1" applyFill="1" applyBorder="1" applyAlignment="1">
      <x:alignment horizontal="right" vertical="center"/>
    </x:xf>
    <x:xf numFmtId="3" fontId="3" fillId="16" borderId="16" xfId="49" applyNumberFormat="1" applyFont="1" applyFill="1" applyBorder="1" applyAlignment="1">
      <x:alignment horizontal="right" vertical="center" wrapText="1"/>
    </x:xf>
    <x:xf numFmtId="0" fontId="3" fillId="16" borderId="16" xfId="49" applyNumberFormat="1" applyFont="1" applyFill="1" applyBorder="1" applyAlignment="1">
      <x:alignment vertical="center" wrapText="1"/>
    </x:xf>
    <x:xf numFmtId="1" fontId="4" fillId="16" borderId="15" xfId="49" applyNumberFormat="1" applyFont="1" applyFill="1" applyBorder="1" applyAlignment="1">
      <x:alignment horizontal="center" vertical="center"/>
    </x:xf>
    <x:xf numFmtId="3" fontId="4" fillId="16" borderId="16" xfId="49" applyNumberFormat="1" applyFont="1" applyFill="1" applyBorder="1" applyAlignment="1">
      <x:alignment horizontal="right" vertical="center"/>
    </x:xf>
    <x:xf numFmtId="3" fontId="4" fillId="16" borderId="16" xfId="49" applyNumberFormat="1" applyFont="1" applyFill="1" applyBorder="1" applyAlignment="1">
      <x:alignment horizontal="right" vertical="center" wrapText="1"/>
    </x:xf>
    <x:xf numFmtId="0" fontId="4" fillId="16" borderId="16" xfId="49" applyNumberFormat="1" applyFont="1" applyFill="1" applyBorder="1" applyAlignment="1">
      <x:alignment vertical="center" wrapText="1"/>
    </x:xf>
    <x:xf numFmtId="3" fontId="4" fillId="16" borderId="17" xfId="49" applyNumberFormat="1" applyFont="1" applyFill="1" applyBorder="1" applyAlignment="1">
      <x:alignment horizontal="right" vertical="center"/>
    </x:xf>
    <x:xf numFmtId="3" fontId="4" fillId="16" borderId="17" xfId="49" applyNumberFormat="1" applyFont="1" applyFill="1" applyBorder="1" applyAlignment="1">
      <x:alignment horizontal="right" vertical="center" wrapText="1"/>
    </x:xf>
    <x:xf numFmtId="0" fontId="4" fillId="16" borderId="17" xfId="49" applyNumberFormat="1" applyFont="1" applyFill="1" applyBorder="1" applyAlignment="1">
      <x:alignment vertical="center" wrapText="1"/>
    </x:xf>
    <x:xf numFmtId="0" fontId="2" fillId="3" borderId="12" xfId="49" applyNumberFormat="1" applyFont="1" applyFill="1" applyBorder="1" applyAlignment="1">
      <x:alignment horizontal="left" vertical="center" wrapText="1"/>
    </x:xf>
    <x:xf numFmtId="0" fontId="2" fillId="3" borderId="18" xfId="49" applyNumberFormat="1" applyFont="1" applyFill="1" applyBorder="1" applyAlignment="1">
      <x:alignment horizontal="left" vertical="center" wrapText="1"/>
    </x:xf>
    <x:xf numFmtId="0" fontId="2" fillId="3" borderId="10" xfId="49" applyNumberFormat="1" applyFont="1" applyFill="1" applyBorder="1" applyAlignment="1">
      <x:alignment horizontal="left" vertical="center" wrapText="1"/>
    </x:xf>
    <x:xf numFmtId="0" fontId="2" fillId="3" borderId="7" xfId="49" applyNumberFormat="1" applyFont="1" applyFill="1" applyBorder="1" applyAlignment="1">
      <x:alignment horizontal="left" vertical="center" wrapText="1"/>
    </x:xf>
    <x:xf numFmtId="0" fontId="2" fillId="3" borderId="19" xfId="49" applyNumberFormat="1" applyFont="1" applyFill="1" applyBorder="1" applyAlignment="1">
      <x:alignment horizontal="left" vertical="center" wrapText="1"/>
    </x:xf>
    <x:xf numFmtId="0" fontId="2" fillId="3" borderId="5" xfId="49" applyNumberFormat="1" applyFont="1" applyFill="1" applyBorder="1" applyAlignment="1">
      <x:alignment horizontal="left" vertical="center" wrapText="1"/>
    </x:xf>
    <x:xf numFmtId="0" fontId="5" fillId="17" borderId="0" xfId="49" applyNumberFormat="1" applyFont="1" applyFill="1" applyBorder="1" applyAlignment="1">
      <x:alignment horizontal="left" vertical="center"/>
    </x:xf>
    <x:xf numFmtId="0" fontId="6" fillId="18" borderId="0" xfId="49" applyNumberFormat="1" applyFont="1" applyFill="1" applyBorder="1" applyAlignment="1">
      <x:alignment vertical="center" wrapText="1"/>
    </x:xf>
    <x:xf numFmtId="0" fontId="7" fillId="0" borderId="0" xfId="49" applyNumberFormat="1" applyFont="1" applyFill="1" applyBorder="1"/>
    <x:xf numFmtId="0" fontId="8" fillId="14" borderId="1" xfId="49" applyNumberFormat="1" applyFont="1" applyFill="1" applyBorder="1" applyAlignment="1">
      <x:alignment horizontal="center" vertical="center"/>
    </x:xf>
    <x:xf numFmtId="0" fontId="7" fillId="19" borderId="20" xfId="49" applyNumberFormat="1" applyFont="1" applyFill="1" applyBorder="1" applyAlignment="1">
      <x:alignment horizontal="center" vertical="center"/>
    </x:xf>
    <x:xf numFmtId="0" fontId="7" fillId="19" borderId="21" xfId="49" applyNumberFormat="1" applyFont="1" applyFill="1" applyBorder="1" applyAlignment="1">
      <x:alignment horizontal="center" vertical="center"/>
    </x:xf>
    <x:xf numFmtId="3" fontId="4" fillId="20" borderId="1" xfId="49" applyNumberFormat="1" applyFont="1" applyFill="1" applyBorder="1" applyAlignment="1">
      <x:alignment horizontal="center" vertical="center"/>
    </x:xf>
    <x:xf numFmtId="0" fontId="7" fillId="19" borderId="0" xfId="49" applyNumberFormat="1" applyFont="1" applyFill="1" applyBorder="1" applyAlignment="1">
      <x:alignment horizontal="center" vertical="center"/>
    </x:xf>
    <x:xf numFmtId="0" fontId="7" fillId="19" borderId="22" xfId="49" applyNumberFormat="1" applyFont="1" applyFill="1" applyBorder="1" applyAlignment="1">
      <x:alignment horizontal="center" vertical="center"/>
    </x:xf>
    <x:xf numFmtId="0" fontId="7" fillId="19" borderId="23" xfId="49" applyNumberFormat="1" applyFont="1" applyFill="1" applyBorder="1" applyAlignment="1">
      <x:alignment horizontal="center" vertical="center"/>
    </x:xf>
    <x:xf numFmtId="0" fontId="7" fillId="19" borderId="24" xfId="49" applyNumberFormat="1" applyFont="1" applyFill="1" applyBorder="1" applyAlignment="1">
      <x:alignment horizontal="center" vertical="center"/>
    </x:xf>
    <x:xf numFmtId="178" fontId="3" fillId="0" borderId="2" xfId="49" applyNumberFormat="1" applyFont="1" applyFill="1" applyBorder="1" applyAlignment="1">
      <x:alignment vertical="center"/>
    </x:xf>
    <x:xf numFmtId="0" fontId="3" fillId="20" borderId="5" xfId="49" applyNumberFormat="1" applyFont="1" applyFill="1" applyBorder="1" applyAlignment="1">
      <x:alignment vertical="center" wrapText="1"/>
    </x:xf>
    <x:xf numFmtId="0" fontId="3" fillId="20" borderId="6" xfId="49" applyNumberFormat="1" applyFont="1" applyFill="1" applyBorder="1" applyAlignment="1">
      <x:alignment vertical="center" wrapText="1"/>
    </x:xf>
    <x:xf numFmtId="0" fontId="3" fillId="20" borderId="7" xfId="49" applyNumberFormat="1" applyFont="1" applyFill="1" applyBorder="1" applyAlignment="1">
      <x:alignment vertical="center" wrapText="1"/>
    </x:xf>
    <x:xf numFmtId="178" fontId="3" fillId="0" borderId="3" xfId="49" applyNumberFormat="1" applyFont="1" applyFill="1" applyBorder="1" applyAlignment="1">
      <x:alignment vertical="center"/>
    </x:xf>
    <x:xf numFmtId="0" fontId="3" fillId="20" borderId="8" xfId="49" applyNumberFormat="1" applyFont="1" applyFill="1" applyBorder="1" applyAlignment="1">
      <x:alignment vertical="center" wrapText="1"/>
    </x:xf>
    <x:xf numFmtId="0" fontId="3" fillId="20" borderId="1" xfId="49" applyNumberFormat="1" applyFont="1" applyFill="1" applyBorder="1" applyAlignment="1">
      <x:alignment vertical="center" wrapText="1"/>
    </x:xf>
    <x:xf numFmtId="0" fontId="3" fillId="20" borderId="9" xfId="49" applyNumberFormat="1" applyFont="1" applyFill="1" applyBorder="1" applyAlignment="1">
      <x:alignment vertical="center" wrapText="1"/>
    </x:xf>
    <x:xf numFmtId="178" fontId="3" fillId="0" borderId="4" xfId="49" applyNumberFormat="1" applyFont="1" applyFill="1" applyBorder="1" applyAlignment="1">
      <x:alignment vertical="center"/>
    </x:xf>
    <x:xf numFmtId="0" fontId="3" fillId="20" borderId="10" xfId="49" applyNumberFormat="1" applyFont="1" applyFill="1" applyBorder="1" applyAlignment="1">
      <x:alignment vertical="center" wrapText="1"/>
    </x:xf>
    <x:xf numFmtId="0" fontId="3" fillId="20" borderId="11" xfId="49" applyNumberFormat="1" applyFont="1" applyFill="1" applyBorder="1" applyAlignment="1">
      <x:alignment vertical="center" wrapText="1"/>
    </x:xf>
    <x:xf numFmtId="0" fontId="3" fillId="20" borderId="12" xfId="49" applyNumberFormat="1" applyFont="1" applyFill="1" applyBorder="1" applyAlignment="1">
      <x:alignment vertical="center" wrapText="1"/>
    </x:xf>
    <x:xf numFmtId="0" fontId="1" fillId="21" borderId="1" xfId="49" applyNumberFormat="1" applyFont="1" applyFill="1" applyBorder="1" applyAlignment="1">
      <x:alignment horizontal="center" vertical="center" wrapText="1"/>
    </x:xf>
    <x:xf numFmtId="3" fontId="1" fillId="21" borderId="1" xfId="49" applyNumberFormat="1" applyFont="1" applyFill="1" applyBorder="1" applyAlignment="1">
      <x:alignment horizontal="center" vertical="center" wrapText="1"/>
    </x:xf>
    <x:xf numFmtId="0" fontId="3" fillId="22" borderId="5" xfId="49" applyNumberFormat="1" applyFont="1" applyFill="1" applyBorder="1" applyAlignment="1">
      <x:alignment vertical="center" wrapText="1"/>
    </x:xf>
    <x:xf numFmtId="0" fontId="3" fillId="22" borderId="6" xfId="49" applyNumberFormat="1" applyFont="1" applyFill="1" applyBorder="1" applyAlignment="1">
      <x:alignment vertical="center" wrapText="1"/>
    </x:xf>
    <x:xf numFmtId="0" fontId="3" fillId="22" borderId="7" xfId="49" applyNumberFormat="1" applyFont="1" applyFill="1" applyBorder="1" applyAlignment="1">
      <x:alignment vertical="center" wrapText="1"/>
    </x:xf>
    <x:xf numFmtId="0" fontId="3" fillId="22" borderId="8" xfId="49" applyNumberFormat="1" applyFont="1" applyFill="1" applyBorder="1" applyAlignment="1">
      <x:alignment vertical="center" wrapText="1"/>
    </x:xf>
    <x:xf numFmtId="0" fontId="3" fillId="22" borderId="1" xfId="49" applyNumberFormat="1" applyFont="1" applyFill="1" applyBorder="1" applyAlignment="1">
      <x:alignment vertical="center" wrapText="1"/>
    </x:xf>
    <x:xf numFmtId="0" fontId="3" fillId="22" borderId="9" xfId="49" applyNumberFormat="1" applyFont="1" applyFill="1" applyBorder="1" applyAlignment="1">
      <x:alignment vertical="center" wrapText="1"/>
    </x:xf>
    <x:xf numFmtId="0" fontId="9" fillId="19" borderId="0" xfId="49" applyNumberFormat="1" applyFont="1" applyFill="1" applyBorder="1" applyAlignment="1">
      <x:alignment vertical="center"/>
    </x:xf>
    <x:xf numFmtId="0" fontId="7" fillId="0" borderId="25" xfId="49" applyNumberFormat="1" applyFont="1" applyFill="1" applyBorder="1" applyAlignment="1">
      <x:alignment vertical="center" wrapText="1"/>
    </x:xf>
    <x:xf numFmtId="0" fontId="7" fillId="0" borderId="26" xfId="49" applyNumberFormat="1" applyFont="1" applyFill="1" applyBorder="1" applyAlignment="1">
      <x:alignment vertical="center" wrapText="1"/>
    </x:xf>
    <x:xf numFmtId="0" fontId="3" fillId="22" borderId="10" xfId="49" applyNumberFormat="1" applyFont="1" applyFill="1" applyBorder="1" applyAlignment="1">
      <x:alignment vertical="center" wrapText="1"/>
    </x:xf>
    <x:xf numFmtId="0" fontId="3" fillId="22" borderId="11" xfId="49" applyNumberFormat="1" applyFont="1" applyFill="1" applyBorder="1" applyAlignment="1">
      <x:alignment vertical="center" wrapText="1"/>
    </x:xf>
    <x:xf numFmtId="0" fontId="3" fillId="22" borderId="12" xfId="49" applyNumberFormat="1" applyFont="1" applyFill="1" applyBorder="1" applyAlignment="1">
      <x:alignment vertical="center" wrapText="1"/>
    </x:xf>
    <x:xf numFmtId="0" fontId="7" fillId="0" borderId="27" xfId="49" applyNumberFormat="1" applyFont="1" applyFill="1" applyBorder="1" applyAlignment="1">
      <x:alignment vertical="center" wrapText="1"/>
    </x:xf>
    <x:xf numFmtId="0" fontId="7" fillId="0" borderId="28" xfId="49" applyNumberFormat="1" applyFont="1" applyFill="1" applyBorder="1" applyAlignment="1">
      <x:alignment vertical="center" wrapText="1"/>
    </x:xf>
    <x:xf numFmtId="0" fontId="7" fillId="0" borderId="29" xfId="49" applyNumberFormat="1" applyFont="1" applyFill="1" applyBorder="1" applyAlignment="1">
      <x:alignment vertical="center" wrapText="1"/>
    </x:xf>
    <x:xf numFmtId="0" fontId="7" fillId="0" borderId="30" xfId="49" applyNumberFormat="1" applyFont="1" applyFill="1" applyBorder="1" applyAlignment="1">
      <x:alignment vertical="center" wrapText="1"/>
    </x:xf>
    <x:xf numFmtId="9" fontId="3" fillId="0" borderId="2" xfId="49" applyNumberFormat="1" applyFont="1" applyFill="1" applyBorder="1" applyAlignment="1">
      <x:alignment vertical="center"/>
    </x:xf>
    <x:xf numFmtId="9" fontId="3" fillId="0" borderId="3" xfId="49" applyNumberFormat="1" applyFont="1" applyFill="1" applyBorder="1" applyAlignment="1">
      <x:alignment vertical="center"/>
    </x:xf>
    <x:xf numFmtId="9" fontId="3" fillId="0" borderId="4" xfId="49" applyNumberFormat="1" applyFont="1" applyFill="1" applyBorder="1" applyAlignment="1">
      <x:alignment vertical="center"/>
    </x:xf>
    <x:xf numFmtId="3" fontId="3" fillId="0" borderId="2" xfId="49" applyNumberFormat="1" applyFont="1" applyFill="1" applyBorder="1" applyAlignment="1">
      <x:alignment horizontal="center" vertical="center"/>
    </x:xf>
    <x:xf numFmtId="3" fontId="3" fillId="0" borderId="3" xfId="49" applyNumberFormat="1" applyFont="1" applyFill="1" applyBorder="1" applyAlignment="1">
      <x:alignment horizontal="center" vertical="center"/>
    </x:xf>
    <x:xf numFmtId="3" fontId="3" fillId="0" borderId="4" xfId="49" applyNumberFormat="1" applyFont="1" applyFill="1" applyBorder="1" applyAlignment="1">
      <x:alignment horizontal="center" vertical="center"/>
    </x:xf>
    <x:xf numFmtId="3" fontId="3" fillId="0" borderId="2" xfId="49" applyNumberFormat="1" applyFont="1" applyFill="1" applyBorder="1" applyAlignment="1">
      <x:alignment horizontal="right" vertical="center"/>
    </x:xf>
    <x:xf numFmtId="178" fontId="3" fillId="0" borderId="2" xfId="49" applyNumberFormat="1" applyFont="1" applyFill="1" applyBorder="1" applyAlignment="1">
      <x:alignment horizontal="right" vertical="center"/>
    </x:xf>
    <x:xf numFmtId="3" fontId="3" fillId="0" borderId="3" xfId="49" applyNumberFormat="1" applyFont="1" applyFill="1" applyBorder="1" applyAlignment="1">
      <x:alignment horizontal="right" vertical="center"/>
    </x:xf>
    <x:xf numFmtId="178" fontId="3" fillId="0" borderId="3" xfId="49" applyNumberFormat="1" applyFont="1" applyFill="1" applyBorder="1" applyAlignment="1">
      <x:alignment horizontal="right" vertical="center"/>
    </x:xf>
    <x:xf numFmtId="3" fontId="3" fillId="0" borderId="4" xfId="49" applyNumberFormat="1" applyFont="1" applyFill="1" applyBorder="1" applyAlignment="1">
      <x:alignment horizontal="right" vertical="center"/>
    </x:xf>
    <x:xf numFmtId="178" fontId="3" fillId="0" borderId="4" xfId="49" applyNumberFormat="1" applyFont="1" applyFill="1" applyBorder="1" applyAlignment="1">
      <x:alignment horizontal="right" vertical="center"/>
    </x:xf>
    <x:xf numFmtId="0" fontId="10" fillId="0" borderId="2" xfId="49" applyNumberFormat="1" applyFont="1" applyFill="1" applyBorder="1" applyAlignment="1">
      <x:alignment vertical="center"/>
    </x:xf>
    <x:xf numFmtId="0" fontId="10" fillId="0" borderId="3" xfId="49" applyNumberFormat="1" applyFont="1" applyFill="1" applyBorder="1" applyAlignment="1">
      <x:alignment vertical="center"/>
    </x:xf>
    <x:xf numFmtId="3" fontId="11" fillId="23" borderId="3" xfId="49" applyNumberFormat="1" applyFont="1" applyFill="1" applyBorder="1" applyAlignment="1">
      <x:alignment horizontal="center" vertical="center"/>
    </x:xf>
    <x:xf numFmtId="179" fontId="3" fillId="0" borderId="3" xfId="49" applyNumberFormat="1" applyFont="1" applyFill="1" applyBorder="1" applyAlignment="1">
      <x:alignment vertical="center"/>
    </x:xf>
    <x:xf numFmtId="0" fontId="10" fillId="0" borderId="4" xfId="49" applyNumberFormat="1" applyFont="1" applyFill="1" applyBorder="1" applyAlignment="1">
      <x:alignment vertical="center"/>
    </x:xf>
    <x:xf numFmtId="0" fontId="10" fillId="14" borderId="31" xfId="49" applyNumberFormat="1" applyFont="1" applyFill="1" applyBorder="1" applyAlignment="1">
      <x:alignment vertical="center"/>
    </x:xf>
    <x:xf numFmtId="3" fontId="12" fillId="23" borderId="32" xfId="49" applyNumberFormat="1" applyFont="1" applyFill="1" applyBorder="1" applyAlignment="1">
      <x:alignment horizontal="right" vertical="center"/>
    </x:xf>
    <x:xf numFmtId="0" fontId="3" fillId="14" borderId="32" xfId="49" applyNumberFormat="1" applyFont="1" applyFill="1" applyBorder="1" applyAlignment="1">
      <x:alignment vertical="center"/>
    </x:xf>
    <x:xf numFmtId="0" fontId="3" fillId="14" borderId="33" xfId="49" applyNumberFormat="1" applyFont="1" applyFill="1" applyBorder="1" applyAlignment="1">
      <x:alignment vertical="center" wrapText="1"/>
    </x:xf>
    <x:xf numFmtId="3" fontId="3" fillId="0" borderId="2" xfId="49" applyNumberFormat="1" applyFont="1" applyFill="1" applyBorder="1" applyAlignment="1">
      <x:alignment vertical="center" wrapText="1"/>
    </x:xf>
    <x:xf numFmtId="3" fontId="3" fillId="0" borderId="3" xfId="49" applyNumberFormat="1" applyFont="1" applyFill="1" applyBorder="1" applyAlignment="1">
      <x:alignment vertical="center" wrapText="1"/>
    </x:xf>
    <x:xf numFmtId="3" fontId="3" fillId="0" borderId="4" xfId="49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/>
    <x:xf numFmtId="0" fontId="1" fillId="55" borderId="0" xfId="0" applyNumberFormat="1" applyFont="1" applyFill="1" applyBorder="1"/>
    <x:xf numFmtId="0" fontId="1" fillId="55" borderId="0" xfId="0" applyNumberFormat="1" applyFont="1" applyFill="1" applyBorder="1" applyAlignment="1">
      <x:alignment horizontal="center"/>
    </x:xf>
    <x:xf numFmtId="0" fontId="1" fillId="55" borderId="0" xfId="0" applyNumberFormat="1" applyFont="1" applyFill="1" applyBorder="1" applyAlignment="1">
      <x:alignment horizontal="center" vertical="center"/>
    </x:xf>
    <x:xf numFmtId="0" fontId="0" fillId="56" borderId="0" xfId="0" applyNumberFormat="1" applyFont="1" applyFill="1" applyBorder="1"/>
    <x:xf numFmtId="0" fontId="34" fillId="56" borderId="0" xfId="0" applyNumberFormat="1" applyFont="1" applyFill="1" applyBorder="1"/>
    <x:xf numFmtId="0" fontId="34" fillId="56" borderId="0" xfId="0" applyNumberFormat="1" applyFont="1" applyFill="1" applyBorder="1" applyAlignment="1">
      <x:alignment wrapText="1"/>
    </x:xf>
    <x:xf numFmtId="0" fontId="34" fillId="56" borderId="0" xfId="0" applyNumberFormat="1" applyFont="1" applyFill="1" applyBorder="1" applyAlignment="1">
      <x:alignment horizontal="left" wrapText="1"/>
    </x:xf>
    <x:xf numFmtId="0" fontId="34" fillId="56" borderId="0" xfId="0" applyNumberFormat="1" applyFont="1" applyFill="1" applyBorder="1" applyAlignment="1">
      <x:alignment horizontal="left" vertical="center" wrapText="1"/>
    </x:xf>
    <x:xf numFmtId="0" fontId="0" fillId="57" borderId="0" xfId="0" applyNumberFormat="1" applyFont="1" applyFill="1" applyBorder="1"/>
    <x:xf numFmtId="0" fontId="1" fillId="57" borderId="0" xfId="0" applyNumberFormat="1" applyFont="1" applyFill="1" applyBorder="1"/>
    <x:xf numFmtId="0" fontId="1" fillId="57" borderId="42" xfId="0" applyNumberFormat="1" applyFont="1" applyFill="1" applyBorder="1"/>
    <x:xf numFmtId="0" fontId="1" fillId="57" borderId="42" xfId="0" applyNumberFormat="1" applyFont="1" applyFill="1" applyBorder="1" applyAlignment="1">
      <x:alignment wrapText="1"/>
    </x:xf>
    <x:xf numFmtId="0" fontId="1" fillId="57" borderId="42" xfId="0" applyNumberFormat="1" applyFont="1" applyFill="1" applyBorder="1" applyAlignment="1">
      <x:alignment horizontal="center" wrapText="1"/>
    </x:xf>
    <x:xf numFmtId="0" fontId="1" fillId="57" borderId="42" xfId="0" applyNumberFormat="1" applyFont="1" applyFill="1" applyBorder="1" applyAlignment="1">
      <x:alignment horizontal="center" vertical="center" wrapText="1"/>
    </x:xf>
    <x:xf numFmtId="0" fontId="35" fillId="0" borderId="0" xfId="0" applyNumberFormat="1" applyFont="1" applyFill="1" applyBorder="1"/>
    <x:xf numFmtId="0" fontId="35" fillId="0" borderId="43" xfId="0" applyNumberFormat="1" applyFont="1" applyFill="1" applyBorder="1"/>
    <x:xf numFmtId="0" fontId="35" fillId="0" borderId="44" xfId="0" applyNumberFormat="1" applyFont="1" applyFill="1" applyBorder="1"/>
    <x:xf numFmtId="0" fontId="35" fillId="0" borderId="45" xfId="0" applyNumberFormat="1" applyFont="1" applyFill="1" applyBorder="1"/>
    <x:xf numFmtId="0" fontId="35" fillId="0" borderId="46" xfId="0" applyNumberFormat="1" applyFont="1" applyFill="1" applyBorder="1"/>
    <x:xf numFmtId="0" fontId="35" fillId="0" borderId="42" xfId="0" applyNumberFormat="1" applyFont="1" applyFill="1" applyBorder="1"/>
    <x:xf numFmtId="0" fontId="35" fillId="0" borderId="47" xfId="0" applyNumberFormat="1" applyFont="1" applyFill="1" applyBorder="1"/>
    <x:xf numFmtId="0" fontId="35" fillId="0" borderId="48" xfId="0" applyNumberFormat="1" applyFont="1" applyFill="1" applyBorder="1"/>
    <x:xf numFmtId="0" fontId="35" fillId="0" borderId="49" xfId="0" applyNumberFormat="1" applyFont="1" applyFill="1" applyBorder="1"/>
    <x:xf numFmtId="0" fontId="35" fillId="0" borderId="50" xfId="0" applyNumberFormat="1" applyFont="1" applyFill="1" applyBorder="1"/>
    <x:xf numFmtId="0" fontId="35" fillId="0" borderId="43" xfId="0" applyNumberFormat="1" applyFont="1" applyFill="1" applyBorder="1" applyAlignment="1">
      <x:alignment wrapText="1"/>
    </x:xf>
    <x:xf numFmtId="0" fontId="35" fillId="0" borderId="44" xfId="0" applyNumberFormat="1" applyFont="1" applyFill="1" applyBorder="1" applyAlignment="1">
      <x:alignment wrapText="1"/>
    </x:xf>
    <x:xf numFmtId="0" fontId="35" fillId="0" borderId="45" xfId="0" applyNumberFormat="1" applyFont="1" applyFill="1" applyBorder="1" applyAlignment="1">
      <x:alignment wrapText="1"/>
    </x:xf>
    <x:xf numFmtId="0" fontId="35" fillId="0" borderId="46" xfId="0" applyNumberFormat="1" applyFont="1" applyFill="1" applyBorder="1" applyAlignment="1">
      <x:alignment wrapText="1"/>
    </x:xf>
    <x:xf numFmtId="0" fontId="35" fillId="0" borderId="42" xfId="0" applyNumberFormat="1" applyFont="1" applyFill="1" applyBorder="1" applyAlignment="1">
      <x:alignment wrapText="1"/>
    </x:xf>
    <x:xf numFmtId="0" fontId="35" fillId="0" borderId="47" xfId="0" applyNumberFormat="1" applyFont="1" applyFill="1" applyBorder="1" applyAlignment="1">
      <x:alignment wrapText="1"/>
    </x:xf>
    <x:xf numFmtId="0" fontId="35" fillId="0" borderId="48" xfId="0" applyNumberFormat="1" applyFont="1" applyFill="1" applyBorder="1" applyAlignment="1">
      <x:alignment wrapText="1"/>
    </x:xf>
    <x:xf numFmtId="0" fontId="35" fillId="0" borderId="49" xfId="0" applyNumberFormat="1" applyFont="1" applyFill="1" applyBorder="1" applyAlignment="1">
      <x:alignment wrapText="1"/>
    </x:xf>
    <x:xf numFmtId="0" fontId="35" fillId="0" borderId="50" xfId="0" applyNumberFormat="1" applyFont="1" applyFill="1" applyBorder="1" applyAlignment="1">
      <x:alignment wrapText="1"/>
    </x:xf>
    <x:xf numFmtId="0" fontId="35" fillId="0" borderId="43" xfId="0" applyNumberFormat="1" applyFont="1" applyFill="1" applyBorder="1" applyAlignment="1">
      <x:alignment vertical="center" wrapText="1"/>
    </x:xf>
    <x:xf numFmtId="0" fontId="35" fillId="0" borderId="44" xfId="0" applyNumberFormat="1" applyFont="1" applyFill="1" applyBorder="1" applyAlignment="1">
      <x:alignment vertical="center" wrapText="1"/>
    </x:xf>
    <x:xf numFmtId="0" fontId="35" fillId="0" borderId="45" xfId="0" applyNumberFormat="1" applyFont="1" applyFill="1" applyBorder="1" applyAlignment="1">
      <x:alignment vertical="center" wrapText="1"/>
    </x:xf>
    <x:xf numFmtId="0" fontId="35" fillId="0" borderId="46" xfId="0" applyNumberFormat="1" applyFont="1" applyFill="1" applyBorder="1" applyAlignment="1">
      <x:alignment vertical="center" wrapText="1"/>
    </x:xf>
    <x:xf numFmtId="0" fontId="35" fillId="0" borderId="42" xfId="0" applyNumberFormat="1" applyFont="1" applyFill="1" applyBorder="1" applyAlignment="1">
      <x:alignment vertical="center" wrapText="1"/>
    </x:xf>
    <x:xf numFmtId="0" fontId="35" fillId="0" borderId="47" xfId="0" applyNumberFormat="1" applyFont="1" applyFill="1" applyBorder="1" applyAlignment="1">
      <x:alignment vertical="center" wrapText="1"/>
    </x:xf>
    <x:xf numFmtId="0" fontId="35" fillId="0" borderId="48" xfId="0" applyNumberFormat="1" applyFont="1" applyFill="1" applyBorder="1" applyAlignment="1">
      <x:alignment vertical="center" wrapText="1"/>
    </x:xf>
    <x:xf numFmtId="0" fontId="35" fillId="0" borderId="49" xfId="0" applyNumberFormat="1" applyFont="1" applyFill="1" applyBorder="1" applyAlignment="1">
      <x:alignment vertical="center" wrapText="1"/>
    </x:xf>
    <x:xf numFmtId="0" fontId="35" fillId="0" borderId="50" xfId="0" applyNumberFormat="1" applyFont="1" applyFill="1" applyBorder="1" applyAlignment="1">
      <x:alignment vertical="center" wrapText="1"/>
    </x:xf>
    <x:xf numFmtId="0" fontId="35" fillId="58" borderId="43" xfId="0" applyNumberFormat="1" applyFont="1" applyFill="1" applyBorder="1" applyAlignment="1">
      <x:alignment vertical="center" wrapText="1"/>
    </x:xf>
    <x:xf numFmtId="0" fontId="35" fillId="58" borderId="44" xfId="0" applyNumberFormat="1" applyFont="1" applyFill="1" applyBorder="1" applyAlignment="1">
      <x:alignment vertical="center" wrapText="1"/>
    </x:xf>
    <x:xf numFmtId="0" fontId="35" fillId="58" borderId="45" xfId="0" applyNumberFormat="1" applyFont="1" applyFill="1" applyBorder="1" applyAlignment="1">
      <x:alignment vertical="center" wrapText="1"/>
    </x:xf>
    <x:xf numFmtId="0" fontId="35" fillId="59" borderId="46" xfId="0" applyNumberFormat="1" applyFont="1" applyFill="1" applyBorder="1" applyAlignment="1">
      <x:alignment vertical="center" wrapText="1"/>
    </x:xf>
    <x:xf numFmtId="0" fontId="35" fillId="59" borderId="42" xfId="0" applyNumberFormat="1" applyFont="1" applyFill="1" applyBorder="1" applyAlignment="1">
      <x:alignment vertical="center" wrapText="1"/>
    </x:xf>
    <x:xf numFmtId="0" fontId="35" fillId="59" borderId="47" xfId="0" applyNumberFormat="1" applyFont="1" applyFill="1" applyBorder="1" applyAlignment="1">
      <x:alignment vertical="center" wrapText="1"/>
    </x:xf>
    <x:xf numFmtId="0" fontId="35" fillId="59" borderId="48" xfId="0" applyNumberFormat="1" applyFont="1" applyFill="1" applyBorder="1" applyAlignment="1">
      <x:alignment vertical="center" wrapText="1"/>
    </x:xf>
    <x:xf numFmtId="0" fontId="35" fillId="59" borderId="49" xfId="0" applyNumberFormat="1" applyFont="1" applyFill="1" applyBorder="1" applyAlignment="1">
      <x:alignment vertical="center" wrapText="1"/>
    </x:xf>
    <x:xf numFmtId="0" fontId="35" fillId="59" borderId="50" xfId="0" applyNumberFormat="1" applyFont="1" applyFill="1" applyBorder="1" applyAlignment="1">
      <x:alignment vertical="center" wrapText="1"/>
    </x:xf>
    <x:xf numFmtId="0" fontId="4" fillId="58" borderId="44" xfId="0" applyNumberFormat="1" applyFont="1" applyFill="1" applyBorder="1" applyAlignment="1">
      <x:alignment vertical="center" wrapText="1"/>
    </x:xf>
    <x:xf numFmtId="0" fontId="4" fillId="59" borderId="42" xfId="0" applyNumberFormat="1" applyFont="1" applyFill="1" applyBorder="1" applyAlignment="1">
      <x:alignment vertical="center" wrapText="1"/>
    </x:xf>
    <x:xf numFmtId="0" fontId="4" fillId="59" borderId="49" xfId="0" applyNumberFormat="1" applyFont="1" applyFill="1" applyBorder="1" applyAlignment="1">
      <x:alignment vertical="center" wrapText="1"/>
    </x:xf>
    <x:xf numFmtId="0" fontId="35" fillId="58" borderId="44" xfId="0" applyNumberFormat="1" applyFont="1" applyFill="1" applyBorder="1" applyAlignment="1">
      <x:alignment horizontal="center" vertical="center" wrapText="1"/>
    </x:xf>
    <x:xf numFmtId="0" fontId="35" fillId="59" borderId="42" xfId="0" applyNumberFormat="1" applyFont="1" applyFill="1" applyBorder="1" applyAlignment="1">
      <x:alignment horizontal="center" vertical="center" wrapText="1"/>
    </x:xf>
    <x:xf numFmtId="0" fontId="35" fillId="59" borderId="49" xfId="0" applyNumberFormat="1" applyFont="1" applyFill="1" applyBorder="1" applyAlignment="1">
      <x:alignment horizontal="center" vertical="center" wrapText="1"/>
    </x:xf>
    <x:xf numFmtId="200" fontId="35" fillId="58" borderId="44" xfId="0" applyNumberFormat="1" applyFont="1" applyFill="1" applyBorder="1" applyAlignment="1">
      <x:alignment horizontal="center" vertical="center" wrapText="1"/>
    </x:xf>
    <x:xf numFmtId="200" fontId="35" fillId="59" borderId="42" xfId="0" applyNumberFormat="1" applyFont="1" applyFill="1" applyBorder="1" applyAlignment="1">
      <x:alignment horizontal="center" vertical="center" wrapText="1"/>
    </x:xf>
    <x:xf numFmtId="200" fontId="35" fillId="59" borderId="49" xfId="0" applyNumberFormat="1" applyFont="1" applyFill="1" applyBorder="1" applyAlignment="1">
      <x:alignment horizontal="center" vertical="center" wrapText="1"/>
    </x:xf>
    <x:xf numFmtId="201" fontId="35" fillId="58" borderId="44" xfId="0" applyNumberFormat="1" applyFont="1" applyFill="1" applyBorder="1" applyAlignment="1">
      <x:alignment horizontal="center" vertical="center" wrapText="1"/>
    </x:xf>
    <x:xf numFmtId="201" fontId="35" fillId="59" borderId="42" xfId="0" applyNumberFormat="1" applyFont="1" applyFill="1" applyBorder="1" applyAlignment="1">
      <x:alignment horizontal="center" vertical="center" wrapText="1"/>
    </x:xf>
    <x:xf numFmtId="201" fontId="35" fillId="59" borderId="49" xfId="0" applyNumberFormat="1" applyFont="1" applyFill="1" applyBorder="1" applyAlignment="1">
      <x:alignment horizontal="center" vertical="center" wrapText="1"/>
    </x:xf>
    <x:xf numFmtId="202" fontId="35" fillId="58" borderId="44" xfId="0" applyNumberFormat="1" applyFont="1" applyFill="1" applyBorder="1" applyAlignment="1">
      <x:alignment horizontal="center" vertical="center" wrapText="1"/>
    </x:xf>
    <x:xf numFmtId="202" fontId="35" fillId="59" borderId="42" xfId="0" applyNumberFormat="1" applyFont="1" applyFill="1" applyBorder="1" applyAlignment="1">
      <x:alignment horizontal="center" vertical="center" wrapText="1"/>
    </x:xf>
    <x:xf numFmtId="202" fontId="35" fillId="59" borderId="49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1" fillId="60" borderId="0" xfId="0" applyNumberFormat="1" applyFont="1" applyFill="1" applyBorder="1"/>
    <x:xf numFmtId="0" fontId="1" fillId="60" borderId="42" xfId="0" applyNumberFormat="1" applyFont="1" applyFill="1" applyBorder="1"/>
    <x:xf numFmtId="0" fontId="1" fillId="60" borderId="42" xfId="0" applyNumberFormat="1" applyFont="1" applyFill="1" applyBorder="1" applyAlignment="1">
      <x:alignment wrapText="1"/>
    </x:xf>
    <x:xf numFmtId="0" fontId="1" fillId="60" borderId="42" xfId="0" applyNumberFormat="1" applyFont="1" applyFill="1" applyBorder="1" applyAlignment="1">
      <x:alignment horizontal="center" wrapText="1"/>
    </x:xf>
    <x:xf numFmtId="0" fontId="1" fillId="60" borderId="42" xfId="0" applyNumberFormat="1" applyFont="1" applyFill="1" applyBorder="1" applyAlignment="1">
      <x:alignment horizontal="center" vertical="center" wrapText="1"/>
    </x:xf>
    <x:xf numFmtId="0" fontId="0" fillId="61" borderId="0" xfId="0" applyNumberFormat="1" applyFont="1" applyFill="1" applyBorder="1"/>
    <x:xf numFmtId="0" fontId="4" fillId="61" borderId="0" xfId="0" applyNumberFormat="1" applyFont="1" applyFill="1" applyBorder="1"/>
    <x:xf numFmtId="0" fontId="4" fillId="61" borderId="0" xfId="0" applyNumberFormat="1" applyFont="1" applyFill="1" applyBorder="1" applyAlignment="1">
      <x:alignment vertical="center"/>
    </x:xf>
    <x:xf numFmtId="0" fontId="35" fillId="0" borderId="0" xfId="0" applyNumberFormat="1" applyFont="1" applyFill="1" applyBorder="1" applyAlignment="1">
      <x:alignment wrapText="1"/>
    </x:xf>
    <x:xf numFmtId="0" fontId="35" fillId="0" borderId="0" xfId="0" applyNumberFormat="1" applyFont="1" applyFill="1" applyBorder="1" applyAlignment="1">
      <x:alignment vertical="center" wrapText="1"/>
    </x:xf>
    <x:xf numFmtId="0" fontId="4" fillId="61" borderId="43" xfId="0" applyNumberFormat="1" applyFont="1" applyFill="1" applyBorder="1" applyAlignment="1">
      <x:alignment vertical="center"/>
    </x:xf>
    <x:xf numFmtId="0" fontId="4" fillId="61" borderId="46" xfId="0" applyNumberFormat="1" applyFont="1" applyFill="1" applyBorder="1" applyAlignment="1">
      <x:alignment vertical="center"/>
    </x:xf>
    <x:xf numFmtId="0" fontId="4" fillId="61" borderId="48" xfId="0" applyNumberFormat="1" applyFont="1" applyFill="1" applyBorder="1" applyAlignment="1">
      <x:alignment vertical="center"/>
    </x:xf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1" fillId="62" borderId="42" xfId="0" applyNumberFormat="1" applyFont="1" applyFill="1" applyBorder="1"/>
    <x:xf numFmtId="0" fontId="1" fillId="62" borderId="42" xfId="0" applyNumberFormat="1" applyFont="1" applyFill="1" applyBorder="1" applyAlignment="1">
      <x:alignment wrapText="1"/>
    </x:xf>
    <x:xf numFmtId="0" fontId="1" fillId="62" borderId="42" xfId="0" applyNumberFormat="1" applyFont="1" applyFill="1" applyBorder="1" applyAlignment="1">
      <x:alignment horizontal="center" wrapText="1"/>
    </x:xf>
    <x:xf numFmtId="0" fontId="1" fillId="62" borderId="42" xfId="0" applyNumberFormat="1" applyFont="1" applyFill="1" applyBorder="1" applyAlignment="1">
      <x:alignment horizontal="center" vertical="center" wrapText="1"/>
    </x:xf>
    <x:xf numFmtId="0" fontId="35" fillId="0" borderId="43" xfId="0" applyNumberFormat="1" applyFont="1" applyFill="1" applyBorder="1" applyAlignment="1">
      <x:alignment vertical="center"/>
    </x:xf>
    <x:xf numFmtId="0" fontId="35" fillId="0" borderId="44" xfId="0" applyNumberFormat="1" applyFont="1" applyFill="1" applyBorder="1" applyAlignment="1">
      <x:alignment vertical="center"/>
    </x:xf>
    <x:xf numFmtId="0" fontId="35" fillId="0" borderId="45" xfId="0" applyNumberFormat="1" applyFont="1" applyFill="1" applyBorder="1" applyAlignment="1">
      <x:alignment vertical="center"/>
    </x:xf>
    <x:xf numFmtId="0" fontId="35" fillId="0" borderId="46" xfId="0" applyNumberFormat="1" applyFont="1" applyFill="1" applyBorder="1" applyAlignment="1">
      <x:alignment vertical="center"/>
    </x:xf>
    <x:xf numFmtId="0" fontId="35" fillId="0" borderId="42" xfId="0" applyNumberFormat="1" applyFont="1" applyFill="1" applyBorder="1" applyAlignment="1">
      <x:alignment vertical="center"/>
    </x:xf>
    <x:xf numFmtId="0" fontId="35" fillId="0" borderId="47" xfId="0" applyNumberFormat="1" applyFont="1" applyFill="1" applyBorder="1" applyAlignment="1">
      <x:alignment vertical="center"/>
    </x:xf>
    <x:xf numFmtId="0" fontId="35" fillId="0" borderId="48" xfId="0" applyNumberFormat="1" applyFont="1" applyFill="1" applyBorder="1" applyAlignment="1">
      <x:alignment vertical="center"/>
    </x:xf>
    <x:xf numFmtId="0" fontId="35" fillId="0" borderId="49" xfId="0" applyNumberFormat="1" applyFont="1" applyFill="1" applyBorder="1" applyAlignment="1">
      <x:alignment vertical="center"/>
    </x:xf>
    <x:xf numFmtId="0" fontId="35" fillId="0" borderId="50" xfId="0" applyNumberFormat="1" applyFont="1" applyFill="1" applyBorder="1" applyAlignment="1">
      <x:alignment vertical="center"/>
    </x:xf>
    <x:xf numFmtId="202" fontId="35" fillId="0" borderId="44" xfId="0" applyNumberFormat="1" applyFont="1" applyFill="1" applyBorder="1" applyAlignment="1">
      <x:alignment vertical="center"/>
    </x:xf>
    <x:xf numFmtId="202" fontId="35" fillId="0" borderId="45" xfId="0" applyNumberFormat="1" applyFont="1" applyFill="1" applyBorder="1" applyAlignment="1">
      <x:alignment vertical="center"/>
    </x:xf>
    <x:xf numFmtId="202" fontId="35" fillId="0" borderId="42" xfId="0" applyNumberFormat="1" applyFont="1" applyFill="1" applyBorder="1" applyAlignment="1">
      <x:alignment vertical="center"/>
    </x:xf>
    <x:xf numFmtId="202" fontId="35" fillId="0" borderId="47" xfId="0" applyNumberFormat="1" applyFont="1" applyFill="1" applyBorder="1" applyAlignment="1">
      <x:alignment vertical="center"/>
    </x:xf>
    <x:xf numFmtId="202" fontId="35" fillId="0" borderId="49" xfId="0" applyNumberFormat="1" applyFont="1" applyFill="1" applyBorder="1" applyAlignment="1">
      <x:alignment vertical="center"/>
    </x:xf>
    <x:xf numFmtId="202" fontId="35" fillId="0" borderId="50" xfId="0" applyNumberFormat="1" applyFont="1" applyFill="1" applyBorder="1" applyAlignment="1">
      <x:alignment vertical="center"/>
    </x:xf>
    <x:xf numFmtId="0" fontId="35" fillId="5" borderId="2" xfId="0" applyNumberFormat="1" applyFont="1" applyFill="1" applyBorder="1" applyAlignment="1">
      <x:alignment vertical="center"/>
    </x:xf>
    <x:xf numFmtId="0" fontId="35" fillId="5" borderId="2" xfId="0" applyNumberFormat="1" applyFont="1" applyFill="1" applyBorder="1" applyAlignment="1">
      <x:alignment vertical="center" wrapText="1"/>
    </x:xf>
    <x:xf numFmtId="0" fontId="35" fillId="5" borderId="3" xfId="0" applyNumberFormat="1" applyFont="1" applyFill="1" applyBorder="1" applyAlignment="1">
      <x:alignment vertical="center"/>
    </x:xf>
    <x:xf numFmtId="0" fontId="35" fillId="5" borderId="3" xfId="0" applyNumberFormat="1" applyFont="1" applyFill="1" applyBorder="1" applyAlignment="1">
      <x:alignment vertical="center" wrapText="1"/>
    </x:xf>
    <x:xf numFmtId="0" fontId="35" fillId="6" borderId="3" xfId="0" applyNumberFormat="1" applyFont="1" applyFill="1" applyBorder="1" applyAlignment="1">
      <x:alignment vertical="center"/>
    </x:xf>
    <x:xf numFmtId="0" fontId="35" fillId="6" borderId="3" xfId="0" applyNumberFormat="1" applyFont="1" applyFill="1" applyBorder="1" applyAlignment="1">
      <x:alignment vertical="center" wrapText="1"/>
    </x:xf>
    <x:xf numFmtId="0" fontId="35" fillId="5" borderId="4" xfId="0" applyNumberFormat="1" applyFont="1" applyFill="1" applyBorder="1" applyAlignment="1">
      <x:alignment vertical="center"/>
    </x:xf>
    <x:xf numFmtId="0" fontId="35" fillId="5" borderId="4" xfId="0" applyNumberFormat="1" applyFont="1" applyFill="1" applyBorder="1" applyAlignment="1">
      <x:alignment vertical="center" wrapText="1"/>
    </x:xf>
    <x:xf numFmtId="0" fontId="35" fillId="5" borderId="43" xfId="0" applyNumberFormat="1" applyFont="1" applyFill="1" applyBorder="1" applyAlignment="1">
      <x:alignment vertical="center"/>
    </x:xf>
    <x:xf numFmtId="0" fontId="35" fillId="5" borderId="44" xfId="0" applyNumberFormat="1" applyFont="1" applyFill="1" applyBorder="1" applyAlignment="1">
      <x:alignment vertical="center"/>
    </x:xf>
    <x:xf numFmtId="0" fontId="35" fillId="5" borderId="44" xfId="0" applyNumberFormat="1" applyFont="1" applyFill="1" applyBorder="1" applyAlignment="1">
      <x:alignment vertical="center" wrapText="1"/>
    </x:xf>
    <x:xf numFmtId="0" fontId="35" fillId="5" borderId="45" xfId="0" applyNumberFormat="1" applyFont="1" applyFill="1" applyBorder="1" applyAlignment="1">
      <x:alignment vertical="center" wrapText="1"/>
    </x:xf>
    <x:xf numFmtId="0" fontId="35" fillId="5" borderId="46" xfId="0" applyNumberFormat="1" applyFont="1" applyFill="1" applyBorder="1" applyAlignment="1">
      <x:alignment vertical="center"/>
    </x:xf>
    <x:xf numFmtId="0" fontId="35" fillId="5" borderId="42" xfId="0" applyNumberFormat="1" applyFont="1" applyFill="1" applyBorder="1" applyAlignment="1">
      <x:alignment vertical="center"/>
    </x:xf>
    <x:xf numFmtId="0" fontId="35" fillId="5" borderId="42" xfId="0" applyNumberFormat="1" applyFont="1" applyFill="1" applyBorder="1" applyAlignment="1">
      <x:alignment vertical="center" wrapText="1"/>
    </x:xf>
    <x:xf numFmtId="0" fontId="35" fillId="5" borderId="47" xfId="0" applyNumberFormat="1" applyFont="1" applyFill="1" applyBorder="1" applyAlignment="1">
      <x:alignment vertical="center" wrapText="1"/>
    </x:xf>
    <x:xf numFmtId="0" fontId="35" fillId="6" borderId="46" xfId="0" applyNumberFormat="1" applyFont="1" applyFill="1" applyBorder="1" applyAlignment="1">
      <x:alignment vertical="center"/>
    </x:xf>
    <x:xf numFmtId="0" fontId="35" fillId="6" borderId="42" xfId="0" applyNumberFormat="1" applyFont="1" applyFill="1" applyBorder="1" applyAlignment="1">
      <x:alignment vertical="center"/>
    </x:xf>
    <x:xf numFmtId="0" fontId="35" fillId="6" borderId="42" xfId="0" applyNumberFormat="1" applyFont="1" applyFill="1" applyBorder="1" applyAlignment="1">
      <x:alignment vertical="center" wrapText="1"/>
    </x:xf>
    <x:xf numFmtId="0" fontId="35" fillId="6" borderId="47" xfId="0" applyNumberFormat="1" applyFont="1" applyFill="1" applyBorder="1" applyAlignment="1">
      <x:alignment vertical="center" wrapText="1"/>
    </x:xf>
    <x:xf numFmtId="0" fontId="35" fillId="0" borderId="51" xfId="0" applyNumberFormat="1" applyFont="1" applyFill="1" applyBorder="1"/>
    <x:xf numFmtId="0" fontId="35" fillId="0" borderId="52" xfId="0" applyNumberFormat="1" applyFont="1" applyFill="1" applyBorder="1"/>
    <x:xf numFmtId="0" fontId="35" fillId="0" borderId="53" xfId="0" applyNumberFormat="1" applyFont="1" applyFill="1" applyBorder="1"/>
    <x:xf numFmtId="0" fontId="35" fillId="5" borderId="43" xfId="0" applyNumberFormat="1" applyFont="1" applyFill="1" applyBorder="1" applyAlignment="1">
      <x:alignment vertical="center" wrapText="1"/>
    </x:xf>
    <x:xf numFmtId="0" fontId="35" fillId="5" borderId="46" xfId="0" applyNumberFormat="1" applyFont="1" applyFill="1" applyBorder="1" applyAlignment="1">
      <x:alignment vertical="center" wrapText="1"/>
    </x:xf>
    <x:xf numFmtId="0" fontId="35" fillId="6" borderId="46" xfId="0" applyNumberFormat="1" applyFont="1" applyFill="1" applyBorder="1" applyAlignment="1">
      <x:alignment vertical="center" wrapText="1"/>
    </x:xf>
    <x:xf numFmtId="0" fontId="35" fillId="0" borderId="51" xfId="0" applyNumberFormat="1" applyFont="1" applyFill="1" applyBorder="1" applyAlignment="1">
      <x:alignment wrapText="1"/>
    </x:xf>
    <x:xf numFmtId="0" fontId="35" fillId="0" borderId="52" xfId="0" applyNumberFormat="1" applyFont="1" applyFill="1" applyBorder="1" applyAlignment="1">
      <x:alignment wrapText="1"/>
    </x:xf>
    <x:xf numFmtId="0" fontId="35" fillId="0" borderId="53" xfId="0" applyNumberFormat="1" applyFont="1" applyFill="1" applyBorder="1" applyAlignment="1">
      <x:alignment wrapText="1"/>
    </x:xf>
    <x:xf numFmtId="0" fontId="35" fillId="0" borderId="51" xfId="0" applyNumberFormat="1" applyFont="1" applyFill="1" applyBorder="1" applyAlignment="1">
      <x:alignment vertical="center" wrapText="1"/>
    </x:xf>
    <x:xf numFmtId="0" fontId="35" fillId="0" borderId="52" xfId="0" applyNumberFormat="1" applyFont="1" applyFill="1" applyBorder="1" applyAlignment="1">
      <x:alignment vertical="center" wrapText="1"/>
    </x:xf>
    <x:xf numFmtId="0" fontId="35" fillId="0" borderId="53" xfId="0" applyNumberFormat="1" applyFont="1" applyFill="1" applyBorder="1" applyAlignment="1">
      <x:alignment vertical="center" wrapText="1"/>
    </x:xf>
    <x:xf numFmtId="0" fontId="35" fillId="63" borderId="46" xfId="0" applyNumberFormat="1" applyFont="1" applyFill="1" applyBorder="1" applyAlignment="1">
      <x:alignment vertical="center" wrapText="1"/>
    </x:xf>
    <x:xf numFmtId="0" fontId="35" fillId="63" borderId="42" xfId="0" applyNumberFormat="1" applyFont="1" applyFill="1" applyBorder="1" applyAlignment="1">
      <x:alignment vertical="center" wrapText="1"/>
    </x:xf>
    <x:xf numFmtId="0" fontId="35" fillId="63" borderId="47" xfId="0" applyNumberFormat="1" applyFont="1" applyFill="1" applyBorder="1" applyAlignment="1">
      <x:alignment vertical="center" wrapText="1"/>
    </x:xf>
    <x:xf numFmtId="0" fontId="35" fillId="58" borderId="46" xfId="0" applyNumberFormat="1" applyFont="1" applyFill="1" applyBorder="1" applyAlignment="1">
      <x:alignment vertical="center" wrapText="1"/>
    </x:xf>
    <x:xf numFmtId="0" fontId="35" fillId="58" borderId="42" xfId="0" applyNumberFormat="1" applyFont="1" applyFill="1" applyBorder="1" applyAlignment="1">
      <x:alignment vertical="center" wrapText="1"/>
    </x:xf>
    <x:xf numFmtId="0" fontId="35" fillId="58" borderId="47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5" fillId="0" borderId="3" xfId="0" applyNumberFormat="1" applyFont="1" applyFill="1" applyBorder="1" applyAlignment="1">
      <x:alignment vertical="center"/>
    </x:xf>
    <x:xf numFmtId="3" fontId="35" fillId="0" borderId="3" xfId="0" applyNumberFormat="1" applyFont="1" applyFill="1" applyBorder="1" applyAlignment="1">
      <x:alignment vertical="center"/>
    </x:xf>
    <x:xf numFmtId="0" fontId="35" fillId="0" borderId="3" xfId="0" applyNumberFormat="1" applyFont="1" applyFill="1" applyBorder="1" applyAlignment="1">
      <x:alignment vertical="center" wrapText="1"/>
    </x:xf>
    <x:xf numFmtId="0" fontId="35" fillId="0" borderId="54" xfId="0" applyNumberFormat="1" applyFont="1" applyFill="1" applyBorder="1" applyAlignment="1">
      <x:alignment vertical="center"/>
    </x:xf>
    <x:xf numFmtId="3" fontId="35" fillId="0" borderId="54" xfId="0" applyNumberFormat="1" applyFont="1" applyFill="1" applyBorder="1" applyAlignment="1">
      <x:alignment vertical="center"/>
    </x:xf>
    <x:xf numFmtId="0" fontId="35" fillId="0" borderId="54" xfId="0" applyNumberFormat="1" applyFont="1" applyFill="1" applyBorder="1" applyAlignment="1">
      <x:alignment vertical="center" wrapText="1"/>
    </x:xf>
    <x:xf numFmtId="0" fontId="35" fillId="0" borderId="54" xfId="0" applyNumberFormat="1" applyFont="1" applyFill="1" applyBorder="1"/>
    <x:xf numFmtId="0" fontId="35" fillId="0" borderId="55" xfId="0" applyNumberFormat="1" applyFont="1" applyFill="1" applyBorder="1" applyAlignment="1">
      <x:alignment vertical="center"/>
    </x:xf>
    <x:xf numFmtId="3" fontId="35" fillId="0" borderId="55" xfId="0" applyNumberFormat="1" applyFont="1" applyFill="1" applyBorder="1" applyAlignment="1">
      <x:alignment vertical="center"/>
    </x:xf>
    <x:xf numFmtId="0" fontId="35" fillId="0" borderId="55" xfId="0" applyNumberFormat="1" applyFont="1" applyFill="1" applyBorder="1" applyAlignment="1">
      <x:alignment vertical="center" wrapText="1"/>
    </x:xf>
    <x:xf numFmtId="0" fontId="35" fillId="0" borderId="55" xfId="0" applyNumberFormat="1" applyFont="1" applyFill="1" applyBorder="1"/>
    <x:xf numFmtId="0" fontId="35" fillId="0" borderId="56" xfId="0" applyNumberFormat="1" applyFont="1" applyFill="1" applyBorder="1" applyAlignment="1">
      <x:alignment vertical="center"/>
    </x:xf>
    <x:xf numFmtId="0" fontId="35" fillId="0" borderId="56" xfId="0" applyNumberFormat="1" applyFont="1" applyFill="1" applyBorder="1" applyAlignment="1">
      <x:alignment vertical="center" wrapText="1"/>
    </x:xf>
    <x:xf numFmtId="0" fontId="35" fillId="0" borderId="56" xfId="0" applyNumberFormat="1" applyFont="1" applyFill="1" applyBorder="1"/>
    <x:xf numFmtId="3" fontId="35" fillId="0" borderId="54" xfId="0" applyNumberFormat="1" applyFont="1" applyFill="1" applyBorder="1" applyAlignment="1">
      <x:alignment vertical="center" wrapText="1"/>
    </x:xf>
    <x:xf numFmtId="0" fontId="35" fillId="0" borderId="54" xfId="0" applyNumberFormat="1" applyFont="1" applyFill="1" applyBorder="1" applyAlignment="1">
      <x:alignment wrapText="1"/>
    </x:xf>
    <x:xf numFmtId="3" fontId="35" fillId="0" borderId="55" xfId="0" applyNumberFormat="1" applyFont="1" applyFill="1" applyBorder="1" applyAlignment="1">
      <x:alignment vertical="center" wrapText="1"/>
    </x:xf>
    <x:xf numFmtId="0" fontId="35" fillId="0" borderId="55" xfId="0" applyNumberFormat="1" applyFont="1" applyFill="1" applyBorder="1" applyAlignment="1">
      <x:alignment wrapText="1"/>
    </x:xf>
    <x:xf numFmtId="0" fontId="35" fillId="0" borderId="56" xfId="0" applyNumberFormat="1" applyFont="1" applyFill="1" applyBorder="1" applyAlignment="1">
      <x:alignment wrapText="1"/>
    </x:xf>
    <x:xf numFmtId="202" fontId="35" fillId="0" borderId="54" xfId="0" applyNumberFormat="1" applyFont="1" applyFill="1" applyBorder="1" applyAlignment="1">
      <x:alignment vertical="center" wrapText="1"/>
    </x:xf>
    <x:xf numFmtId="202" fontId="35" fillId="0" borderId="55" xfId="0" applyNumberFormat="1" applyFont="1" applyFill="1" applyBorder="1" applyAlignment="1">
      <x:alignment vertical="center" wrapText="1"/>
    </x:xf>
    <x:xf numFmtId="202" fontId="35" fillId="0" borderId="56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4" fillId="64" borderId="0" xfId="0" applyNumberFormat="1" applyFont="1" applyFill="1" applyBorder="1"/>
    <x:xf numFmtId="0" fontId="4" fillId="64" borderId="1" xfId="0" applyNumberFormat="1" applyFont="1" applyFill="1" applyBorder="1"/>
    <x:xf numFmtId="0" fontId="4" fillId="64" borderId="1" xfId="0" applyNumberFormat="1" applyFont="1" applyFill="1" applyBorder="1" applyAlignment="1">
      <x:alignment wrapText="1"/>
    </x:xf>
    <x:xf numFmtId="0" fontId="4" fillId="64" borderId="1" xfId="0" applyNumberFormat="1" applyFont="1" applyFill="1" applyBorder="1" applyAlignment="1">
      <x:alignment horizontal="center" wrapText="1"/>
    </x:xf>
    <x:xf numFmtId="0" fontId="4" fillId="64" borderId="1" xfId="0" applyNumberFormat="1" applyFont="1" applyFill="1" applyBorder="1" applyAlignment="1">
      <x:alignment horizontal="center" vertical="center" wrapText="1"/>
    </x:xf>
    <x:xf numFmtId="0" fontId="0" fillId="65" borderId="0" xfId="0" applyNumberFormat="1" applyFont="1" applyFill="1" applyBorder="1"/>
    <x:xf numFmtId="0" fontId="3" fillId="65" borderId="0" xfId="0" applyNumberFormat="1" applyFont="1" applyFill="1" applyBorder="1"/>
    <x:xf numFmtId="0" fontId="3" fillId="65" borderId="1" xfId="0" applyNumberFormat="1" applyFont="1" applyFill="1" applyBorder="1"/>
    <x:xf numFmtId="0" fontId="3" fillId="65" borderId="1" xfId="0" applyNumberFormat="1" applyFont="1" applyFill="1" applyBorder="1" applyAlignment="1">
      <x:alignment wrapText="1"/>
    </x:xf>
    <x:xf numFmtId="0" fontId="3" fillId="65" borderId="1" xfId="0" applyNumberFormat="1" applyFont="1" applyFill="1" applyBorder="1" applyAlignment="1">
      <x:alignment horizontal="left" wrapText="1"/>
    </x:xf>
    <x:xf numFmtId="0" fontId="3" fillId="65" borderId="1" xfId="0" applyNumberFormat="1" applyFont="1" applyFill="1" applyBorder="1" applyAlignment="1">
      <x:alignment horizontal="left" vertical="center" wrapText="1"/>
    </x:xf>
    <x:xf numFmtId="0" fontId="0" fillId="66" borderId="0" xfId="0" applyNumberFormat="1" applyFont="1" applyFill="1" applyBorder="1"/>
    <x:xf numFmtId="0" fontId="3" fillId="66" borderId="0" xfId="0" applyNumberFormat="1" applyFont="1" applyFill="1" applyBorder="1"/>
    <x:xf numFmtId="0" fontId="3" fillId="66" borderId="1" xfId="0" applyNumberFormat="1" applyFont="1" applyFill="1" applyBorder="1"/>
    <x:xf numFmtId="0" fontId="3" fillId="66" borderId="1" xfId="0" applyNumberFormat="1" applyFont="1" applyFill="1" applyBorder="1" applyAlignment="1">
      <x:alignment wrapText="1"/>
    </x:xf>
    <x:xf numFmtId="0" fontId="3" fillId="66" borderId="1" xfId="0" applyNumberFormat="1" applyFont="1" applyFill="1" applyBorder="1" applyAlignment="1">
      <x:alignment horizontal="left" wrapText="1"/>
    </x:xf>
    <x:xf numFmtId="0" fontId="3" fillId="66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3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3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176" fontId="3" fillId="10" borderId="1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176" fontId="3" fillId="11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13" borderId="1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6">
    <x:dxf>
      <x:fill>
        <x:patternFill>
          <x:bgColor rgb="FFF7FBFC"/>
        </x:patternFill>
      </x:fill>
    </x:dxf>
    <x:dxf>
      <x:fill>
        <x:patternFill>
          <x:bgColor rgb="FFEAF7F7"/>
        </x:patternFill>
      </x:fill>
    </x:dxf>
    <x:dxf>
      <x:fill>
        <x:patternFill>
          <x:bgColor rgb="FFEAF2FA"/>
        </x:patternFill>
      </x:fill>
    </x:dxf>
    <x:dxf>
      <x:fill>
        <x:patternFill>
          <x:bgColor rgb="FFFCEEF1"/>
        </x:patternFill>
      </x:fill>
    </x:dxf>
    <x:dxf>
      <x:fill>
        <x:patternFill>
          <x:bgColor rgb="FFFFF5E6"/>
        </x:patternFill>
      </x:fill>
    </x:dxf>
    <x:dxf>
      <x:font>
        <x:b/>
        <x:color rgb="FF17324D"/>
      </x:font>
      <x:border>
        <x:top style="medium">
          <x:color rgb="FF17324D"/>
        </x:top>
      </x:border>
    </x:dxf>
    <x:dxf>
      <x:font>
        <x:color rgb="FF92400E"/>
      </x:font>
      <x:fill>
        <x:patternFill>
          <x:bgColor rgb="FFFFF7E0"/>
        </x:patternFill>
      </x:fill>
    </x:dxf>
    <x:dxf>
      <x:font>
        <x:b/>
        <x:color rgb="FF17324D"/>
      </x:font>
      <x:fill>
        <x:patternFill>
          <x:bgColor rgb="FFF7FBFC"/>
        </x:patternFill>
      </x:fill>
    </x:dxf>
    <x:dxf>
      <x:font>
        <x:b/>
        <x:color rgb="FF17324D"/>
      </x:font>
      <x:fill>
        <x:patternFill>
          <x:bgColor rgb="FFEAF0F5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f2a0ece6442f2" /><Relationship Type="http://schemas.openxmlformats.org/officeDocument/2006/relationships/theme" Target="/xl/theme/theme1.xml" Id="Re92b34f426da4134" /><Relationship Type="http://schemas.openxmlformats.org/officeDocument/2006/relationships/sharedStrings" Target="/xl/sharedStrings.xml" Id="Rbb690bdbe77342cd" /><Relationship Type="http://schemas.openxmlformats.org/officeDocument/2006/relationships/worksheet" Target="/xl/worksheets/sheet1.xml" Id="R91143fe2b8684e93" /><Relationship Type="http://schemas.openxmlformats.org/officeDocument/2006/relationships/worksheet" Target="/xl/worksheets/sheet2.xml" Id="R315c090401bc4f65" /><Relationship Type="http://schemas.openxmlformats.org/officeDocument/2006/relationships/worksheet" Target="/xl/worksheets/sheet3.xml" Id="Rc1f94c71fa06466c" /><Relationship Type="http://schemas.openxmlformats.org/officeDocument/2006/relationships/worksheet" Target="/xl/worksheets/sheet4.xml" Id="R2aa2521fe0534c19" /><Relationship Type="http://schemas.openxmlformats.org/officeDocument/2006/relationships/worksheet" Target="/xl/worksheets/sheet5.xml" Id="R2d06fd092c4a402b" /><Relationship Type="http://schemas.openxmlformats.org/officeDocument/2006/relationships/worksheet" Target="/xl/worksheets/sheet6.xml" Id="R3e7cb014110d45c0" /><Relationship Type="http://schemas.openxmlformats.org/officeDocument/2006/relationships/worksheet" Target="/xl/worksheets/sheet7.xml" Id="R0b43f67f7a394f6c" /><Relationship Type="http://schemas.openxmlformats.org/officeDocument/2006/relationships/worksheet" Target="/xl/worksheets/sheet8.xml" Id="R03d830d27eeb4698" /><Relationship Type="http://schemas.openxmlformats.org/officeDocument/2006/relationships/worksheet" Target="/xl/worksheets/sheet9.xml" Id="Ra7454a573fc1437f" /><Relationship Type="http://schemas.openxmlformats.org/officeDocument/2006/relationships/worksheet" Target="/xl/worksheets/sheet10.xml" Id="R425c26a1d24f438c" /><Relationship Type="http://schemas.microsoft.com/office/2017/10/relationships/person" Target="/xl/persons/person.xml" Id="R7b085d2d7846457c" /></Relationships>
</file>

<file path=xl/persons/person.xml><?xml version="1.0" encoding="utf-8"?>
<xltc:personList xmlns:xltc="http://schemas.microsoft.com/office/spreadsheetml/2018/threadedcomments">
  <xltc:person displayName="Carol" id="{FDC0C71C-E3E2-4B75-AB96-1C0A5405B9CB}"/>
</xltc:personList>
</file>

<file path=xl/tables/table1.xml><?xml version="1.0" encoding="utf-8"?>
<x:table xmlns:x="http://schemas.openxmlformats.org/spreadsheetml/2006/main" id="1" name="CPGiftConfigV30" displayName="CPGiftConfigV30" ref="A4:K7" totalsRowShown="0">
  <x:tableColumns count="11">
    <x:tableColumn id="1" name="礼物编码"/>
    <x:tableColumn id="2" name="工作名"/>
    <x:tableColumn id="3" name="解锁等级"/>
    <x:tableColumn id="4" name="价格(金币)"/>
    <x:tableColumn id="5" name="等价普通亲密值"/>
    <x:tableColumn id="6" name="固定CP亲密值"/>
    <x:tableColumn id="7" name="相对普通效率"/>
    <x:tableColumn id="8" name="金币/亲密值"/>
    <x:tableColumn id="9" name="发送对象"/>
    <x:tableColumn id="10" name="默认展示"/>
    <x:tableColumn id="11" name="结算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PInteractionTaskRulesV30" displayName="CPInteractionTaskRulesV30" ref="A4:G11" totalsRowShown="0">
  <x:tableColumns count="7">
    <x:tableColumn id="1" name="模块"/>
    <x:tableColumn id="2" name="来源"/>
    <x:tableColumn id="3" name="有效条件"/>
    <x:tableColumn id="4" name="单次变化"/>
    <x:tableColumn id="5" name="周期上限"/>
    <x:tableColumn id="6" name="入账方式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c416560cec94fe2" /><Relationship Type="http://schemas.openxmlformats.org/officeDocument/2006/relationships/vmlDrawing" Target="/xl/drawings/vmldrawing.vml" Id="Rc5c15a54a6f947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30a216fb0ac94b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359be911fb594e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customWidth="1"/>
    <x:col min="2" max="3" width="15" customWidth="1"/>
    <x:col min="4" max="4" width="14" customWidth="1"/>
    <x:col min="5" max="6" width="21" customWidth="1"/>
    <x:col min="7" max="8" width="14" customWidth="1"/>
    <x:col min="9" max="10" width="17" customWidth="1"/>
    <x:col min="11" max="11" width="27" customWidth="1"/>
  </x:cols>
  <x:sheetData>
    <x:row r="1" ht="28" customHeight="1">
      <x:c r="A1" s="56" t="s">
        <x:v>0</x:v>
      </x:c>
      <x:c r="B1" s="56" t="s">
        <x:v>1</x:v>
      </x:c>
      <x:c r="C1" s="56" t="s">
        <x:v>2</x:v>
      </x:c>
      <x:c r="D1" s="56" t="s">
        <x:v>3</x:v>
      </x:c>
      <x:c r="E1" s="56" t="s">
        <x:v>4</x:v>
      </x:c>
      <x:c r="F1" s="56" t="s">
        <x:v>5</x:v>
      </x:c>
      <x:c r="G1" s="56" t="s">
        <x:v>6</x:v>
      </x:c>
      <x:c r="H1" s="56" t="s">
        <x:v>7</x:v>
      </x:c>
      <x:c r="I1" s="56" t="s">
        <x:v>8</x:v>
      </x:c>
      <x:c r="J1" s="56" t="s">
        <x:v>9</x:v>
      </x:c>
      <x:c r="K1" s="56" t="s">
        <x:v>10</x:v>
      </x:c>
    </x:row>
    <x:row r="2" ht="17">
      <x:c r="A2" s="57" t="s">
        <x:v>11</x:v>
      </x:c>
      <x:c r="B2" s="57" t="s">
        <x:v>12</x:v>
      </x:c>
      <x:c r="C2" s="57" t="s">
        <x:v>13</x:v>
      </x:c>
      <x:c r="D2" s="57" t="s">
        <x:v>14</x:v>
      </x:c>
      <x:c r="E2" s="15" t="s">
        <x:v>15</x:v>
      </x:c>
      <x:c r="F2" s="15"/>
      <x:c r="G2" s="125">
        <x:v>15705862</x:v>
      </x:c>
      <x:c r="H2" s="125" t="e">
        <x:f>IF(G2="","",IF(G2&lt;参数与口径!$E$6,1,MATCH(G2,等级配置!$C$4:$C$103,1)))</x:f>
        <x:v>#NAME?</x:v>
      </x:c>
      <x:c r="I2" s="57" t="e">
        <x:f>IF(H2="","",INDEX(等级配置!$B$4:$B$103,H2))</x:f>
        <x:v>#NAME?</x:v>
      </x:c>
      <x:c r="J2" s="57" t="e">
        <x:f>IF(AND(D2="当前已婚",G2&lt;参数与口径!$E$6),"存量兼容Lv1",IF(G2&gt;=等级配置!$C$103,"Lv100溢出","正常"))</x:f>
        <x:v>#NAME?</x:v>
      </x:c>
      <x:c r="K2" s="17" t="str">
        <x:f t="shared" ref="K2:K65" si="0">IF(AND(D2="当前已婚",F2&lt;&gt;""),"当前已婚但存在离婚日期",IF(AND(D2="当前已婚",G2=0),"当前CP亲密值为0",""))</x:f>
      </x:c>
    </x:row>
    <x:row r="3" ht="17">
      <x:c r="A3" s="58" t="s">
        <x:v>16</x:v>
      </x:c>
      <x:c r="B3" s="58" t="s">
        <x:v>17</x:v>
      </x:c>
      <x:c r="C3" s="58" t="s">
        <x:v>18</x:v>
      </x:c>
      <x:c r="D3" s="58" t="s">
        <x:v>14</x:v>
      </x:c>
      <x:c r="E3" s="18" t="s">
        <x:v>19</x:v>
      </x:c>
      <x:c r="F3" s="18"/>
      <x:c r="G3" s="126">
        <x:v>3550012</x:v>
      </x:c>
      <x:c r="H3" s="126" t="e">
        <x:f>IF(G3="","",IF(G3&lt;参数与口径!$E$6,1,MATCH(G3,等级配置!$C$4:$C$103,1)))</x:f>
        <x:v>#NAME?</x:v>
      </x:c>
      <x:c r="I3" s="58" t="e">
        <x:f>IF(H3="","",INDEX(等级配置!$B$4:$B$103,H3))</x:f>
        <x:v>#NAME?</x:v>
      </x:c>
      <x:c r="J3" s="58" t="e">
        <x:f>IF(AND(D3="当前已婚",G3&lt;参数与口径!$E$6),"存量兼容Lv1",IF(G3&gt;=等级配置!$C$103,"Lv100溢出","正常"))</x:f>
        <x:v>#NAME?</x:v>
      </x:c>
      <x:c r="K3" s="20" t="str">
        <x:f t="shared" si="0"/>
      </x:c>
    </x:row>
    <x:row r="4" ht="17">
      <x:c r="A4" s="58" t="s">
        <x:v>20</x:v>
      </x:c>
      <x:c r="B4" s="58" t="s">
        <x:v>21</x:v>
      </x:c>
      <x:c r="C4" s="58" t="s">
        <x:v>22</x:v>
      </x:c>
      <x:c r="D4" s="58" t="s">
        <x:v>14</x:v>
      </x:c>
      <x:c r="E4" s="18" t="s">
        <x:v>23</x:v>
      </x:c>
      <x:c r="F4" s="18"/>
      <x:c r="G4" s="126">
        <x:v>1604701</x:v>
      </x:c>
      <x:c r="H4" s="126" t="e">
        <x:f>IF(G4="","",IF(G4&lt;参数与口径!$E$6,1,MATCH(G4,等级配置!$C$4:$C$103,1)))</x:f>
        <x:v>#NAME?</x:v>
      </x:c>
      <x:c r="I4" s="58" t="e">
        <x:f>IF(H4="","",INDEX(等级配置!$B$4:$B$103,H4))</x:f>
        <x:v>#NAME?</x:v>
      </x:c>
      <x:c r="J4" s="58" t="e">
        <x:f>IF(AND(D4="当前已婚",G4&lt;参数与口径!$E$6),"存量兼容Lv1",IF(G4&gt;=等级配置!$C$103,"Lv100溢出","正常"))</x:f>
        <x:v>#NAME?</x:v>
      </x:c>
      <x:c r="K4" s="20" t="str">
        <x:f t="shared" si="0"/>
      </x:c>
    </x:row>
    <x:row r="5" ht="17">
      <x:c r="A5" s="58" t="s">
        <x:v>24</x:v>
      </x:c>
      <x:c r="B5" s="58" t="s">
        <x:v>25</x:v>
      </x:c>
      <x:c r="C5" s="58" t="s">
        <x:v>26</x:v>
      </x:c>
      <x:c r="D5" s="58" t="s">
        <x:v>14</x:v>
      </x:c>
      <x:c r="E5" s="18" t="s">
        <x:v>27</x:v>
      </x:c>
      <x:c r="F5" s="18"/>
      <x:c r="G5" s="126">
        <x:v>1566560</x:v>
      </x:c>
      <x:c r="H5" s="126" t="e">
        <x:f>IF(G5="","",IF(G5&lt;参数与口径!$E$6,1,MATCH(G5,等级配置!$C$4:$C$103,1)))</x:f>
        <x:v>#NAME?</x:v>
      </x:c>
      <x:c r="I5" s="58" t="e">
        <x:f>IF(H5="","",INDEX(等级配置!$B$4:$B$103,H5))</x:f>
        <x:v>#NAME?</x:v>
      </x:c>
      <x:c r="J5" s="58" t="e">
        <x:f>IF(AND(D5="当前已婚",G5&lt;参数与口径!$E$6),"存量兼容Lv1",IF(G5&gt;=等级配置!$C$103,"Lv100溢出","正常"))</x:f>
        <x:v>#NAME?</x:v>
      </x:c>
      <x:c r="K5" s="20" t="str">
        <x:f t="shared" si="0"/>
      </x:c>
    </x:row>
    <x:row r="6" ht="17">
      <x:c r="A6" s="58" t="s">
        <x:v>28</x:v>
      </x:c>
      <x:c r="B6" s="58" t="s">
        <x:v>29</x:v>
      </x:c>
      <x:c r="C6" s="58" t="s">
        <x:v>30</x:v>
      </x:c>
      <x:c r="D6" s="58" t="s">
        <x:v>14</x:v>
      </x:c>
      <x:c r="E6" s="18" t="s">
        <x:v>31</x:v>
      </x:c>
      <x:c r="F6" s="18"/>
      <x:c r="G6" s="126">
        <x:v>1564565</x:v>
      </x:c>
      <x:c r="H6" s="126" t="e">
        <x:f>IF(G6="","",IF(G6&lt;参数与口径!$E$6,1,MATCH(G6,等级配置!$C$4:$C$103,1)))</x:f>
        <x:v>#NAME?</x:v>
      </x:c>
      <x:c r="I6" s="58" t="e">
        <x:f>IF(H6="","",INDEX(等级配置!$B$4:$B$103,H6))</x:f>
        <x:v>#NAME?</x:v>
      </x:c>
      <x:c r="J6" s="58" t="e">
        <x:f>IF(AND(D6="当前已婚",G6&lt;参数与口径!$E$6),"存量兼容Lv1",IF(G6&gt;=等级配置!$C$103,"Lv100溢出","正常"))</x:f>
        <x:v>#NAME?</x:v>
      </x:c>
      <x:c r="K6" s="20" t="str">
        <x:f t="shared" si="0"/>
      </x:c>
    </x:row>
    <x:row r="7" ht="17">
      <x:c r="A7" s="58" t="s">
        <x:v>32</x:v>
      </x:c>
      <x:c r="B7" s="58" t="s">
        <x:v>33</x:v>
      </x:c>
      <x:c r="C7" s="58" t="s">
        <x:v>34</x:v>
      </x:c>
      <x:c r="D7" s="58" t="s">
        <x:v>14</x:v>
      </x:c>
      <x:c r="E7" s="18" t="s">
        <x:v>35</x:v>
      </x:c>
      <x:c r="F7" s="18"/>
      <x:c r="G7" s="126">
        <x:v>1211329</x:v>
      </x:c>
      <x:c r="H7" s="126" t="e">
        <x:f>IF(G7="","",IF(G7&lt;参数与口径!$E$6,1,MATCH(G7,等级配置!$C$4:$C$103,1)))</x:f>
        <x:v>#NAME?</x:v>
      </x:c>
      <x:c r="I7" s="58" t="e">
        <x:f>IF(H7="","",INDEX(等级配置!$B$4:$B$103,H7))</x:f>
        <x:v>#NAME?</x:v>
      </x:c>
      <x:c r="J7" s="58" t="e">
        <x:f>IF(AND(D7="当前已婚",G7&lt;参数与口径!$E$6),"存量兼容Lv1",IF(G7&gt;=等级配置!$C$103,"Lv100溢出","正常"))</x:f>
        <x:v>#NAME?</x:v>
      </x:c>
      <x:c r="K7" s="20" t="str">
        <x:f t="shared" si="0"/>
      </x:c>
    </x:row>
    <x:row r="8" ht="17">
      <x:c r="A8" s="58" t="s">
        <x:v>36</x:v>
      </x:c>
      <x:c r="B8" s="58" t="s">
        <x:v>37</x:v>
      </x:c>
      <x:c r="C8" s="58" t="s">
        <x:v>38</x:v>
      </x:c>
      <x:c r="D8" s="58" t="s">
        <x:v>14</x:v>
      </x:c>
      <x:c r="E8" s="18" t="s">
        <x:v>39</x:v>
      </x:c>
      <x:c r="F8" s="18"/>
      <x:c r="G8" s="126">
        <x:v>908557</x:v>
      </x:c>
      <x:c r="H8" s="126" t="e">
        <x:f>IF(G8="","",IF(G8&lt;参数与口径!$E$6,1,MATCH(G8,等级配置!$C$4:$C$103,1)))</x:f>
        <x:v>#NAME?</x:v>
      </x:c>
      <x:c r="I8" s="58" t="e">
        <x:f>IF(H8="","",INDEX(等级配置!$B$4:$B$103,H8))</x:f>
        <x:v>#NAME?</x:v>
      </x:c>
      <x:c r="J8" s="58" t="e">
        <x:f>IF(AND(D8="当前已婚",G8&lt;参数与口径!$E$6),"存量兼容Lv1",IF(G8&gt;=等级配置!$C$103,"Lv100溢出","正常"))</x:f>
        <x:v>#NAME?</x:v>
      </x:c>
      <x:c r="K8" s="20" t="str">
        <x:f t="shared" si="0"/>
      </x:c>
    </x:row>
    <x:row r="9" ht="17">
      <x:c r="A9" s="58" t="s">
        <x:v>40</x:v>
      </x:c>
      <x:c r="B9" s="58" t="s">
        <x:v>41</x:v>
      </x:c>
      <x:c r="C9" s="58" t="s">
        <x:v>42</x:v>
      </x:c>
      <x:c r="D9" s="58" t="s">
        <x:v>14</x:v>
      </x:c>
      <x:c r="E9" s="18" t="s">
        <x:v>43</x:v>
      </x:c>
      <x:c r="F9" s="18" t="s">
        <x:v>44</x:v>
      </x:c>
      <x:c r="G9" s="126">
        <x:v>777642</x:v>
      </x:c>
      <x:c r="H9" s="126" t="e">
        <x:f>IF(G9="","",IF(G9&lt;参数与口径!$E$6,1,MATCH(G9,等级配置!$C$4:$C$103,1)))</x:f>
        <x:v>#NAME?</x:v>
      </x:c>
      <x:c r="I9" s="58" t="e">
        <x:f>IF(H9="","",INDEX(等级配置!$B$4:$B$103,H9))</x:f>
        <x:v>#NAME?</x:v>
      </x:c>
      <x:c r="J9" s="58" t="e">
        <x:f>IF(AND(D9="当前已婚",G9&lt;参数与口径!$E$6),"存量兼容Lv1",IF(G9&gt;=等级配置!$C$103,"Lv100溢出","正常"))</x:f>
        <x:v>#NAME?</x:v>
      </x:c>
      <x:c r="K9" s="20" t="str">
        <x:f t="shared" si="0"/>
        <x:v>当前已婚但存在离婚日期</x:v>
      </x:c>
    </x:row>
    <x:row r="10" ht="17">
      <x:c r="A10" s="58" t="s">
        <x:v>45</x:v>
      </x:c>
      <x:c r="B10" s="58" t="s">
        <x:v>46</x:v>
      </x:c>
      <x:c r="C10" s="58" t="s">
        <x:v>47</x:v>
      </x:c>
      <x:c r="D10" s="58" t="s">
        <x:v>14</x:v>
      </x:c>
      <x:c r="E10" s="18" t="s">
        <x:v>48</x:v>
      </x:c>
      <x:c r="F10" s="18"/>
      <x:c r="G10" s="126">
        <x:v>748304</x:v>
      </x:c>
      <x:c r="H10" s="126" t="e">
        <x:f>IF(G10="","",IF(G10&lt;参数与口径!$E$6,1,MATCH(G10,等级配置!$C$4:$C$103,1)))</x:f>
        <x:v>#NAME?</x:v>
      </x:c>
      <x:c r="I10" s="58" t="e">
        <x:f>IF(H10="","",INDEX(等级配置!$B$4:$B$103,H10))</x:f>
        <x:v>#NAME?</x:v>
      </x:c>
      <x:c r="J10" s="58" t="e">
        <x:f>IF(AND(D10="当前已婚",G10&lt;参数与口径!$E$6),"存量兼容Lv1",IF(G10&gt;=等级配置!$C$103,"Lv100溢出","正常"))</x:f>
        <x:v>#NAME?</x:v>
      </x:c>
      <x:c r="K10" s="20" t="str">
        <x:f t="shared" si="0"/>
      </x:c>
    </x:row>
    <x:row r="11" ht="17">
      <x:c r="A11" s="58" t="s">
        <x:v>49</x:v>
      </x:c>
      <x:c r="B11" s="58" t="s">
        <x:v>50</x:v>
      </x:c>
      <x:c r="C11" s="58" t="s">
        <x:v>51</x:v>
      </x:c>
      <x:c r="D11" s="58" t="s">
        <x:v>14</x:v>
      </x:c>
      <x:c r="E11" s="18" t="s">
        <x:v>52</x:v>
      </x:c>
      <x:c r="F11" s="18"/>
      <x:c r="G11" s="126">
        <x:v>684244</x:v>
      </x:c>
      <x:c r="H11" s="126" t="e">
        <x:f>IF(G11="","",IF(G11&lt;参数与口径!$E$6,1,MATCH(G11,等级配置!$C$4:$C$103,1)))</x:f>
        <x:v>#NAME?</x:v>
      </x:c>
      <x:c r="I11" s="58" t="e">
        <x:f>IF(H11="","",INDEX(等级配置!$B$4:$B$103,H11))</x:f>
        <x:v>#NAME?</x:v>
      </x:c>
      <x:c r="J11" s="58" t="e">
        <x:f>IF(AND(D11="当前已婚",G11&lt;参数与口径!$E$6),"存量兼容Lv1",IF(G11&gt;=等级配置!$C$103,"Lv100溢出","正常"))</x:f>
        <x:v>#NAME?</x:v>
      </x:c>
      <x:c r="K11" s="20" t="str">
        <x:f t="shared" si="0"/>
      </x:c>
    </x:row>
    <x:row r="12" ht="17">
      <x:c r="A12" s="58" t="s">
        <x:v>53</x:v>
      </x:c>
      <x:c r="B12" s="58" t="s">
        <x:v>54</x:v>
      </x:c>
      <x:c r="C12" s="58" t="s">
        <x:v>55</x:v>
      </x:c>
      <x:c r="D12" s="58" t="s">
        <x:v>14</x:v>
      </x:c>
      <x:c r="E12" s="18" t="s">
        <x:v>56</x:v>
      </x:c>
      <x:c r="F12" s="18"/>
      <x:c r="G12" s="126">
        <x:v>596025</x:v>
      </x:c>
      <x:c r="H12" s="126" t="e">
        <x:f>IF(G12="","",IF(G12&lt;参数与口径!$E$6,1,MATCH(G12,等级配置!$C$4:$C$103,1)))</x:f>
        <x:v>#NAME?</x:v>
      </x:c>
      <x:c r="I12" s="58" t="e">
        <x:f>IF(H12="","",INDEX(等级配置!$B$4:$B$103,H12))</x:f>
        <x:v>#NAME?</x:v>
      </x:c>
      <x:c r="J12" s="58" t="e">
        <x:f>IF(AND(D12="当前已婚",G12&lt;参数与口径!$E$6),"存量兼容Lv1",IF(G12&gt;=等级配置!$C$103,"Lv100溢出","正常"))</x:f>
        <x:v>#NAME?</x:v>
      </x:c>
      <x:c r="K12" s="20" t="str">
        <x:f t="shared" si="0"/>
      </x:c>
    </x:row>
    <x:row r="13" ht="17">
      <x:c r="A13" s="58" t="s">
        <x:v>57</x:v>
      </x:c>
      <x:c r="B13" s="58" t="s">
        <x:v>58</x:v>
      </x:c>
      <x:c r="C13" s="58" t="s">
        <x:v>59</x:v>
      </x:c>
      <x:c r="D13" s="58" t="s">
        <x:v>14</x:v>
      </x:c>
      <x:c r="E13" s="18" t="s">
        <x:v>60</x:v>
      </x:c>
      <x:c r="F13" s="18"/>
      <x:c r="G13" s="126">
        <x:v>480693</x:v>
      </x:c>
      <x:c r="H13" s="126" t="e">
        <x:f>IF(G13="","",IF(G13&lt;参数与口径!$E$6,1,MATCH(G13,等级配置!$C$4:$C$103,1)))</x:f>
        <x:v>#NAME?</x:v>
      </x:c>
      <x:c r="I13" s="58" t="e">
        <x:f>IF(H13="","",INDEX(等级配置!$B$4:$B$103,H13))</x:f>
        <x:v>#NAME?</x:v>
      </x:c>
      <x:c r="J13" s="58" t="e">
        <x:f>IF(AND(D13="当前已婚",G13&lt;参数与口径!$E$6),"存量兼容Lv1",IF(G13&gt;=等级配置!$C$103,"Lv100溢出","正常"))</x:f>
        <x:v>#NAME?</x:v>
      </x:c>
      <x:c r="K13" s="20" t="str">
        <x:f t="shared" si="0"/>
      </x:c>
    </x:row>
    <x:row r="14" ht="17">
      <x:c r="A14" s="58" t="s">
        <x:v>61</x:v>
      </x:c>
      <x:c r="B14" s="58" t="s">
        <x:v>62</x:v>
      </x:c>
      <x:c r="C14" s="58" t="s">
        <x:v>63</x:v>
      </x:c>
      <x:c r="D14" s="58" t="s">
        <x:v>14</x:v>
      </x:c>
      <x:c r="E14" s="18" t="s">
        <x:v>64</x:v>
      </x:c>
      <x:c r="F14" s="18" t="s">
        <x:v>65</x:v>
      </x:c>
      <x:c r="G14" s="126">
        <x:v>462373</x:v>
      </x:c>
      <x:c r="H14" s="126" t="e">
        <x:f>IF(G14="","",IF(G14&lt;参数与口径!$E$6,1,MATCH(G14,等级配置!$C$4:$C$103,1)))</x:f>
        <x:v>#NAME?</x:v>
      </x:c>
      <x:c r="I14" s="58" t="e">
        <x:f>IF(H14="","",INDEX(等级配置!$B$4:$B$103,H14))</x:f>
        <x:v>#NAME?</x:v>
      </x:c>
      <x:c r="J14" s="58" t="e">
        <x:f>IF(AND(D14="当前已婚",G14&lt;参数与口径!$E$6),"存量兼容Lv1",IF(G14&gt;=等级配置!$C$103,"Lv100溢出","正常"))</x:f>
        <x:v>#NAME?</x:v>
      </x:c>
      <x:c r="K14" s="20" t="str">
        <x:f t="shared" si="0"/>
        <x:v>当前已婚但存在离婚日期</x:v>
      </x:c>
    </x:row>
    <x:row r="15" ht="17">
      <x:c r="A15" s="58" t="s">
        <x:v>66</x:v>
      </x:c>
      <x:c r="B15" s="58" t="s">
        <x:v>67</x:v>
      </x:c>
      <x:c r="C15" s="58" t="s">
        <x:v>68</x:v>
      </x:c>
      <x:c r="D15" s="58" t="s">
        <x:v>14</x:v>
      </x:c>
      <x:c r="E15" s="18" t="s">
        <x:v>69</x:v>
      </x:c>
      <x:c r="F15" s="18"/>
      <x:c r="G15" s="126">
        <x:v>409659</x:v>
      </x:c>
      <x:c r="H15" s="126" t="e">
        <x:f>IF(G15="","",IF(G15&lt;参数与口径!$E$6,1,MATCH(G15,等级配置!$C$4:$C$103,1)))</x:f>
        <x:v>#NAME?</x:v>
      </x:c>
      <x:c r="I15" s="58" t="e">
        <x:f>IF(H15="","",INDEX(等级配置!$B$4:$B$103,H15))</x:f>
        <x:v>#NAME?</x:v>
      </x:c>
      <x:c r="J15" s="58" t="e">
        <x:f>IF(AND(D15="当前已婚",G15&lt;参数与口径!$E$6),"存量兼容Lv1",IF(G15&gt;=等级配置!$C$103,"Lv100溢出","正常"))</x:f>
        <x:v>#NAME?</x:v>
      </x:c>
      <x:c r="K15" s="20" t="str">
        <x:f t="shared" si="0"/>
      </x:c>
    </x:row>
    <x:row r="16" ht="17">
      <x:c r="A16" s="58" t="s">
        <x:v>70</x:v>
      </x:c>
      <x:c r="B16" s="58" t="s">
        <x:v>71</x:v>
      </x:c>
      <x:c r="C16" s="58" t="s">
        <x:v>72</x:v>
      </x:c>
      <x:c r="D16" s="58" t="s">
        <x:v>14</x:v>
      </x:c>
      <x:c r="E16" s="18" t="s">
        <x:v>73</x:v>
      </x:c>
      <x:c r="F16" s="18" t="s">
        <x:v>74</x:v>
      </x:c>
      <x:c r="G16" s="126">
        <x:v>406393</x:v>
      </x:c>
      <x:c r="H16" s="126" t="e">
        <x:f>IF(G16="","",IF(G16&lt;参数与口径!$E$6,1,MATCH(G16,等级配置!$C$4:$C$103,1)))</x:f>
        <x:v>#NAME?</x:v>
      </x:c>
      <x:c r="I16" s="58" t="e">
        <x:f>IF(H16="","",INDEX(等级配置!$B$4:$B$103,H16))</x:f>
        <x:v>#NAME?</x:v>
      </x:c>
      <x:c r="J16" s="58" t="e">
        <x:f>IF(AND(D16="当前已婚",G16&lt;参数与口径!$E$6),"存量兼容Lv1",IF(G16&gt;=等级配置!$C$103,"Lv100溢出","正常"))</x:f>
        <x:v>#NAME?</x:v>
      </x:c>
      <x:c r="K16" s="20" t="str">
        <x:f t="shared" si="0"/>
        <x:v>当前已婚但存在离婚日期</x:v>
      </x:c>
    </x:row>
    <x:row r="17" ht="17">
      <x:c r="A17" s="58" t="s">
        <x:v>75</x:v>
      </x:c>
      <x:c r="B17" s="58" t="s">
        <x:v>76</x:v>
      </x:c>
      <x:c r="C17" s="58" t="s">
        <x:v>77</x:v>
      </x:c>
      <x:c r="D17" s="58" t="s">
        <x:v>14</x:v>
      </x:c>
      <x:c r="E17" s="18" t="s">
        <x:v>78</x:v>
      </x:c>
      <x:c r="F17" s="18"/>
      <x:c r="G17" s="126">
        <x:v>383740</x:v>
      </x:c>
      <x:c r="H17" s="126" t="e">
        <x:f>IF(G17="","",IF(G17&lt;参数与口径!$E$6,1,MATCH(G17,等级配置!$C$4:$C$103,1)))</x:f>
        <x:v>#NAME?</x:v>
      </x:c>
      <x:c r="I17" s="58" t="e">
        <x:f>IF(H17="","",INDEX(等级配置!$B$4:$B$103,H17))</x:f>
        <x:v>#NAME?</x:v>
      </x:c>
      <x:c r="J17" s="58" t="e">
        <x:f>IF(AND(D17="当前已婚",G17&lt;参数与口径!$E$6),"存量兼容Lv1",IF(G17&gt;=等级配置!$C$103,"Lv100溢出","正常"))</x:f>
        <x:v>#NAME?</x:v>
      </x:c>
      <x:c r="K17" s="20" t="str">
        <x:f t="shared" si="0"/>
      </x:c>
    </x:row>
    <x:row r="18" ht="17">
      <x:c r="A18" s="58" t="s">
        <x:v>79</x:v>
      </x:c>
      <x:c r="B18" s="58" t="s">
        <x:v>80</x:v>
      </x:c>
      <x:c r="C18" s="58" t="s">
        <x:v>81</x:v>
      </x:c>
      <x:c r="D18" s="58" t="s">
        <x:v>14</x:v>
      </x:c>
      <x:c r="E18" s="18" t="s">
        <x:v>82</x:v>
      </x:c>
      <x:c r="F18" s="18"/>
      <x:c r="G18" s="126">
        <x:v>339585</x:v>
      </x:c>
      <x:c r="H18" s="126" t="e">
        <x:f>IF(G18="","",IF(G18&lt;参数与口径!$E$6,1,MATCH(G18,等级配置!$C$4:$C$103,1)))</x:f>
        <x:v>#NAME?</x:v>
      </x:c>
      <x:c r="I18" s="58" t="e">
        <x:f>IF(H18="","",INDEX(等级配置!$B$4:$B$103,H18))</x:f>
        <x:v>#NAME?</x:v>
      </x:c>
      <x:c r="J18" s="58" t="e">
        <x:f>IF(AND(D18="当前已婚",G18&lt;参数与口径!$E$6),"存量兼容Lv1",IF(G18&gt;=等级配置!$C$103,"Lv100溢出","正常"))</x:f>
        <x:v>#NAME?</x:v>
      </x:c>
      <x:c r="K18" s="20" t="str">
        <x:f t="shared" si="0"/>
      </x:c>
    </x:row>
    <x:row r="19" ht="17">
      <x:c r="A19" s="58" t="s">
        <x:v>83</x:v>
      </x:c>
      <x:c r="B19" s="58" t="s">
        <x:v>84</x:v>
      </x:c>
      <x:c r="C19" s="58" t="s">
        <x:v>85</x:v>
      </x:c>
      <x:c r="D19" s="58" t="s">
        <x:v>14</x:v>
      </x:c>
      <x:c r="E19" s="18" t="s">
        <x:v>86</x:v>
      </x:c>
      <x:c r="F19" s="18"/>
      <x:c r="G19" s="126">
        <x:v>335818</x:v>
      </x:c>
      <x:c r="H19" s="126" t="e">
        <x:f>IF(G19="","",IF(G19&lt;参数与口径!$E$6,1,MATCH(G19,等级配置!$C$4:$C$103,1)))</x:f>
        <x:v>#NAME?</x:v>
      </x:c>
      <x:c r="I19" s="58" t="e">
        <x:f>IF(H19="","",INDEX(等级配置!$B$4:$B$103,H19))</x:f>
        <x:v>#NAME?</x:v>
      </x:c>
      <x:c r="J19" s="58" t="e">
        <x:f>IF(AND(D19="当前已婚",G19&lt;参数与口径!$E$6),"存量兼容Lv1",IF(G19&gt;=等级配置!$C$103,"Lv100溢出","正常"))</x:f>
        <x:v>#NAME?</x:v>
      </x:c>
      <x:c r="K19" s="20" t="str">
        <x:f t="shared" si="0"/>
      </x:c>
    </x:row>
    <x:row r="20" ht="17">
      <x:c r="A20" s="58" t="s">
        <x:v>87</x:v>
      </x:c>
      <x:c r="B20" s="58" t="s">
        <x:v>88</x:v>
      </x:c>
      <x:c r="C20" s="58" t="s">
        <x:v>89</x:v>
      </x:c>
      <x:c r="D20" s="58" t="s">
        <x:v>14</x:v>
      </x:c>
      <x:c r="E20" s="18" t="s">
        <x:v>90</x:v>
      </x:c>
      <x:c r="F20" s="18"/>
      <x:c r="G20" s="126">
        <x:v>310190</x:v>
      </x:c>
      <x:c r="H20" s="126" t="e">
        <x:f>IF(G20="","",IF(G20&lt;参数与口径!$E$6,1,MATCH(G20,等级配置!$C$4:$C$103,1)))</x:f>
        <x:v>#NAME?</x:v>
      </x:c>
      <x:c r="I20" s="58" t="e">
        <x:f>IF(H20="","",INDEX(等级配置!$B$4:$B$103,H20))</x:f>
        <x:v>#NAME?</x:v>
      </x:c>
      <x:c r="J20" s="58" t="e">
        <x:f>IF(AND(D20="当前已婚",G20&lt;参数与口径!$E$6),"存量兼容Lv1",IF(G20&gt;=等级配置!$C$103,"Lv100溢出","正常"))</x:f>
        <x:v>#NAME?</x:v>
      </x:c>
      <x:c r="K20" s="20" t="str">
        <x:f t="shared" si="0"/>
      </x:c>
    </x:row>
    <x:row r="21" ht="17">
      <x:c r="A21" s="58" t="s">
        <x:v>91</x:v>
      </x:c>
      <x:c r="B21" s="58" t="s">
        <x:v>92</x:v>
      </x:c>
      <x:c r="C21" s="58" t="s">
        <x:v>93</x:v>
      </x:c>
      <x:c r="D21" s="58" t="s">
        <x:v>14</x:v>
      </x:c>
      <x:c r="E21" s="18" t="s">
        <x:v>94</x:v>
      </x:c>
      <x:c r="F21" s="18"/>
      <x:c r="G21" s="126">
        <x:v>293216</x:v>
      </x:c>
      <x:c r="H21" s="126" t="e">
        <x:f>IF(G21="","",IF(G21&lt;参数与口径!$E$6,1,MATCH(G21,等级配置!$C$4:$C$103,1)))</x:f>
        <x:v>#NAME?</x:v>
      </x:c>
      <x:c r="I21" s="58" t="e">
        <x:f>IF(H21="","",INDEX(等级配置!$B$4:$B$103,H21))</x:f>
        <x:v>#NAME?</x:v>
      </x:c>
      <x:c r="J21" s="58" t="e">
        <x:f>IF(AND(D21="当前已婚",G21&lt;参数与口径!$E$6),"存量兼容Lv1",IF(G21&gt;=等级配置!$C$103,"Lv100溢出","正常"))</x:f>
        <x:v>#NAME?</x:v>
      </x:c>
      <x:c r="K21" s="20" t="str">
        <x:f t="shared" si="0"/>
      </x:c>
    </x:row>
    <x:row r="22" ht="17">
      <x:c r="A22" s="58" t="s">
        <x:v>95</x:v>
      </x:c>
      <x:c r="B22" s="58" t="s">
        <x:v>96</x:v>
      </x:c>
      <x:c r="C22" s="58" t="s">
        <x:v>97</x:v>
      </x:c>
      <x:c r="D22" s="58" t="s">
        <x:v>14</x:v>
      </x:c>
      <x:c r="E22" s="18" t="s">
        <x:v>98</x:v>
      </x:c>
      <x:c r="F22" s="18"/>
      <x:c r="G22" s="126">
        <x:v>291871</x:v>
      </x:c>
      <x:c r="H22" s="126" t="e">
        <x:f>IF(G22="","",IF(G22&lt;参数与口径!$E$6,1,MATCH(G22,等级配置!$C$4:$C$103,1)))</x:f>
        <x:v>#NAME?</x:v>
      </x:c>
      <x:c r="I22" s="58" t="e">
        <x:f>IF(H22="","",INDEX(等级配置!$B$4:$B$103,H22))</x:f>
        <x:v>#NAME?</x:v>
      </x:c>
      <x:c r="J22" s="58" t="e">
        <x:f>IF(AND(D22="当前已婚",G22&lt;参数与口径!$E$6),"存量兼容Lv1",IF(G22&gt;=等级配置!$C$103,"Lv100溢出","正常"))</x:f>
        <x:v>#NAME?</x:v>
      </x:c>
      <x:c r="K22" s="20" t="str">
        <x:f t="shared" si="0"/>
      </x:c>
    </x:row>
    <x:row r="23" ht="17">
      <x:c r="A23" s="58" t="s">
        <x:v>99</x:v>
      </x:c>
      <x:c r="B23" s="58" t="s">
        <x:v>100</x:v>
      </x:c>
      <x:c r="C23" s="58" t="s">
        <x:v>101</x:v>
      </x:c>
      <x:c r="D23" s="58" t="s">
        <x:v>14</x:v>
      </x:c>
      <x:c r="E23" s="18" t="s">
        <x:v>102</x:v>
      </x:c>
      <x:c r="F23" s="18"/>
      <x:c r="G23" s="126">
        <x:v>289441</x:v>
      </x:c>
      <x:c r="H23" s="126" t="e">
        <x:f>IF(G23="","",IF(G23&lt;参数与口径!$E$6,1,MATCH(G23,等级配置!$C$4:$C$103,1)))</x:f>
        <x:v>#NAME?</x:v>
      </x:c>
      <x:c r="I23" s="58" t="e">
        <x:f>IF(H23="","",INDEX(等级配置!$B$4:$B$103,H23))</x:f>
        <x:v>#NAME?</x:v>
      </x:c>
      <x:c r="J23" s="58" t="e">
        <x:f>IF(AND(D23="当前已婚",G23&lt;参数与口径!$E$6),"存量兼容Lv1",IF(G23&gt;=等级配置!$C$103,"Lv100溢出","正常"))</x:f>
        <x:v>#NAME?</x:v>
      </x:c>
      <x:c r="K23" s="20" t="str">
        <x:f t="shared" si="0"/>
      </x:c>
    </x:row>
    <x:row r="24" ht="17">
      <x:c r="A24" s="58" t="s">
        <x:v>103</x:v>
      </x:c>
      <x:c r="B24" s="58" t="s">
        <x:v>104</x:v>
      </x:c>
      <x:c r="C24" s="58" t="s">
        <x:v>105</x:v>
      </x:c>
      <x:c r="D24" s="58" t="s">
        <x:v>14</x:v>
      </x:c>
      <x:c r="E24" s="18" t="s">
        <x:v>106</x:v>
      </x:c>
      <x:c r="F24" s="18"/>
      <x:c r="G24" s="126">
        <x:v>276208</x:v>
      </x:c>
      <x:c r="H24" s="126" t="e">
        <x:f>IF(G24="","",IF(G24&lt;参数与口径!$E$6,1,MATCH(G24,等级配置!$C$4:$C$103,1)))</x:f>
        <x:v>#NAME?</x:v>
      </x:c>
      <x:c r="I24" s="58" t="e">
        <x:f>IF(H24="","",INDEX(等级配置!$B$4:$B$103,H24))</x:f>
        <x:v>#NAME?</x:v>
      </x:c>
      <x:c r="J24" s="58" t="e">
        <x:f>IF(AND(D24="当前已婚",G24&lt;参数与口径!$E$6),"存量兼容Lv1",IF(G24&gt;=等级配置!$C$103,"Lv100溢出","正常"))</x:f>
        <x:v>#NAME?</x:v>
      </x:c>
      <x:c r="K24" s="20" t="str">
        <x:f t="shared" si="0"/>
      </x:c>
    </x:row>
    <x:row r="25" ht="17">
      <x:c r="A25" s="58" t="s">
        <x:v>107</x:v>
      </x:c>
      <x:c r="B25" s="58" t="s">
        <x:v>108</x:v>
      </x:c>
      <x:c r="C25" s="58" t="s">
        <x:v>109</x:v>
      </x:c>
      <x:c r="D25" s="58" t="s">
        <x:v>14</x:v>
      </x:c>
      <x:c r="E25" s="18" t="s">
        <x:v>110</x:v>
      </x:c>
      <x:c r="F25" s="18"/>
      <x:c r="G25" s="126">
        <x:v>269237</x:v>
      </x:c>
      <x:c r="H25" s="126" t="e">
        <x:f>IF(G25="","",IF(G25&lt;参数与口径!$E$6,1,MATCH(G25,等级配置!$C$4:$C$103,1)))</x:f>
        <x:v>#NAME?</x:v>
      </x:c>
      <x:c r="I25" s="58" t="e">
        <x:f>IF(H25="","",INDEX(等级配置!$B$4:$B$103,H25))</x:f>
        <x:v>#NAME?</x:v>
      </x:c>
      <x:c r="J25" s="58" t="e">
        <x:f>IF(AND(D25="当前已婚",G25&lt;参数与口径!$E$6),"存量兼容Lv1",IF(G25&gt;=等级配置!$C$103,"Lv100溢出","正常"))</x:f>
        <x:v>#NAME?</x:v>
      </x:c>
      <x:c r="K25" s="20" t="str">
        <x:f t="shared" si="0"/>
      </x:c>
    </x:row>
    <x:row r="26" ht="17">
      <x:c r="A26" s="58" t="s">
        <x:v>111</x:v>
      </x:c>
      <x:c r="B26" s="58" t="s">
        <x:v>112</x:v>
      </x:c>
      <x:c r="C26" s="58" t="s">
        <x:v>113</x:v>
      </x:c>
      <x:c r="D26" s="58" t="s">
        <x:v>14</x:v>
      </x:c>
      <x:c r="E26" s="18" t="s">
        <x:v>114</x:v>
      </x:c>
      <x:c r="F26" s="18"/>
      <x:c r="G26" s="126">
        <x:v>262833</x:v>
      </x:c>
      <x:c r="H26" s="126" t="e">
        <x:f>IF(G26="","",IF(G26&lt;参数与口径!$E$6,1,MATCH(G26,等级配置!$C$4:$C$103,1)))</x:f>
        <x:v>#NAME?</x:v>
      </x:c>
      <x:c r="I26" s="58" t="e">
        <x:f>IF(H26="","",INDEX(等级配置!$B$4:$B$103,H26))</x:f>
        <x:v>#NAME?</x:v>
      </x:c>
      <x:c r="J26" s="58" t="e">
        <x:f>IF(AND(D26="当前已婚",G26&lt;参数与口径!$E$6),"存量兼容Lv1",IF(G26&gt;=等级配置!$C$103,"Lv100溢出","正常"))</x:f>
        <x:v>#NAME?</x:v>
      </x:c>
      <x:c r="K26" s="20" t="str">
        <x:f t="shared" si="0"/>
      </x:c>
    </x:row>
    <x:row r="27" ht="17">
      <x:c r="A27" s="58" t="s">
        <x:v>115</x:v>
      </x:c>
      <x:c r="B27" s="58" t="s">
        <x:v>116</x:v>
      </x:c>
      <x:c r="C27" s="58" t="s">
        <x:v>117</x:v>
      </x:c>
      <x:c r="D27" s="58" t="s">
        <x:v>14</x:v>
      </x:c>
      <x:c r="E27" s="18" t="s">
        <x:v>118</x:v>
      </x:c>
      <x:c r="F27" s="18"/>
      <x:c r="G27" s="126">
        <x:v>246943</x:v>
      </x:c>
      <x:c r="H27" s="126" t="e">
        <x:f>IF(G27="","",IF(G27&lt;参数与口径!$E$6,1,MATCH(G27,等级配置!$C$4:$C$103,1)))</x:f>
        <x:v>#NAME?</x:v>
      </x:c>
      <x:c r="I27" s="58" t="e">
        <x:f>IF(H27="","",INDEX(等级配置!$B$4:$B$103,H27))</x:f>
        <x:v>#NAME?</x:v>
      </x:c>
      <x:c r="J27" s="58" t="e">
        <x:f>IF(AND(D27="当前已婚",G27&lt;参数与口径!$E$6),"存量兼容Lv1",IF(G27&gt;=等级配置!$C$103,"Lv100溢出","正常"))</x:f>
        <x:v>#NAME?</x:v>
      </x:c>
      <x:c r="K27" s="20" t="str">
        <x:f t="shared" si="0"/>
      </x:c>
    </x:row>
    <x:row r="28" ht="17">
      <x:c r="A28" s="58" t="s">
        <x:v>119</x:v>
      </x:c>
      <x:c r="B28" s="58" t="s">
        <x:v>120</x:v>
      </x:c>
      <x:c r="C28" s="58" t="s">
        <x:v>121</x:v>
      </x:c>
      <x:c r="D28" s="58" t="s">
        <x:v>14</x:v>
      </x:c>
      <x:c r="E28" s="18" t="s">
        <x:v>122</x:v>
      </x:c>
      <x:c r="F28" s="18"/>
      <x:c r="G28" s="126">
        <x:v>235250</x:v>
      </x:c>
      <x:c r="H28" s="126" t="e">
        <x:f>IF(G28="","",IF(G28&lt;参数与口径!$E$6,1,MATCH(G28,等级配置!$C$4:$C$103,1)))</x:f>
        <x:v>#NAME?</x:v>
      </x:c>
      <x:c r="I28" s="58" t="e">
        <x:f>IF(H28="","",INDEX(等级配置!$B$4:$B$103,H28))</x:f>
        <x:v>#NAME?</x:v>
      </x:c>
      <x:c r="J28" s="58" t="e">
        <x:f>IF(AND(D28="当前已婚",G28&lt;参数与口径!$E$6),"存量兼容Lv1",IF(G28&gt;=等级配置!$C$103,"Lv100溢出","正常"))</x:f>
        <x:v>#NAME?</x:v>
      </x:c>
      <x:c r="K28" s="20" t="str">
        <x:f t="shared" si="0"/>
      </x:c>
    </x:row>
    <x:row r="29" ht="17">
      <x:c r="A29" s="58" t="s">
        <x:v>123</x:v>
      </x:c>
      <x:c r="B29" s="58" t="s">
        <x:v>124</x:v>
      </x:c>
      <x:c r="C29" s="58" t="s">
        <x:v>125</x:v>
      </x:c>
      <x:c r="D29" s="58" t="s">
        <x:v>14</x:v>
      </x:c>
      <x:c r="E29" s="18" t="s">
        <x:v>126</x:v>
      </x:c>
      <x:c r="F29" s="18"/>
      <x:c r="G29" s="126">
        <x:v>228365</x:v>
      </x:c>
      <x:c r="H29" s="126" t="e">
        <x:f>IF(G29="","",IF(G29&lt;参数与口径!$E$6,1,MATCH(G29,等级配置!$C$4:$C$103,1)))</x:f>
        <x:v>#NAME?</x:v>
      </x:c>
      <x:c r="I29" s="58" t="e">
        <x:f>IF(H29="","",INDEX(等级配置!$B$4:$B$103,H29))</x:f>
        <x:v>#NAME?</x:v>
      </x:c>
      <x:c r="J29" s="58" t="e">
        <x:f>IF(AND(D29="当前已婚",G29&lt;参数与口径!$E$6),"存量兼容Lv1",IF(G29&gt;=等级配置!$C$103,"Lv100溢出","正常"))</x:f>
        <x:v>#NAME?</x:v>
      </x:c>
      <x:c r="K29" s="20" t="str">
        <x:f t="shared" si="0"/>
      </x:c>
    </x:row>
    <x:row r="30" ht="17">
      <x:c r="A30" s="58" t="s">
        <x:v>127</x:v>
      </x:c>
      <x:c r="B30" s="58" t="s">
        <x:v>128</x:v>
      </x:c>
      <x:c r="C30" s="58" t="s">
        <x:v>129</x:v>
      </x:c>
      <x:c r="D30" s="58" t="s">
        <x:v>14</x:v>
      </x:c>
      <x:c r="E30" s="18" t="s">
        <x:v>130</x:v>
      </x:c>
      <x:c r="F30" s="18"/>
      <x:c r="G30" s="126">
        <x:v>224748</x:v>
      </x:c>
      <x:c r="H30" s="126" t="e">
        <x:f>IF(G30="","",IF(G30&lt;参数与口径!$E$6,1,MATCH(G30,等级配置!$C$4:$C$103,1)))</x:f>
        <x:v>#NAME?</x:v>
      </x:c>
      <x:c r="I30" s="58" t="e">
        <x:f>IF(H30="","",INDEX(等级配置!$B$4:$B$103,H30))</x:f>
        <x:v>#NAME?</x:v>
      </x:c>
      <x:c r="J30" s="58" t="e">
        <x:f>IF(AND(D30="当前已婚",G30&lt;参数与口径!$E$6),"存量兼容Lv1",IF(G30&gt;=等级配置!$C$103,"Lv100溢出","正常"))</x:f>
        <x:v>#NAME?</x:v>
      </x:c>
      <x:c r="K30" s="20" t="str">
        <x:f t="shared" si="0"/>
      </x:c>
    </x:row>
    <x:row r="31" ht="17">
      <x:c r="A31" s="58" t="s">
        <x:v>131</x:v>
      </x:c>
      <x:c r="B31" s="58" t="s">
        <x:v>132</x:v>
      </x:c>
      <x:c r="C31" s="58" t="s">
        <x:v>133</x:v>
      </x:c>
      <x:c r="D31" s="58" t="s">
        <x:v>14</x:v>
      </x:c>
      <x:c r="E31" s="18" t="s">
        <x:v>134</x:v>
      </x:c>
      <x:c r="F31" s="18"/>
      <x:c r="G31" s="126">
        <x:v>221788</x:v>
      </x:c>
      <x:c r="H31" s="126" t="e">
        <x:f>IF(G31="","",IF(G31&lt;参数与口径!$E$6,1,MATCH(G31,等级配置!$C$4:$C$103,1)))</x:f>
        <x:v>#NAME?</x:v>
      </x:c>
      <x:c r="I31" s="58" t="e">
        <x:f>IF(H31="","",INDEX(等级配置!$B$4:$B$103,H31))</x:f>
        <x:v>#NAME?</x:v>
      </x:c>
      <x:c r="J31" s="58" t="e">
        <x:f>IF(AND(D31="当前已婚",G31&lt;参数与口径!$E$6),"存量兼容Lv1",IF(G31&gt;=等级配置!$C$103,"Lv100溢出","正常"))</x:f>
        <x:v>#NAME?</x:v>
      </x:c>
      <x:c r="K31" s="20" t="str">
        <x:f t="shared" si="0"/>
      </x:c>
    </x:row>
    <x:row r="32" ht="17">
      <x:c r="A32" s="58" t="s">
        <x:v>135</x:v>
      </x:c>
      <x:c r="B32" s="58" t="s">
        <x:v>136</x:v>
      </x:c>
      <x:c r="C32" s="58" t="s">
        <x:v>137</x:v>
      </x:c>
      <x:c r="D32" s="58" t="s">
        <x:v>14</x:v>
      </x:c>
      <x:c r="E32" s="18" t="s">
        <x:v>138</x:v>
      </x:c>
      <x:c r="F32" s="18" t="s">
        <x:v>139</x:v>
      </x:c>
      <x:c r="G32" s="126">
        <x:v>213939</x:v>
      </x:c>
      <x:c r="H32" s="126" t="e">
        <x:f>IF(G32="","",IF(G32&lt;参数与口径!$E$6,1,MATCH(G32,等级配置!$C$4:$C$103,1)))</x:f>
        <x:v>#NAME?</x:v>
      </x:c>
      <x:c r="I32" s="58" t="e">
        <x:f>IF(H32="","",INDEX(等级配置!$B$4:$B$103,H32))</x:f>
        <x:v>#NAME?</x:v>
      </x:c>
      <x:c r="J32" s="58" t="e">
        <x:f>IF(AND(D32="当前已婚",G32&lt;参数与口径!$E$6),"存量兼容Lv1",IF(G32&gt;=等级配置!$C$103,"Lv100溢出","正常"))</x:f>
        <x:v>#NAME?</x:v>
      </x:c>
      <x:c r="K32" s="20" t="str">
        <x:f t="shared" si="0"/>
        <x:v>当前已婚但存在离婚日期</x:v>
      </x:c>
    </x:row>
    <x:row r="33" ht="17">
      <x:c r="A33" s="58" t="s">
        <x:v>140</x:v>
      </x:c>
      <x:c r="B33" s="58" t="s">
        <x:v>141</x:v>
      </x:c>
      <x:c r="C33" s="58" t="s">
        <x:v>142</x:v>
      </x:c>
      <x:c r="D33" s="58" t="s">
        <x:v>14</x:v>
      </x:c>
      <x:c r="E33" s="18" t="s">
        <x:v>143</x:v>
      </x:c>
      <x:c r="F33" s="18"/>
      <x:c r="G33" s="126">
        <x:v>200470</x:v>
      </x:c>
      <x:c r="H33" s="126" t="e">
        <x:f>IF(G33="","",IF(G33&lt;参数与口径!$E$6,1,MATCH(G33,等级配置!$C$4:$C$103,1)))</x:f>
        <x:v>#NAME?</x:v>
      </x:c>
      <x:c r="I33" s="58" t="e">
        <x:f>IF(H33="","",INDEX(等级配置!$B$4:$B$103,H33))</x:f>
        <x:v>#NAME?</x:v>
      </x:c>
      <x:c r="J33" s="58" t="e">
        <x:f>IF(AND(D33="当前已婚",G33&lt;参数与口径!$E$6),"存量兼容Lv1",IF(G33&gt;=等级配置!$C$103,"Lv100溢出","正常"))</x:f>
        <x:v>#NAME?</x:v>
      </x:c>
      <x:c r="K33" s="20" t="str">
        <x:f t="shared" si="0"/>
      </x:c>
    </x:row>
    <x:row r="34" ht="17">
      <x:c r="A34" s="58" t="s">
        <x:v>144</x:v>
      </x:c>
      <x:c r="B34" s="58" t="s">
        <x:v>145</x:v>
      </x:c>
      <x:c r="C34" s="58" t="s">
        <x:v>146</x:v>
      </x:c>
      <x:c r="D34" s="58" t="s">
        <x:v>14</x:v>
      </x:c>
      <x:c r="E34" s="18" t="s">
        <x:v>147</x:v>
      </x:c>
      <x:c r="F34" s="18"/>
      <x:c r="G34" s="126">
        <x:v>193346</x:v>
      </x:c>
      <x:c r="H34" s="126" t="e">
        <x:f>IF(G34="","",IF(G34&lt;参数与口径!$E$6,1,MATCH(G34,等级配置!$C$4:$C$103,1)))</x:f>
        <x:v>#NAME?</x:v>
      </x:c>
      <x:c r="I34" s="58" t="e">
        <x:f>IF(H34="","",INDEX(等级配置!$B$4:$B$103,H34))</x:f>
        <x:v>#NAME?</x:v>
      </x:c>
      <x:c r="J34" s="58" t="e">
        <x:f>IF(AND(D34="当前已婚",G34&lt;参数与口径!$E$6),"存量兼容Lv1",IF(G34&gt;=等级配置!$C$103,"Lv100溢出","正常"))</x:f>
        <x:v>#NAME?</x:v>
      </x:c>
      <x:c r="K34" s="20" t="str">
        <x:f t="shared" si="0"/>
      </x:c>
    </x:row>
    <x:row r="35" ht="17">
      <x:c r="A35" s="58" t="s">
        <x:v>148</x:v>
      </x:c>
      <x:c r="B35" s="58" t="s">
        <x:v>149</x:v>
      </x:c>
      <x:c r="C35" s="58" t="s">
        <x:v>150</x:v>
      </x:c>
      <x:c r="D35" s="58" t="s">
        <x:v>14</x:v>
      </x:c>
      <x:c r="E35" s="18" t="s">
        <x:v>151</x:v>
      </x:c>
      <x:c r="F35" s="18"/>
      <x:c r="G35" s="126">
        <x:v>185839</x:v>
      </x:c>
      <x:c r="H35" s="126" t="e">
        <x:f>IF(G35="","",IF(G35&lt;参数与口径!$E$6,1,MATCH(G35,等级配置!$C$4:$C$103,1)))</x:f>
        <x:v>#NAME?</x:v>
      </x:c>
      <x:c r="I35" s="58" t="e">
        <x:f>IF(H35="","",INDEX(等级配置!$B$4:$B$103,H35))</x:f>
        <x:v>#NAME?</x:v>
      </x:c>
      <x:c r="J35" s="58" t="e">
        <x:f>IF(AND(D35="当前已婚",G35&lt;参数与口径!$E$6),"存量兼容Lv1",IF(G35&gt;=等级配置!$C$103,"Lv100溢出","正常"))</x:f>
        <x:v>#NAME?</x:v>
      </x:c>
      <x:c r="K35" s="20" t="str">
        <x:f t="shared" si="0"/>
      </x:c>
    </x:row>
    <x:row r="36" ht="17">
      <x:c r="A36" s="58" t="s">
        <x:v>152</x:v>
      </x:c>
      <x:c r="B36" s="58" t="s">
        <x:v>153</x:v>
      </x:c>
      <x:c r="C36" s="58" t="s">
        <x:v>154</x:v>
      </x:c>
      <x:c r="D36" s="58" t="s">
        <x:v>14</x:v>
      </x:c>
      <x:c r="E36" s="18" t="s">
        <x:v>155</x:v>
      </x:c>
      <x:c r="F36" s="18" t="s">
        <x:v>156</x:v>
      </x:c>
      <x:c r="G36" s="126">
        <x:v>151342</x:v>
      </x:c>
      <x:c r="H36" s="126" t="e">
        <x:f>IF(G36="","",IF(G36&lt;参数与口径!$E$6,1,MATCH(G36,等级配置!$C$4:$C$103,1)))</x:f>
        <x:v>#NAME?</x:v>
      </x:c>
      <x:c r="I36" s="58" t="e">
        <x:f>IF(H36="","",INDEX(等级配置!$B$4:$B$103,H36))</x:f>
        <x:v>#NAME?</x:v>
      </x:c>
      <x:c r="J36" s="58" t="e">
        <x:f>IF(AND(D36="当前已婚",G36&lt;参数与口径!$E$6),"存量兼容Lv1",IF(G36&gt;=等级配置!$C$103,"Lv100溢出","正常"))</x:f>
        <x:v>#NAME?</x:v>
      </x:c>
      <x:c r="K36" s="20" t="str">
        <x:f t="shared" si="0"/>
        <x:v>当前已婚但存在离婚日期</x:v>
      </x:c>
    </x:row>
    <x:row r="37" ht="17">
      <x:c r="A37" s="58" t="s">
        <x:v>157</x:v>
      </x:c>
      <x:c r="B37" s="58" t="s">
        <x:v>158</x:v>
      </x:c>
      <x:c r="C37" s="58" t="s">
        <x:v>159</x:v>
      </x:c>
      <x:c r="D37" s="58" t="s">
        <x:v>14</x:v>
      </x:c>
      <x:c r="E37" s="18" t="s">
        <x:v>160</x:v>
      </x:c>
      <x:c r="F37" s="18"/>
      <x:c r="G37" s="126">
        <x:v>144955</x:v>
      </x:c>
      <x:c r="H37" s="126" t="e">
        <x:f>IF(G37="","",IF(G37&lt;参数与口径!$E$6,1,MATCH(G37,等级配置!$C$4:$C$103,1)))</x:f>
        <x:v>#NAME?</x:v>
      </x:c>
      <x:c r="I37" s="58" t="e">
        <x:f>IF(H37="","",INDEX(等级配置!$B$4:$B$103,H37))</x:f>
        <x:v>#NAME?</x:v>
      </x:c>
      <x:c r="J37" s="58" t="e">
        <x:f>IF(AND(D37="当前已婚",G37&lt;参数与口径!$E$6),"存量兼容Lv1",IF(G37&gt;=等级配置!$C$103,"Lv100溢出","正常"))</x:f>
        <x:v>#NAME?</x:v>
      </x:c>
      <x:c r="K37" s="20" t="str">
        <x:f t="shared" si="0"/>
      </x:c>
    </x:row>
    <x:row r="38" ht="17">
      <x:c r="A38" s="58" t="s">
        <x:v>161</x:v>
      </x:c>
      <x:c r="B38" s="58" t="s">
        <x:v>162</x:v>
      </x:c>
      <x:c r="C38" s="58" t="s">
        <x:v>163</x:v>
      </x:c>
      <x:c r="D38" s="58" t="s">
        <x:v>14</x:v>
      </x:c>
      <x:c r="E38" s="18" t="s">
        <x:v>164</x:v>
      </x:c>
      <x:c r="F38" s="18"/>
      <x:c r="G38" s="126">
        <x:v>137973</x:v>
      </x:c>
      <x:c r="H38" s="126" t="e">
        <x:f>IF(G38="","",IF(G38&lt;参数与口径!$E$6,1,MATCH(G38,等级配置!$C$4:$C$103,1)))</x:f>
        <x:v>#NAME?</x:v>
      </x:c>
      <x:c r="I38" s="58" t="e">
        <x:f>IF(H38="","",INDEX(等级配置!$B$4:$B$103,H38))</x:f>
        <x:v>#NAME?</x:v>
      </x:c>
      <x:c r="J38" s="58" t="e">
        <x:f>IF(AND(D38="当前已婚",G38&lt;参数与口径!$E$6),"存量兼容Lv1",IF(G38&gt;=等级配置!$C$103,"Lv100溢出","正常"))</x:f>
        <x:v>#NAME?</x:v>
      </x:c>
      <x:c r="K38" s="20" t="str">
        <x:f t="shared" si="0"/>
      </x:c>
    </x:row>
    <x:row r="39" ht="17">
      <x:c r="A39" s="58" t="s">
        <x:v>165</x:v>
      </x:c>
      <x:c r="B39" s="58" t="s">
        <x:v>166</x:v>
      </x:c>
      <x:c r="C39" s="58" t="s">
        <x:v>167</x:v>
      </x:c>
      <x:c r="D39" s="58" t="s">
        <x:v>14</x:v>
      </x:c>
      <x:c r="E39" s="18" t="s">
        <x:v>168</x:v>
      </x:c>
      <x:c r="F39" s="18"/>
      <x:c r="G39" s="126">
        <x:v>131154</x:v>
      </x:c>
      <x:c r="H39" s="126" t="e">
        <x:f>IF(G39="","",IF(G39&lt;参数与口径!$E$6,1,MATCH(G39,等级配置!$C$4:$C$103,1)))</x:f>
        <x:v>#NAME?</x:v>
      </x:c>
      <x:c r="I39" s="58" t="e">
        <x:f>IF(H39="","",INDEX(等级配置!$B$4:$B$103,H39))</x:f>
        <x:v>#NAME?</x:v>
      </x:c>
      <x:c r="J39" s="58" t="e">
        <x:f>IF(AND(D39="当前已婚",G39&lt;参数与口径!$E$6),"存量兼容Lv1",IF(G39&gt;=等级配置!$C$103,"Lv100溢出","正常"))</x:f>
        <x:v>#NAME?</x:v>
      </x:c>
      <x:c r="K39" s="20" t="str">
        <x:f t="shared" si="0"/>
      </x:c>
    </x:row>
    <x:row r="40" ht="17">
      <x:c r="A40" s="58" t="s">
        <x:v>169</x:v>
      </x:c>
      <x:c r="B40" s="58" t="s">
        <x:v>170</x:v>
      </x:c>
      <x:c r="C40" s="58" t="s">
        <x:v>171</x:v>
      </x:c>
      <x:c r="D40" s="58" t="s">
        <x:v>14</x:v>
      </x:c>
      <x:c r="E40" s="18" t="s">
        <x:v>172</x:v>
      </x:c>
      <x:c r="F40" s="18"/>
      <x:c r="G40" s="126">
        <x:v>121113</x:v>
      </x:c>
      <x:c r="H40" s="126" t="e">
        <x:f>IF(G40="","",IF(G40&lt;参数与口径!$E$6,1,MATCH(G40,等级配置!$C$4:$C$103,1)))</x:f>
        <x:v>#NAME?</x:v>
      </x:c>
      <x:c r="I40" s="58" t="e">
        <x:f>IF(H40="","",INDEX(等级配置!$B$4:$B$103,H40))</x:f>
        <x:v>#NAME?</x:v>
      </x:c>
      <x:c r="J40" s="58" t="e">
        <x:f>IF(AND(D40="当前已婚",G40&lt;参数与口径!$E$6),"存量兼容Lv1",IF(G40&gt;=等级配置!$C$103,"Lv100溢出","正常"))</x:f>
        <x:v>#NAME?</x:v>
      </x:c>
      <x:c r="K40" s="20" t="str">
        <x:f t="shared" si="0"/>
      </x:c>
    </x:row>
    <x:row r="41" ht="17">
      <x:c r="A41" s="58" t="s">
        <x:v>173</x:v>
      </x:c>
      <x:c r="B41" s="58" t="s">
        <x:v>174</x:v>
      </x:c>
      <x:c r="C41" s="58" t="s">
        <x:v>175</x:v>
      </x:c>
      <x:c r="D41" s="58" t="s">
        <x:v>14</x:v>
      </x:c>
      <x:c r="E41" s="18" t="s">
        <x:v>176</x:v>
      </x:c>
      <x:c r="F41" s="18"/>
      <x:c r="G41" s="126">
        <x:v>119874</x:v>
      </x:c>
      <x:c r="H41" s="126" t="e">
        <x:f>IF(G41="","",IF(G41&lt;参数与口径!$E$6,1,MATCH(G41,等级配置!$C$4:$C$103,1)))</x:f>
        <x:v>#NAME?</x:v>
      </x:c>
      <x:c r="I41" s="58" t="e">
        <x:f>IF(H41="","",INDEX(等级配置!$B$4:$B$103,H41))</x:f>
        <x:v>#NAME?</x:v>
      </x:c>
      <x:c r="J41" s="58" t="e">
        <x:f>IF(AND(D41="当前已婚",G41&lt;参数与口径!$E$6),"存量兼容Lv1",IF(G41&gt;=等级配置!$C$103,"Lv100溢出","正常"))</x:f>
        <x:v>#NAME?</x:v>
      </x:c>
      <x:c r="K41" s="20" t="str">
        <x:f t="shared" si="0"/>
      </x:c>
    </x:row>
    <x:row r="42" ht="17">
      <x:c r="A42" s="58" t="s">
        <x:v>177</x:v>
      </x:c>
      <x:c r="B42" s="58" t="s">
        <x:v>178</x:v>
      </x:c>
      <x:c r="C42" s="58" t="s">
        <x:v>179</x:v>
      </x:c>
      <x:c r="D42" s="58" t="s">
        <x:v>14</x:v>
      </x:c>
      <x:c r="E42" s="18" t="s">
        <x:v>180</x:v>
      </x:c>
      <x:c r="F42" s="18"/>
      <x:c r="G42" s="126">
        <x:v>117553</x:v>
      </x:c>
      <x:c r="H42" s="126" t="e">
        <x:f>IF(G42="","",IF(G42&lt;参数与口径!$E$6,1,MATCH(G42,等级配置!$C$4:$C$103,1)))</x:f>
        <x:v>#NAME?</x:v>
      </x:c>
      <x:c r="I42" s="58" t="e">
        <x:f>IF(H42="","",INDEX(等级配置!$B$4:$B$103,H42))</x:f>
        <x:v>#NAME?</x:v>
      </x:c>
      <x:c r="J42" s="58" t="e">
        <x:f>IF(AND(D42="当前已婚",G42&lt;参数与口径!$E$6),"存量兼容Lv1",IF(G42&gt;=等级配置!$C$103,"Lv100溢出","正常"))</x:f>
        <x:v>#NAME?</x:v>
      </x:c>
      <x:c r="K42" s="20" t="str">
        <x:f t="shared" si="0"/>
      </x:c>
    </x:row>
    <x:row r="43" ht="17">
      <x:c r="A43" s="58" t="s">
        <x:v>181</x:v>
      </x:c>
      <x:c r="B43" s="58" t="s">
        <x:v>182</x:v>
      </x:c>
      <x:c r="C43" s="58" t="s">
        <x:v>183</x:v>
      </x:c>
      <x:c r="D43" s="58" t="s">
        <x:v>14</x:v>
      </x:c>
      <x:c r="E43" s="18" t="s">
        <x:v>184</x:v>
      </x:c>
      <x:c r="F43" s="18" t="s">
        <x:v>185</x:v>
      </x:c>
      <x:c r="G43" s="126">
        <x:v>117213</x:v>
      </x:c>
      <x:c r="H43" s="126" t="e">
        <x:f>IF(G43="","",IF(G43&lt;参数与口径!$E$6,1,MATCH(G43,等级配置!$C$4:$C$103,1)))</x:f>
        <x:v>#NAME?</x:v>
      </x:c>
      <x:c r="I43" s="58" t="e">
        <x:f>IF(H43="","",INDEX(等级配置!$B$4:$B$103,H43))</x:f>
        <x:v>#NAME?</x:v>
      </x:c>
      <x:c r="J43" s="58" t="e">
        <x:f>IF(AND(D43="当前已婚",G43&lt;参数与口径!$E$6),"存量兼容Lv1",IF(G43&gt;=等级配置!$C$103,"Lv100溢出","正常"))</x:f>
        <x:v>#NAME?</x:v>
      </x:c>
      <x:c r="K43" s="20" t="str">
        <x:f t="shared" si="0"/>
        <x:v>当前已婚但存在离婚日期</x:v>
      </x:c>
    </x:row>
    <x:row r="44" ht="17">
      <x:c r="A44" s="58" t="s">
        <x:v>186</x:v>
      </x:c>
      <x:c r="B44" s="58" t="s">
        <x:v>187</x:v>
      </x:c>
      <x:c r="C44" s="58" t="s">
        <x:v>188</x:v>
      </x:c>
      <x:c r="D44" s="58" t="s">
        <x:v>14</x:v>
      </x:c>
      <x:c r="E44" s="18" t="s">
        <x:v>189</x:v>
      </x:c>
      <x:c r="F44" s="18"/>
      <x:c r="G44" s="126">
        <x:v>116416</x:v>
      </x:c>
      <x:c r="H44" s="126" t="e">
        <x:f>IF(G44="","",IF(G44&lt;参数与口径!$E$6,1,MATCH(G44,等级配置!$C$4:$C$103,1)))</x:f>
        <x:v>#NAME?</x:v>
      </x:c>
      <x:c r="I44" s="58" t="e">
        <x:f>IF(H44="","",INDEX(等级配置!$B$4:$B$103,H44))</x:f>
        <x:v>#NAME?</x:v>
      </x:c>
      <x:c r="J44" s="58" t="e">
        <x:f>IF(AND(D44="当前已婚",G44&lt;参数与口径!$E$6),"存量兼容Lv1",IF(G44&gt;=等级配置!$C$103,"Lv100溢出","正常"))</x:f>
        <x:v>#NAME?</x:v>
      </x:c>
      <x:c r="K44" s="20" t="str">
        <x:f t="shared" si="0"/>
      </x:c>
    </x:row>
    <x:row r="45" ht="17">
      <x:c r="A45" s="58" t="s">
        <x:v>190</x:v>
      </x:c>
      <x:c r="B45" s="58" t="s">
        <x:v>191</x:v>
      </x:c>
      <x:c r="C45" s="58" t="s">
        <x:v>192</x:v>
      </x:c>
      <x:c r="D45" s="58" t="s">
        <x:v>14</x:v>
      </x:c>
      <x:c r="E45" s="18" t="s">
        <x:v>193</x:v>
      </x:c>
      <x:c r="F45" s="18"/>
      <x:c r="G45" s="126">
        <x:v>110123</x:v>
      </x:c>
      <x:c r="H45" s="126" t="e">
        <x:f>IF(G45="","",IF(G45&lt;参数与口径!$E$6,1,MATCH(G45,等级配置!$C$4:$C$103,1)))</x:f>
        <x:v>#NAME?</x:v>
      </x:c>
      <x:c r="I45" s="58" t="e">
        <x:f>IF(H45="","",INDEX(等级配置!$B$4:$B$103,H45))</x:f>
        <x:v>#NAME?</x:v>
      </x:c>
      <x:c r="J45" s="58" t="e">
        <x:f>IF(AND(D45="当前已婚",G45&lt;参数与口径!$E$6),"存量兼容Lv1",IF(G45&gt;=等级配置!$C$103,"Lv100溢出","正常"))</x:f>
        <x:v>#NAME?</x:v>
      </x:c>
      <x:c r="K45" s="20" t="str">
        <x:f t="shared" si="0"/>
      </x:c>
    </x:row>
    <x:row r="46" ht="17">
      <x:c r="A46" s="58" t="s">
        <x:v>194</x:v>
      </x:c>
      <x:c r="B46" s="58" t="s">
        <x:v>195</x:v>
      </x:c>
      <x:c r="C46" s="58" t="s">
        <x:v>196</x:v>
      </x:c>
      <x:c r="D46" s="58" t="s">
        <x:v>14</x:v>
      </x:c>
      <x:c r="E46" s="18" t="s">
        <x:v>197</x:v>
      </x:c>
      <x:c r="F46" s="18"/>
      <x:c r="G46" s="126">
        <x:v>109844</x:v>
      </x:c>
      <x:c r="H46" s="126" t="e">
        <x:f>IF(G46="","",IF(G46&lt;参数与口径!$E$6,1,MATCH(G46,等级配置!$C$4:$C$103,1)))</x:f>
        <x:v>#NAME?</x:v>
      </x:c>
      <x:c r="I46" s="58" t="e">
        <x:f>IF(H46="","",INDEX(等级配置!$B$4:$B$103,H46))</x:f>
        <x:v>#NAME?</x:v>
      </x:c>
      <x:c r="J46" s="58" t="e">
        <x:f>IF(AND(D46="当前已婚",G46&lt;参数与口径!$E$6),"存量兼容Lv1",IF(G46&gt;=等级配置!$C$103,"Lv100溢出","正常"))</x:f>
        <x:v>#NAME?</x:v>
      </x:c>
      <x:c r="K46" s="20" t="str">
        <x:f t="shared" si="0"/>
      </x:c>
    </x:row>
    <x:row r="47" ht="17">
      <x:c r="A47" s="58" t="s">
        <x:v>198</x:v>
      </x:c>
      <x:c r="B47" s="58" t="s">
        <x:v>199</x:v>
      </x:c>
      <x:c r="C47" s="58" t="s">
        <x:v>200</x:v>
      </x:c>
      <x:c r="D47" s="58" t="s">
        <x:v>14</x:v>
      </x:c>
      <x:c r="E47" s="18" t="s">
        <x:v>201</x:v>
      </x:c>
      <x:c r="F47" s="18"/>
      <x:c r="G47" s="126">
        <x:v>108677</x:v>
      </x:c>
      <x:c r="H47" s="126" t="e">
        <x:f>IF(G47="","",IF(G47&lt;参数与口径!$E$6,1,MATCH(G47,等级配置!$C$4:$C$103,1)))</x:f>
        <x:v>#NAME?</x:v>
      </x:c>
      <x:c r="I47" s="58" t="e">
        <x:f>IF(H47="","",INDEX(等级配置!$B$4:$B$103,H47))</x:f>
        <x:v>#NAME?</x:v>
      </x:c>
      <x:c r="J47" s="58" t="e">
        <x:f>IF(AND(D47="当前已婚",G47&lt;参数与口径!$E$6),"存量兼容Lv1",IF(G47&gt;=等级配置!$C$103,"Lv100溢出","正常"))</x:f>
        <x:v>#NAME?</x:v>
      </x:c>
      <x:c r="K47" s="20" t="str">
        <x:f t="shared" si="0"/>
      </x:c>
    </x:row>
    <x:row r="48" ht="17">
      <x:c r="A48" s="58" t="s">
        <x:v>202</x:v>
      </x:c>
      <x:c r="B48" s="58" t="s">
        <x:v>203</x:v>
      </x:c>
      <x:c r="C48" s="58" t="s">
        <x:v>204</x:v>
      </x:c>
      <x:c r="D48" s="58" t="s">
        <x:v>14</x:v>
      </x:c>
      <x:c r="E48" s="18" t="s">
        <x:v>205</x:v>
      </x:c>
      <x:c r="F48" s="18"/>
      <x:c r="G48" s="126">
        <x:v>108427</x:v>
      </x:c>
      <x:c r="H48" s="126" t="e">
        <x:f>IF(G48="","",IF(G48&lt;参数与口径!$E$6,1,MATCH(G48,等级配置!$C$4:$C$103,1)))</x:f>
        <x:v>#NAME?</x:v>
      </x:c>
      <x:c r="I48" s="58" t="e">
        <x:f>IF(H48="","",INDEX(等级配置!$B$4:$B$103,H48))</x:f>
        <x:v>#NAME?</x:v>
      </x:c>
      <x:c r="J48" s="58" t="e">
        <x:f>IF(AND(D48="当前已婚",G48&lt;参数与口径!$E$6),"存量兼容Lv1",IF(G48&gt;=等级配置!$C$103,"Lv100溢出","正常"))</x:f>
        <x:v>#NAME?</x:v>
      </x:c>
      <x:c r="K48" s="20" t="str">
        <x:f t="shared" si="0"/>
      </x:c>
    </x:row>
    <x:row r="49" ht="17">
      <x:c r="A49" s="58" t="s">
        <x:v>206</x:v>
      </x:c>
      <x:c r="B49" s="58" t="s">
        <x:v>207</x:v>
      </x:c>
      <x:c r="C49" s="58" t="s">
        <x:v>208</x:v>
      </x:c>
      <x:c r="D49" s="58" t="s">
        <x:v>14</x:v>
      </x:c>
      <x:c r="E49" s="18" t="s">
        <x:v>209</x:v>
      </x:c>
      <x:c r="F49" s="18"/>
      <x:c r="G49" s="126">
        <x:v>105471</x:v>
      </x:c>
      <x:c r="H49" s="126" t="e">
        <x:f>IF(G49="","",IF(G49&lt;参数与口径!$E$6,1,MATCH(G49,等级配置!$C$4:$C$103,1)))</x:f>
        <x:v>#NAME?</x:v>
      </x:c>
      <x:c r="I49" s="58" t="e">
        <x:f>IF(H49="","",INDEX(等级配置!$B$4:$B$103,H49))</x:f>
        <x:v>#NAME?</x:v>
      </x:c>
      <x:c r="J49" s="58" t="e">
        <x:f>IF(AND(D49="当前已婚",G49&lt;参数与口径!$E$6),"存量兼容Lv1",IF(G49&gt;=等级配置!$C$103,"Lv100溢出","正常"))</x:f>
        <x:v>#NAME?</x:v>
      </x:c>
      <x:c r="K49" s="20" t="str">
        <x:f t="shared" si="0"/>
      </x:c>
    </x:row>
    <x:row r="50" ht="17">
      <x:c r="A50" s="58" t="s">
        <x:v>210</x:v>
      </x:c>
      <x:c r="B50" s="58" t="s">
        <x:v>211</x:v>
      </x:c>
      <x:c r="C50" s="58" t="s">
        <x:v>212</x:v>
      </x:c>
      <x:c r="D50" s="58" t="s">
        <x:v>14</x:v>
      </x:c>
      <x:c r="E50" s="18" t="s">
        <x:v>213</x:v>
      </x:c>
      <x:c r="F50" s="18"/>
      <x:c r="G50" s="126">
        <x:v>98527</x:v>
      </x:c>
      <x:c r="H50" s="126" t="e">
        <x:f>IF(G50="","",IF(G50&lt;参数与口径!$E$6,1,MATCH(G50,等级配置!$C$4:$C$103,1)))</x:f>
        <x:v>#NAME?</x:v>
      </x:c>
      <x:c r="I50" s="58" t="e">
        <x:f>IF(H50="","",INDEX(等级配置!$B$4:$B$103,H50))</x:f>
        <x:v>#NAME?</x:v>
      </x:c>
      <x:c r="J50" s="58" t="e">
        <x:f>IF(AND(D50="当前已婚",G50&lt;参数与口径!$E$6),"存量兼容Lv1",IF(G50&gt;=等级配置!$C$103,"Lv100溢出","正常"))</x:f>
        <x:v>#NAME?</x:v>
      </x:c>
      <x:c r="K50" s="20" t="str">
        <x:f t="shared" si="0"/>
      </x:c>
    </x:row>
    <x:row r="51" ht="17">
      <x:c r="A51" s="58" t="s">
        <x:v>214</x:v>
      </x:c>
      <x:c r="B51" s="58" t="s">
        <x:v>215</x:v>
      </x:c>
      <x:c r="C51" s="58" t="s">
        <x:v>216</x:v>
      </x:c>
      <x:c r="D51" s="58" t="s">
        <x:v>14</x:v>
      </x:c>
      <x:c r="E51" s="18" t="s">
        <x:v>217</x:v>
      </x:c>
      <x:c r="F51" s="18"/>
      <x:c r="G51" s="126">
        <x:v>97831</x:v>
      </x:c>
      <x:c r="H51" s="126" t="e">
        <x:f>IF(G51="","",IF(G51&lt;参数与口径!$E$6,1,MATCH(G51,等级配置!$C$4:$C$103,1)))</x:f>
        <x:v>#NAME?</x:v>
      </x:c>
      <x:c r="I51" s="58" t="e">
        <x:f>IF(H51="","",INDEX(等级配置!$B$4:$B$103,H51))</x:f>
        <x:v>#NAME?</x:v>
      </x:c>
      <x:c r="J51" s="58" t="e">
        <x:f>IF(AND(D51="当前已婚",G51&lt;参数与口径!$E$6),"存量兼容Lv1",IF(G51&gt;=等级配置!$C$103,"Lv100溢出","正常"))</x:f>
        <x:v>#NAME?</x:v>
      </x:c>
      <x:c r="K51" s="20" t="str">
        <x:f t="shared" si="0"/>
      </x:c>
    </x:row>
    <x:row r="52" ht="17">
      <x:c r="A52" s="58" t="s">
        <x:v>218</x:v>
      </x:c>
      <x:c r="B52" s="58" t="s">
        <x:v>219</x:v>
      </x:c>
      <x:c r="C52" s="58" t="s">
        <x:v>220</x:v>
      </x:c>
      <x:c r="D52" s="58" t="s">
        <x:v>14</x:v>
      </x:c>
      <x:c r="E52" s="18" t="s">
        <x:v>221</x:v>
      </x:c>
      <x:c r="F52" s="18"/>
      <x:c r="G52" s="126">
        <x:v>91781</x:v>
      </x:c>
      <x:c r="H52" s="126" t="e">
        <x:f>IF(G52="","",IF(G52&lt;参数与口径!$E$6,1,MATCH(G52,等级配置!$C$4:$C$103,1)))</x:f>
        <x:v>#NAME?</x:v>
      </x:c>
      <x:c r="I52" s="58" t="e">
        <x:f>IF(H52="","",INDEX(等级配置!$B$4:$B$103,H52))</x:f>
        <x:v>#NAME?</x:v>
      </x:c>
      <x:c r="J52" s="58" t="e">
        <x:f>IF(AND(D52="当前已婚",G52&lt;参数与口径!$E$6),"存量兼容Lv1",IF(G52&gt;=等级配置!$C$103,"Lv100溢出","正常"))</x:f>
        <x:v>#NAME?</x:v>
      </x:c>
      <x:c r="K52" s="20" t="str">
        <x:f t="shared" si="0"/>
      </x:c>
    </x:row>
    <x:row r="53" ht="17">
      <x:c r="A53" s="58" t="s">
        <x:v>222</x:v>
      </x:c>
      <x:c r="B53" s="58" t="s">
        <x:v>223</x:v>
      </x:c>
      <x:c r="C53" s="58" t="s">
        <x:v>224</x:v>
      </x:c>
      <x:c r="D53" s="58" t="s">
        <x:v>14</x:v>
      </x:c>
      <x:c r="E53" s="18" t="s">
        <x:v>225</x:v>
      </x:c>
      <x:c r="F53" s="18"/>
      <x:c r="G53" s="126">
        <x:v>91605</x:v>
      </x:c>
      <x:c r="H53" s="126" t="e">
        <x:f>IF(G53="","",IF(G53&lt;参数与口径!$E$6,1,MATCH(G53,等级配置!$C$4:$C$103,1)))</x:f>
        <x:v>#NAME?</x:v>
      </x:c>
      <x:c r="I53" s="58" t="e">
        <x:f>IF(H53="","",INDEX(等级配置!$B$4:$B$103,H53))</x:f>
        <x:v>#NAME?</x:v>
      </x:c>
      <x:c r="J53" s="58" t="e">
        <x:f>IF(AND(D53="当前已婚",G53&lt;参数与口径!$E$6),"存量兼容Lv1",IF(G53&gt;=等级配置!$C$103,"Lv100溢出","正常"))</x:f>
        <x:v>#NAME?</x:v>
      </x:c>
      <x:c r="K53" s="20" t="str">
        <x:f t="shared" si="0"/>
      </x:c>
    </x:row>
    <x:row r="54" ht="17">
      <x:c r="A54" s="58" t="s">
        <x:v>226</x:v>
      </x:c>
      <x:c r="B54" s="58" t="s">
        <x:v>227</x:v>
      </x:c>
      <x:c r="C54" s="58" t="s">
        <x:v>228</x:v>
      </x:c>
      <x:c r="D54" s="58" t="s">
        <x:v>14</x:v>
      </x:c>
      <x:c r="E54" s="18" t="s">
        <x:v>229</x:v>
      </x:c>
      <x:c r="F54" s="18" t="s">
        <x:v>230</x:v>
      </x:c>
      <x:c r="G54" s="126">
        <x:v>90946</x:v>
      </x:c>
      <x:c r="H54" s="126" t="e">
        <x:f>IF(G54="","",IF(G54&lt;参数与口径!$E$6,1,MATCH(G54,等级配置!$C$4:$C$103,1)))</x:f>
        <x:v>#NAME?</x:v>
      </x:c>
      <x:c r="I54" s="58" t="e">
        <x:f>IF(H54="","",INDEX(等级配置!$B$4:$B$103,H54))</x:f>
        <x:v>#NAME?</x:v>
      </x:c>
      <x:c r="J54" s="58" t="e">
        <x:f>IF(AND(D54="当前已婚",G54&lt;参数与口径!$E$6),"存量兼容Lv1",IF(G54&gt;=等级配置!$C$103,"Lv100溢出","正常"))</x:f>
        <x:v>#NAME?</x:v>
      </x:c>
      <x:c r="K54" s="20" t="str">
        <x:f t="shared" si="0"/>
        <x:v>当前已婚但存在离婚日期</x:v>
      </x:c>
    </x:row>
    <x:row r="55" ht="17">
      <x:c r="A55" s="58" t="s">
        <x:v>231</x:v>
      </x:c>
      <x:c r="B55" s="58" t="s">
        <x:v>232</x:v>
      </x:c>
      <x:c r="C55" s="58" t="s">
        <x:v>233</x:v>
      </x:c>
      <x:c r="D55" s="58" t="s">
        <x:v>14</x:v>
      </x:c>
      <x:c r="E55" s="18" t="s">
        <x:v>234</x:v>
      </x:c>
      <x:c r="F55" s="18"/>
      <x:c r="G55" s="126">
        <x:v>90760</x:v>
      </x:c>
      <x:c r="H55" s="126" t="e">
        <x:f>IF(G55="","",IF(G55&lt;参数与口径!$E$6,1,MATCH(G55,等级配置!$C$4:$C$103,1)))</x:f>
        <x:v>#NAME?</x:v>
      </x:c>
      <x:c r="I55" s="58" t="e">
        <x:f>IF(H55="","",INDEX(等级配置!$B$4:$B$103,H55))</x:f>
        <x:v>#NAME?</x:v>
      </x:c>
      <x:c r="J55" s="58" t="e">
        <x:f>IF(AND(D55="当前已婚",G55&lt;参数与口径!$E$6),"存量兼容Lv1",IF(G55&gt;=等级配置!$C$103,"Lv100溢出","正常"))</x:f>
        <x:v>#NAME?</x:v>
      </x:c>
      <x:c r="K55" s="20" t="str">
        <x:f t="shared" si="0"/>
      </x:c>
    </x:row>
    <x:row r="56" ht="17">
      <x:c r="A56" s="58" t="s">
        <x:v>235</x:v>
      </x:c>
      <x:c r="B56" s="58" t="s">
        <x:v>236</x:v>
      </x:c>
      <x:c r="C56" s="58" t="s">
        <x:v>237</x:v>
      </x:c>
      <x:c r="D56" s="58" t="s">
        <x:v>14</x:v>
      </x:c>
      <x:c r="E56" s="18" t="s">
        <x:v>238</x:v>
      </x:c>
      <x:c r="F56" s="18"/>
      <x:c r="G56" s="126">
        <x:v>88418</x:v>
      </x:c>
      <x:c r="H56" s="126" t="e">
        <x:f>IF(G56="","",IF(G56&lt;参数与口径!$E$6,1,MATCH(G56,等级配置!$C$4:$C$103,1)))</x:f>
        <x:v>#NAME?</x:v>
      </x:c>
      <x:c r="I56" s="58" t="e">
        <x:f>IF(H56="","",INDEX(等级配置!$B$4:$B$103,H56))</x:f>
        <x:v>#NAME?</x:v>
      </x:c>
      <x:c r="J56" s="58" t="e">
        <x:f>IF(AND(D56="当前已婚",G56&lt;参数与口径!$E$6),"存量兼容Lv1",IF(G56&gt;=等级配置!$C$103,"Lv100溢出","正常"))</x:f>
        <x:v>#NAME?</x:v>
      </x:c>
      <x:c r="K56" s="20" t="str">
        <x:f t="shared" si="0"/>
      </x:c>
    </x:row>
    <x:row r="57" ht="17">
      <x:c r="A57" s="58" t="s">
        <x:v>239</x:v>
      </x:c>
      <x:c r="B57" s="58" t="s">
        <x:v>240</x:v>
      </x:c>
      <x:c r="C57" s="58" t="s">
        <x:v>241</x:v>
      </x:c>
      <x:c r="D57" s="58" t="s">
        <x:v>14</x:v>
      </x:c>
      <x:c r="E57" s="18" t="s">
        <x:v>242</x:v>
      </x:c>
      <x:c r="F57" s="18"/>
      <x:c r="G57" s="126">
        <x:v>83632</x:v>
      </x:c>
      <x:c r="H57" s="126" t="e">
        <x:f>IF(G57="","",IF(G57&lt;参数与口径!$E$6,1,MATCH(G57,等级配置!$C$4:$C$103,1)))</x:f>
        <x:v>#NAME?</x:v>
      </x:c>
      <x:c r="I57" s="58" t="e">
        <x:f>IF(H57="","",INDEX(等级配置!$B$4:$B$103,H57))</x:f>
        <x:v>#NAME?</x:v>
      </x:c>
      <x:c r="J57" s="58" t="e">
        <x:f>IF(AND(D57="当前已婚",G57&lt;参数与口径!$E$6),"存量兼容Lv1",IF(G57&gt;=等级配置!$C$103,"Lv100溢出","正常"))</x:f>
        <x:v>#NAME?</x:v>
      </x:c>
      <x:c r="K57" s="20" t="str">
        <x:f t="shared" si="0"/>
      </x:c>
    </x:row>
    <x:row r="58" ht="17">
      <x:c r="A58" s="58" t="s">
        <x:v>243</x:v>
      </x:c>
      <x:c r="B58" s="58" t="s">
        <x:v>244</x:v>
      </x:c>
      <x:c r="C58" s="58" t="s">
        <x:v>245</x:v>
      </x:c>
      <x:c r="D58" s="58" t="s">
        <x:v>14</x:v>
      </x:c>
      <x:c r="E58" s="18" t="s">
        <x:v>246</x:v>
      </x:c>
      <x:c r="F58" s="18"/>
      <x:c r="G58" s="126">
        <x:v>78012</x:v>
      </x:c>
      <x:c r="H58" s="126" t="e">
        <x:f>IF(G58="","",IF(G58&lt;参数与口径!$E$6,1,MATCH(G58,等级配置!$C$4:$C$103,1)))</x:f>
        <x:v>#NAME?</x:v>
      </x:c>
      <x:c r="I58" s="58" t="e">
        <x:f>IF(H58="","",INDEX(等级配置!$B$4:$B$103,H58))</x:f>
        <x:v>#NAME?</x:v>
      </x:c>
      <x:c r="J58" s="58" t="e">
        <x:f>IF(AND(D58="当前已婚",G58&lt;参数与口径!$E$6),"存量兼容Lv1",IF(G58&gt;=等级配置!$C$103,"Lv100溢出","正常"))</x:f>
        <x:v>#NAME?</x:v>
      </x:c>
      <x:c r="K58" s="20" t="str">
        <x:f t="shared" si="0"/>
      </x:c>
    </x:row>
    <x:row r="59" ht="17">
      <x:c r="A59" s="58" t="s">
        <x:v>247</x:v>
      </x:c>
      <x:c r="B59" s="58" t="s">
        <x:v>248</x:v>
      </x:c>
      <x:c r="C59" s="58" t="s">
        <x:v>249</x:v>
      </x:c>
      <x:c r="D59" s="58" t="s">
        <x:v>14</x:v>
      </x:c>
      <x:c r="E59" s="18" t="s">
        <x:v>250</x:v>
      </x:c>
      <x:c r="F59" s="18" t="s">
        <x:v>251</x:v>
      </x:c>
      <x:c r="G59" s="126">
        <x:v>77511</x:v>
      </x:c>
      <x:c r="H59" s="126" t="e">
        <x:f>IF(G59="","",IF(G59&lt;参数与口径!$E$6,1,MATCH(G59,等级配置!$C$4:$C$103,1)))</x:f>
        <x:v>#NAME?</x:v>
      </x:c>
      <x:c r="I59" s="58" t="e">
        <x:f>IF(H59="","",INDEX(等级配置!$B$4:$B$103,H59))</x:f>
        <x:v>#NAME?</x:v>
      </x:c>
      <x:c r="J59" s="58" t="e">
        <x:f>IF(AND(D59="当前已婚",G59&lt;参数与口径!$E$6),"存量兼容Lv1",IF(G59&gt;=等级配置!$C$103,"Lv100溢出","正常"))</x:f>
        <x:v>#NAME?</x:v>
      </x:c>
      <x:c r="K59" s="20" t="str">
        <x:f t="shared" si="0"/>
        <x:v>当前已婚但存在离婚日期</x:v>
      </x:c>
    </x:row>
    <x:row r="60" ht="17">
      <x:c r="A60" s="58" t="s">
        <x:v>252</x:v>
      </x:c>
      <x:c r="B60" s="58" t="s">
        <x:v>253</x:v>
      </x:c>
      <x:c r="C60" s="58" t="s">
        <x:v>254</x:v>
      </x:c>
      <x:c r="D60" s="58" t="s">
        <x:v>14</x:v>
      </x:c>
      <x:c r="E60" s="18" t="s">
        <x:v>255</x:v>
      </x:c>
      <x:c r="F60" s="18"/>
      <x:c r="G60" s="126">
        <x:v>76683</x:v>
      </x:c>
      <x:c r="H60" s="126" t="e">
        <x:f>IF(G60="","",IF(G60&lt;参数与口径!$E$6,1,MATCH(G60,等级配置!$C$4:$C$103,1)))</x:f>
        <x:v>#NAME?</x:v>
      </x:c>
      <x:c r="I60" s="58" t="e">
        <x:f>IF(H60="","",INDEX(等级配置!$B$4:$B$103,H60))</x:f>
        <x:v>#NAME?</x:v>
      </x:c>
      <x:c r="J60" s="58" t="e">
        <x:f>IF(AND(D60="当前已婚",G60&lt;参数与口径!$E$6),"存量兼容Lv1",IF(G60&gt;=等级配置!$C$103,"Lv100溢出","正常"))</x:f>
        <x:v>#NAME?</x:v>
      </x:c>
      <x:c r="K60" s="20" t="str">
        <x:f t="shared" si="0"/>
      </x:c>
    </x:row>
    <x:row r="61" ht="17">
      <x:c r="A61" s="58" t="s">
        <x:v>256</x:v>
      </x:c>
      <x:c r="B61" s="58" t="s">
        <x:v>257</x:v>
      </x:c>
      <x:c r="C61" s="58" t="s">
        <x:v>258</x:v>
      </x:c>
      <x:c r="D61" s="58" t="s">
        <x:v>14</x:v>
      </x:c>
      <x:c r="E61" s="18" t="s">
        <x:v>259</x:v>
      </x:c>
      <x:c r="F61" s="18"/>
      <x:c r="G61" s="126">
        <x:v>75753</x:v>
      </x:c>
      <x:c r="H61" s="126" t="e">
        <x:f>IF(G61="","",IF(G61&lt;参数与口径!$E$6,1,MATCH(G61,等级配置!$C$4:$C$103,1)))</x:f>
        <x:v>#NAME?</x:v>
      </x:c>
      <x:c r="I61" s="58" t="e">
        <x:f>IF(H61="","",INDEX(等级配置!$B$4:$B$103,H61))</x:f>
        <x:v>#NAME?</x:v>
      </x:c>
      <x:c r="J61" s="58" t="e">
        <x:f>IF(AND(D61="当前已婚",G61&lt;参数与口径!$E$6),"存量兼容Lv1",IF(G61&gt;=等级配置!$C$103,"Lv100溢出","正常"))</x:f>
        <x:v>#NAME?</x:v>
      </x:c>
      <x:c r="K61" s="20" t="str">
        <x:f t="shared" si="0"/>
      </x:c>
    </x:row>
    <x:row r="62" ht="17">
      <x:c r="A62" s="58" t="s">
        <x:v>260</x:v>
      </x:c>
      <x:c r="B62" s="58" t="s">
        <x:v>261</x:v>
      </x:c>
      <x:c r="C62" s="58" t="s">
        <x:v>262</x:v>
      </x:c>
      <x:c r="D62" s="58" t="s">
        <x:v>14</x:v>
      </x:c>
      <x:c r="E62" s="18" t="s">
        <x:v>263</x:v>
      </x:c>
      <x:c r="F62" s="18" t="s">
        <x:v>264</x:v>
      </x:c>
      <x:c r="G62" s="126">
        <x:v>75541</x:v>
      </x:c>
      <x:c r="H62" s="126" t="e">
        <x:f>IF(G62="","",IF(G62&lt;参数与口径!$E$6,1,MATCH(G62,等级配置!$C$4:$C$103,1)))</x:f>
        <x:v>#NAME?</x:v>
      </x:c>
      <x:c r="I62" s="58" t="e">
        <x:f>IF(H62="","",INDEX(等级配置!$B$4:$B$103,H62))</x:f>
        <x:v>#NAME?</x:v>
      </x:c>
      <x:c r="J62" s="58" t="e">
        <x:f>IF(AND(D62="当前已婚",G62&lt;参数与口径!$E$6),"存量兼容Lv1",IF(G62&gt;=等级配置!$C$103,"Lv100溢出","正常"))</x:f>
        <x:v>#NAME?</x:v>
      </x:c>
      <x:c r="K62" s="20" t="str">
        <x:f t="shared" si="0"/>
        <x:v>当前已婚但存在离婚日期</x:v>
      </x:c>
    </x:row>
    <x:row r="63" ht="17">
      <x:c r="A63" s="58" t="s">
        <x:v>265</x:v>
      </x:c>
      <x:c r="B63" s="58" t="s">
        <x:v>266</x:v>
      </x:c>
      <x:c r="C63" s="58" t="s">
        <x:v>267</x:v>
      </x:c>
      <x:c r="D63" s="58" t="s">
        <x:v>14</x:v>
      </x:c>
      <x:c r="E63" s="18" t="s">
        <x:v>268</x:v>
      </x:c>
      <x:c r="F63" s="18" t="s">
        <x:v>269</x:v>
      </x:c>
      <x:c r="G63" s="126">
        <x:v>75389</x:v>
      </x:c>
      <x:c r="H63" s="126" t="e">
        <x:f>IF(G63="","",IF(G63&lt;参数与口径!$E$6,1,MATCH(G63,等级配置!$C$4:$C$103,1)))</x:f>
        <x:v>#NAME?</x:v>
      </x:c>
      <x:c r="I63" s="58" t="e">
        <x:f>IF(H63="","",INDEX(等级配置!$B$4:$B$103,H63))</x:f>
        <x:v>#NAME?</x:v>
      </x:c>
      <x:c r="J63" s="58" t="e">
        <x:f>IF(AND(D63="当前已婚",G63&lt;参数与口径!$E$6),"存量兼容Lv1",IF(G63&gt;=等级配置!$C$103,"Lv100溢出","正常"))</x:f>
        <x:v>#NAME?</x:v>
      </x:c>
      <x:c r="K63" s="20" t="str">
        <x:f t="shared" si="0"/>
        <x:v>当前已婚但存在离婚日期</x:v>
      </x:c>
    </x:row>
    <x:row r="64" ht="17">
      <x:c r="A64" s="58" t="s">
        <x:v>270</x:v>
      </x:c>
      <x:c r="B64" s="58" t="s">
        <x:v>271</x:v>
      </x:c>
      <x:c r="C64" s="58" t="s">
        <x:v>272</x:v>
      </x:c>
      <x:c r="D64" s="58" t="s">
        <x:v>14</x:v>
      </x:c>
      <x:c r="E64" s="18" t="s">
        <x:v>273</x:v>
      </x:c>
      <x:c r="F64" s="18"/>
      <x:c r="G64" s="126">
        <x:v>75370</x:v>
      </x:c>
      <x:c r="H64" s="126" t="e">
        <x:f>IF(G64="","",IF(G64&lt;参数与口径!$E$6,1,MATCH(G64,等级配置!$C$4:$C$103,1)))</x:f>
        <x:v>#NAME?</x:v>
      </x:c>
      <x:c r="I64" s="58" t="e">
        <x:f>IF(H64="","",INDEX(等级配置!$B$4:$B$103,H64))</x:f>
        <x:v>#NAME?</x:v>
      </x:c>
      <x:c r="J64" s="58" t="e">
        <x:f>IF(AND(D64="当前已婚",G64&lt;参数与口径!$E$6),"存量兼容Lv1",IF(G64&gt;=等级配置!$C$103,"Lv100溢出","正常"))</x:f>
        <x:v>#NAME?</x:v>
      </x:c>
      <x:c r="K64" s="20" t="str">
        <x:f t="shared" si="0"/>
      </x:c>
    </x:row>
    <x:row r="65" ht="17">
      <x:c r="A65" s="58" t="s">
        <x:v>274</x:v>
      </x:c>
      <x:c r="B65" s="58" t="s">
        <x:v>275</x:v>
      </x:c>
      <x:c r="C65" s="58" t="s">
        <x:v>276</x:v>
      </x:c>
      <x:c r="D65" s="58" t="s">
        <x:v>14</x:v>
      </x:c>
      <x:c r="E65" s="18" t="s">
        <x:v>277</x:v>
      </x:c>
      <x:c r="F65" s="18"/>
      <x:c r="G65" s="126">
        <x:v>71208</x:v>
      </x:c>
      <x:c r="H65" s="126" t="e">
        <x:f>IF(G65="","",IF(G65&lt;参数与口径!$E$6,1,MATCH(G65,等级配置!$C$4:$C$103,1)))</x:f>
        <x:v>#NAME?</x:v>
      </x:c>
      <x:c r="I65" s="58" t="e">
        <x:f>IF(H65="","",INDEX(等级配置!$B$4:$B$103,H65))</x:f>
        <x:v>#NAME?</x:v>
      </x:c>
      <x:c r="J65" s="58" t="e">
        <x:f>IF(AND(D65="当前已婚",G65&lt;参数与口径!$E$6),"存量兼容Lv1",IF(G65&gt;=等级配置!$C$103,"Lv100溢出","正常"))</x:f>
        <x:v>#NAME?</x:v>
      </x:c>
      <x:c r="K65" s="20" t="str">
        <x:f t="shared" si="0"/>
      </x:c>
    </x:row>
    <x:row r="66" ht="17">
      <x:c r="A66" s="58" t="s">
        <x:v>278</x:v>
      </x:c>
      <x:c r="B66" s="58" t="s">
        <x:v>279</x:v>
      </x:c>
      <x:c r="C66" s="58" t="s">
        <x:v>280</x:v>
      </x:c>
      <x:c r="D66" s="58" t="s">
        <x:v>14</x:v>
      </x:c>
      <x:c r="E66" s="18" t="s">
        <x:v>281</x:v>
      </x:c>
      <x:c r="F66" s="18"/>
      <x:c r="G66" s="126">
        <x:v>70530</x:v>
      </x:c>
      <x:c r="H66" s="126" t="e">
        <x:f>IF(G66="","",IF(G66&lt;参数与口径!$E$6,1,MATCH(G66,等级配置!$C$4:$C$103,1)))</x:f>
        <x:v>#NAME?</x:v>
      </x:c>
      <x:c r="I66" s="58" t="e">
        <x:f>IF(H66="","",INDEX(等级配置!$B$4:$B$103,H66))</x:f>
        <x:v>#NAME?</x:v>
      </x:c>
      <x:c r="J66" s="58" t="e">
        <x:f>IF(AND(D66="当前已婚",G66&lt;参数与口径!$E$6),"存量兼容Lv1",IF(G66&gt;=等级配置!$C$103,"Lv100溢出","正常"))</x:f>
        <x:v>#NAME?</x:v>
      </x:c>
      <x:c r="K66" s="20" t="str">
        <x:f t="shared" ref="K66:K129" si="1">IF(AND(D66="当前已婚",F66&lt;&gt;""),"当前已婚但存在离婚日期",IF(AND(D66="当前已婚",G66=0),"当前CP亲密值为0",""))</x:f>
      </x:c>
    </x:row>
    <x:row r="67" ht="17">
      <x:c r="A67" s="58" t="s">
        <x:v>282</x:v>
      </x:c>
      <x:c r="B67" s="58" t="s">
        <x:v>283</x:v>
      </x:c>
      <x:c r="C67" s="58" t="s">
        <x:v>284</x:v>
      </x:c>
      <x:c r="D67" s="58" t="s">
        <x:v>14</x:v>
      </x:c>
      <x:c r="E67" s="18" t="s">
        <x:v>285</x:v>
      </x:c>
      <x:c r="F67" s="18"/>
      <x:c r="G67" s="126">
        <x:v>65961</x:v>
      </x:c>
      <x:c r="H67" s="126" t="e">
        <x:f>IF(G67="","",IF(G67&lt;参数与口径!$E$6,1,MATCH(G67,等级配置!$C$4:$C$103,1)))</x:f>
        <x:v>#NAME?</x:v>
      </x:c>
      <x:c r="I67" s="58" t="e">
        <x:f>IF(H67="","",INDEX(等级配置!$B$4:$B$103,H67))</x:f>
        <x:v>#NAME?</x:v>
      </x:c>
      <x:c r="J67" s="58" t="e">
        <x:f>IF(AND(D67="当前已婚",G67&lt;参数与口径!$E$6),"存量兼容Lv1",IF(G67&gt;=等级配置!$C$103,"Lv100溢出","正常"))</x:f>
        <x:v>#NAME?</x:v>
      </x:c>
      <x:c r="K67" s="20" t="str">
        <x:f t="shared" si="1"/>
      </x:c>
    </x:row>
    <x:row r="68" ht="17">
      <x:c r="A68" s="58" t="s">
        <x:v>286</x:v>
      </x:c>
      <x:c r="B68" s="58" t="s">
        <x:v>287</x:v>
      </x:c>
      <x:c r="C68" s="58" t="s">
        <x:v>288</x:v>
      </x:c>
      <x:c r="D68" s="58" t="s">
        <x:v>14</x:v>
      </x:c>
      <x:c r="E68" s="18" t="s">
        <x:v>289</x:v>
      </x:c>
      <x:c r="F68" s="18" t="s">
        <x:v>290</x:v>
      </x:c>
      <x:c r="G68" s="126">
        <x:v>63152</x:v>
      </x:c>
      <x:c r="H68" s="126" t="e">
        <x:f>IF(G68="","",IF(G68&lt;参数与口径!$E$6,1,MATCH(G68,等级配置!$C$4:$C$103,1)))</x:f>
        <x:v>#NAME?</x:v>
      </x:c>
      <x:c r="I68" s="58" t="e">
        <x:f>IF(H68="","",INDEX(等级配置!$B$4:$B$103,H68))</x:f>
        <x:v>#NAME?</x:v>
      </x:c>
      <x:c r="J68" s="58" t="e">
        <x:f>IF(AND(D68="当前已婚",G68&lt;参数与口径!$E$6),"存量兼容Lv1",IF(G68&gt;=等级配置!$C$103,"Lv100溢出","正常"))</x:f>
        <x:v>#NAME?</x:v>
      </x:c>
      <x:c r="K68" s="20" t="str">
        <x:f t="shared" si="1"/>
        <x:v>当前已婚但存在离婚日期</x:v>
      </x:c>
    </x:row>
    <x:row r="69" ht="17">
      <x:c r="A69" s="58" t="s">
        <x:v>291</x:v>
      </x:c>
      <x:c r="B69" s="58" t="s">
        <x:v>292</x:v>
      </x:c>
      <x:c r="C69" s="58" t="s">
        <x:v>293</x:v>
      </x:c>
      <x:c r="D69" s="58" t="s">
        <x:v>14</x:v>
      </x:c>
      <x:c r="E69" s="18" t="s">
        <x:v>294</x:v>
      </x:c>
      <x:c r="F69" s="18"/>
      <x:c r="G69" s="126">
        <x:v>62708</x:v>
      </x:c>
      <x:c r="H69" s="126" t="e">
        <x:f>IF(G69="","",IF(G69&lt;参数与口径!$E$6,1,MATCH(G69,等级配置!$C$4:$C$103,1)))</x:f>
        <x:v>#NAME?</x:v>
      </x:c>
      <x:c r="I69" s="58" t="e">
        <x:f>IF(H69="","",INDEX(等级配置!$B$4:$B$103,H69))</x:f>
        <x:v>#NAME?</x:v>
      </x:c>
      <x:c r="J69" s="58" t="e">
        <x:f>IF(AND(D69="当前已婚",G69&lt;参数与口径!$E$6),"存量兼容Lv1",IF(G69&gt;=等级配置!$C$103,"Lv100溢出","正常"))</x:f>
        <x:v>#NAME?</x:v>
      </x:c>
      <x:c r="K69" s="20" t="str">
        <x:f t="shared" si="1"/>
      </x:c>
    </x:row>
    <x:row r="70" ht="17">
      <x:c r="A70" s="58" t="s">
        <x:v>295</x:v>
      </x:c>
      <x:c r="B70" s="58" t="s">
        <x:v>296</x:v>
      </x:c>
      <x:c r="C70" s="58" t="s">
        <x:v>297</x:v>
      </x:c>
      <x:c r="D70" s="58" t="s">
        <x:v>14</x:v>
      </x:c>
      <x:c r="E70" s="18" t="s">
        <x:v>298</x:v>
      </x:c>
      <x:c r="F70" s="18"/>
      <x:c r="G70" s="126">
        <x:v>62612</x:v>
      </x:c>
      <x:c r="H70" s="126" t="e">
        <x:f>IF(G70="","",IF(G70&lt;参数与口径!$E$6,1,MATCH(G70,等级配置!$C$4:$C$103,1)))</x:f>
        <x:v>#NAME?</x:v>
      </x:c>
      <x:c r="I70" s="58" t="e">
        <x:f>IF(H70="","",INDEX(等级配置!$B$4:$B$103,H70))</x:f>
        <x:v>#NAME?</x:v>
      </x:c>
      <x:c r="J70" s="58" t="e">
        <x:f>IF(AND(D70="当前已婚",G70&lt;参数与口径!$E$6),"存量兼容Lv1",IF(G70&gt;=等级配置!$C$103,"Lv100溢出","正常"))</x:f>
        <x:v>#NAME?</x:v>
      </x:c>
      <x:c r="K70" s="20" t="str">
        <x:f t="shared" si="1"/>
      </x:c>
    </x:row>
    <x:row r="71" ht="17">
      <x:c r="A71" s="58" t="s">
        <x:v>299</x:v>
      </x:c>
      <x:c r="B71" s="58" t="s">
        <x:v>300</x:v>
      </x:c>
      <x:c r="C71" s="58" t="s">
        <x:v>301</x:v>
      </x:c>
      <x:c r="D71" s="58" t="s">
        <x:v>14</x:v>
      </x:c>
      <x:c r="E71" s="18" t="s">
        <x:v>302</x:v>
      </x:c>
      <x:c r="F71" s="18"/>
      <x:c r="G71" s="126">
        <x:v>61538</x:v>
      </x:c>
      <x:c r="H71" s="126" t="e">
        <x:f>IF(G71="","",IF(G71&lt;参数与口径!$E$6,1,MATCH(G71,等级配置!$C$4:$C$103,1)))</x:f>
        <x:v>#NAME?</x:v>
      </x:c>
      <x:c r="I71" s="58" t="e">
        <x:f>IF(H71="","",INDEX(等级配置!$B$4:$B$103,H71))</x:f>
        <x:v>#NAME?</x:v>
      </x:c>
      <x:c r="J71" s="58" t="e">
        <x:f>IF(AND(D71="当前已婚",G71&lt;参数与口径!$E$6),"存量兼容Lv1",IF(G71&gt;=等级配置!$C$103,"Lv100溢出","正常"))</x:f>
        <x:v>#NAME?</x:v>
      </x:c>
      <x:c r="K71" s="20" t="str">
        <x:f t="shared" si="1"/>
      </x:c>
    </x:row>
    <x:row r="72" ht="17">
      <x:c r="A72" s="58" t="s">
        <x:v>303</x:v>
      </x:c>
      <x:c r="B72" s="58" t="s">
        <x:v>304</x:v>
      </x:c>
      <x:c r="C72" s="58" t="s">
        <x:v>305</x:v>
      </x:c>
      <x:c r="D72" s="58" t="s">
        <x:v>14</x:v>
      </x:c>
      <x:c r="E72" s="18" t="s">
        <x:v>306</x:v>
      </x:c>
      <x:c r="F72" s="18"/>
      <x:c r="G72" s="126">
        <x:v>55198</x:v>
      </x:c>
      <x:c r="H72" s="126" t="e">
        <x:f>IF(G72="","",IF(G72&lt;参数与口径!$E$6,1,MATCH(G72,等级配置!$C$4:$C$103,1)))</x:f>
        <x:v>#NAME?</x:v>
      </x:c>
      <x:c r="I72" s="58" t="e">
        <x:f>IF(H72="","",INDEX(等级配置!$B$4:$B$103,H72))</x:f>
        <x:v>#NAME?</x:v>
      </x:c>
      <x:c r="J72" s="58" t="e">
        <x:f>IF(AND(D72="当前已婚",G72&lt;参数与口径!$E$6),"存量兼容Lv1",IF(G72&gt;=等级配置!$C$103,"Lv100溢出","正常"))</x:f>
        <x:v>#NAME?</x:v>
      </x:c>
      <x:c r="K72" s="20" t="str">
        <x:f t="shared" si="1"/>
      </x:c>
    </x:row>
    <x:row r="73" ht="17">
      <x:c r="A73" s="58" t="s">
        <x:v>307</x:v>
      </x:c>
      <x:c r="B73" s="58" t="s">
        <x:v>308</x:v>
      </x:c>
      <x:c r="C73" s="58" t="s">
        <x:v>309</x:v>
      </x:c>
      <x:c r="D73" s="58" t="s">
        <x:v>14</x:v>
      </x:c>
      <x:c r="E73" s="18" t="s">
        <x:v>310</x:v>
      </x:c>
      <x:c r="F73" s="18"/>
      <x:c r="G73" s="126">
        <x:v>53982</x:v>
      </x:c>
      <x:c r="H73" s="126" t="e">
        <x:f>IF(G73="","",IF(G73&lt;参数与口径!$E$6,1,MATCH(G73,等级配置!$C$4:$C$103,1)))</x:f>
        <x:v>#NAME?</x:v>
      </x:c>
      <x:c r="I73" s="58" t="e">
        <x:f>IF(H73="","",INDEX(等级配置!$B$4:$B$103,H73))</x:f>
        <x:v>#NAME?</x:v>
      </x:c>
      <x:c r="J73" s="58" t="e">
        <x:f>IF(AND(D73="当前已婚",G73&lt;参数与口径!$E$6),"存量兼容Lv1",IF(G73&gt;=等级配置!$C$103,"Lv100溢出","正常"))</x:f>
        <x:v>#NAME?</x:v>
      </x:c>
      <x:c r="K73" s="20" t="str">
        <x:f t="shared" si="1"/>
      </x:c>
    </x:row>
    <x:row r="74" ht="17">
      <x:c r="A74" s="58" t="s">
        <x:v>311</x:v>
      </x:c>
      <x:c r="B74" s="58" t="s">
        <x:v>312</x:v>
      </x:c>
      <x:c r="C74" s="58" t="s">
        <x:v>313</x:v>
      </x:c>
      <x:c r="D74" s="58" t="s">
        <x:v>14</x:v>
      </x:c>
      <x:c r="E74" s="18" t="s">
        <x:v>314</x:v>
      </x:c>
      <x:c r="F74" s="18"/>
      <x:c r="G74" s="126">
        <x:v>53797</x:v>
      </x:c>
      <x:c r="H74" s="126" t="e">
        <x:f>IF(G74="","",IF(G74&lt;参数与口径!$E$6,1,MATCH(G74,等级配置!$C$4:$C$103,1)))</x:f>
        <x:v>#NAME?</x:v>
      </x:c>
      <x:c r="I74" s="58" t="e">
        <x:f>IF(H74="","",INDEX(等级配置!$B$4:$B$103,H74))</x:f>
        <x:v>#NAME?</x:v>
      </x:c>
      <x:c r="J74" s="58" t="e">
        <x:f>IF(AND(D74="当前已婚",G74&lt;参数与口径!$E$6),"存量兼容Lv1",IF(G74&gt;=等级配置!$C$103,"Lv100溢出","正常"))</x:f>
        <x:v>#NAME?</x:v>
      </x:c>
      <x:c r="K74" s="20" t="str">
        <x:f t="shared" si="1"/>
      </x:c>
    </x:row>
    <x:row r="75" ht="17">
      <x:c r="A75" s="58" t="s">
        <x:v>315</x:v>
      </x:c>
      <x:c r="B75" s="58" t="s">
        <x:v>316</x:v>
      </x:c>
      <x:c r="C75" s="58" t="s">
        <x:v>317</x:v>
      </x:c>
      <x:c r="D75" s="58" t="s">
        <x:v>14</x:v>
      </x:c>
      <x:c r="E75" s="18" t="s">
        <x:v>318</x:v>
      </x:c>
      <x:c r="F75" s="18"/>
      <x:c r="G75" s="126">
        <x:v>52308</x:v>
      </x:c>
      <x:c r="H75" s="126" t="e">
        <x:f>IF(G75="","",IF(G75&lt;参数与口径!$E$6,1,MATCH(G75,等级配置!$C$4:$C$103,1)))</x:f>
        <x:v>#NAME?</x:v>
      </x:c>
      <x:c r="I75" s="58" t="e">
        <x:f>IF(H75="","",INDEX(等级配置!$B$4:$B$103,H75))</x:f>
        <x:v>#NAME?</x:v>
      </x:c>
      <x:c r="J75" s="58" t="e">
        <x:f>IF(AND(D75="当前已婚",G75&lt;参数与口径!$E$6),"存量兼容Lv1",IF(G75&gt;=等级配置!$C$103,"Lv100溢出","正常"))</x:f>
        <x:v>#NAME?</x:v>
      </x:c>
      <x:c r="K75" s="20" t="str">
        <x:f t="shared" si="1"/>
      </x:c>
    </x:row>
    <x:row r="76" ht="17">
      <x:c r="A76" s="58" t="s">
        <x:v>319</x:v>
      </x:c>
      <x:c r="B76" s="58" t="s">
        <x:v>320</x:v>
      </x:c>
      <x:c r="C76" s="58" t="s">
        <x:v>321</x:v>
      </x:c>
      <x:c r="D76" s="58" t="s">
        <x:v>14</x:v>
      </x:c>
      <x:c r="E76" s="18" t="s">
        <x:v>322</x:v>
      </x:c>
      <x:c r="F76" s="18" t="s">
        <x:v>323</x:v>
      </x:c>
      <x:c r="G76" s="126">
        <x:v>51224</x:v>
      </x:c>
      <x:c r="H76" s="126" t="e">
        <x:f>IF(G76="","",IF(G76&lt;参数与口径!$E$6,1,MATCH(G76,等级配置!$C$4:$C$103,1)))</x:f>
        <x:v>#NAME?</x:v>
      </x:c>
      <x:c r="I76" s="58" t="e">
        <x:f>IF(H76="","",INDEX(等级配置!$B$4:$B$103,H76))</x:f>
        <x:v>#NAME?</x:v>
      </x:c>
      <x:c r="J76" s="58" t="e">
        <x:f>IF(AND(D76="当前已婚",G76&lt;参数与口径!$E$6),"存量兼容Lv1",IF(G76&gt;=等级配置!$C$103,"Lv100溢出","正常"))</x:f>
        <x:v>#NAME?</x:v>
      </x:c>
      <x:c r="K76" s="20" t="str">
        <x:f t="shared" si="1"/>
        <x:v>当前已婚但存在离婚日期</x:v>
      </x:c>
    </x:row>
    <x:row r="77" ht="17">
      <x:c r="A77" s="58" t="s">
        <x:v>324</x:v>
      </x:c>
      <x:c r="B77" s="58" t="s">
        <x:v>325</x:v>
      </x:c>
      <x:c r="C77" s="58" t="s">
        <x:v>326</x:v>
      </x:c>
      <x:c r="D77" s="58" t="s">
        <x:v>14</x:v>
      </x:c>
      <x:c r="E77" s="18" t="s">
        <x:v>327</x:v>
      </x:c>
      <x:c r="F77" s="18" t="s">
        <x:v>328</x:v>
      </x:c>
      <x:c r="G77" s="126">
        <x:v>49792</x:v>
      </x:c>
      <x:c r="H77" s="126" t="e">
        <x:f>IF(G77="","",IF(G77&lt;参数与口径!$E$6,1,MATCH(G77,等级配置!$C$4:$C$103,1)))</x:f>
        <x:v>#NAME?</x:v>
      </x:c>
      <x:c r="I77" s="58" t="e">
        <x:f>IF(H77="","",INDEX(等级配置!$B$4:$B$103,H77))</x:f>
        <x:v>#NAME?</x:v>
      </x:c>
      <x:c r="J77" s="58" t="e">
        <x:f>IF(AND(D77="当前已婚",G77&lt;参数与口径!$E$6),"存量兼容Lv1",IF(G77&gt;=等级配置!$C$103,"Lv100溢出","正常"))</x:f>
        <x:v>#NAME?</x:v>
      </x:c>
      <x:c r="K77" s="20" t="str">
        <x:f t="shared" si="1"/>
        <x:v>当前已婚但存在离婚日期</x:v>
      </x:c>
    </x:row>
    <x:row r="78" ht="17">
      <x:c r="A78" s="58" t="s">
        <x:v>329</x:v>
      </x:c>
      <x:c r="B78" s="58" t="s">
        <x:v>330</x:v>
      </x:c>
      <x:c r="C78" s="58" t="s">
        <x:v>331</x:v>
      </x:c>
      <x:c r="D78" s="58" t="s">
        <x:v>14</x:v>
      </x:c>
      <x:c r="E78" s="18" t="s">
        <x:v>332</x:v>
      </x:c>
      <x:c r="F78" s="18"/>
      <x:c r="G78" s="126">
        <x:v>49732</x:v>
      </x:c>
      <x:c r="H78" s="126" t="e">
        <x:f>IF(G78="","",IF(G78&lt;参数与口径!$E$6,1,MATCH(G78,等级配置!$C$4:$C$103,1)))</x:f>
        <x:v>#NAME?</x:v>
      </x:c>
      <x:c r="I78" s="58" t="e">
        <x:f>IF(H78="","",INDEX(等级配置!$B$4:$B$103,H78))</x:f>
        <x:v>#NAME?</x:v>
      </x:c>
      <x:c r="J78" s="58" t="e">
        <x:f>IF(AND(D78="当前已婚",G78&lt;参数与口径!$E$6),"存量兼容Lv1",IF(G78&gt;=等级配置!$C$103,"Lv100溢出","正常"))</x:f>
        <x:v>#NAME?</x:v>
      </x:c>
      <x:c r="K78" s="20" t="str">
        <x:f t="shared" si="1"/>
      </x:c>
    </x:row>
    <x:row r="79" ht="17">
      <x:c r="A79" s="58" t="s">
        <x:v>333</x:v>
      </x:c>
      <x:c r="B79" s="58" t="s">
        <x:v>334</x:v>
      </x:c>
      <x:c r="C79" s="58" t="s">
        <x:v>335</x:v>
      </x:c>
      <x:c r="D79" s="58" t="s">
        <x:v>14</x:v>
      </x:c>
      <x:c r="E79" s="18" t="s">
        <x:v>336</x:v>
      </x:c>
      <x:c r="F79" s="18" t="s">
        <x:v>337</x:v>
      </x:c>
      <x:c r="G79" s="126">
        <x:v>48347</x:v>
      </x:c>
      <x:c r="H79" s="126" t="e">
        <x:f>IF(G79="","",IF(G79&lt;参数与口径!$E$6,1,MATCH(G79,等级配置!$C$4:$C$103,1)))</x:f>
        <x:v>#NAME?</x:v>
      </x:c>
      <x:c r="I79" s="58" t="e">
        <x:f>IF(H79="","",INDEX(等级配置!$B$4:$B$103,H79))</x:f>
        <x:v>#NAME?</x:v>
      </x:c>
      <x:c r="J79" s="58" t="e">
        <x:f>IF(AND(D79="当前已婚",G79&lt;参数与口径!$E$6),"存量兼容Lv1",IF(G79&gt;=等级配置!$C$103,"Lv100溢出","正常"))</x:f>
        <x:v>#NAME?</x:v>
      </x:c>
      <x:c r="K79" s="20" t="str">
        <x:f t="shared" si="1"/>
        <x:v>当前已婚但存在离婚日期</x:v>
      </x:c>
    </x:row>
    <x:row r="80" ht="17">
      <x:c r="A80" s="58" t="s">
        <x:v>338</x:v>
      </x:c>
      <x:c r="B80" s="58" t="s">
        <x:v>339</x:v>
      </x:c>
      <x:c r="C80" s="58" t="s">
        <x:v>340</x:v>
      </x:c>
      <x:c r="D80" s="58" t="s">
        <x:v>14</x:v>
      </x:c>
      <x:c r="E80" s="18" t="s">
        <x:v>341</x:v>
      </x:c>
      <x:c r="F80" s="18" t="s">
        <x:v>342</x:v>
      </x:c>
      <x:c r="G80" s="126">
        <x:v>47232</x:v>
      </x:c>
      <x:c r="H80" s="126" t="e">
        <x:f>IF(G80="","",IF(G80&lt;参数与口径!$E$6,1,MATCH(G80,等级配置!$C$4:$C$103,1)))</x:f>
        <x:v>#NAME?</x:v>
      </x:c>
      <x:c r="I80" s="58" t="e">
        <x:f>IF(H80="","",INDEX(等级配置!$B$4:$B$103,H80))</x:f>
        <x:v>#NAME?</x:v>
      </x:c>
      <x:c r="J80" s="58" t="e">
        <x:f>IF(AND(D80="当前已婚",G80&lt;参数与口径!$E$6),"存量兼容Lv1",IF(G80&gt;=等级配置!$C$103,"Lv100溢出","正常"))</x:f>
        <x:v>#NAME?</x:v>
      </x:c>
      <x:c r="K80" s="20" t="str">
        <x:f t="shared" si="1"/>
        <x:v>当前已婚但存在离婚日期</x:v>
      </x:c>
    </x:row>
    <x:row r="81" ht="17">
      <x:c r="A81" s="58" t="s">
        <x:v>343</x:v>
      </x:c>
      <x:c r="B81" s="58" t="s">
        <x:v>344</x:v>
      </x:c>
      <x:c r="C81" s="58" t="s">
        <x:v>345</x:v>
      </x:c>
      <x:c r="D81" s="58" t="s">
        <x:v>14</x:v>
      </x:c>
      <x:c r="E81" s="18" t="s">
        <x:v>346</x:v>
      </x:c>
      <x:c r="F81" s="18" t="s">
        <x:v>347</x:v>
      </x:c>
      <x:c r="G81" s="126">
        <x:v>46818</x:v>
      </x:c>
      <x:c r="H81" s="126" t="e">
        <x:f>IF(G81="","",IF(G81&lt;参数与口径!$E$6,1,MATCH(G81,等级配置!$C$4:$C$103,1)))</x:f>
        <x:v>#NAME?</x:v>
      </x:c>
      <x:c r="I81" s="58" t="e">
        <x:f>IF(H81="","",INDEX(等级配置!$B$4:$B$103,H81))</x:f>
        <x:v>#NAME?</x:v>
      </x:c>
      <x:c r="J81" s="58" t="e">
        <x:f>IF(AND(D81="当前已婚",G81&lt;参数与口径!$E$6),"存量兼容Lv1",IF(G81&gt;=等级配置!$C$103,"Lv100溢出","正常"))</x:f>
        <x:v>#NAME?</x:v>
      </x:c>
      <x:c r="K81" s="20" t="str">
        <x:f t="shared" si="1"/>
        <x:v>当前已婚但存在离婚日期</x:v>
      </x:c>
    </x:row>
    <x:row r="82" ht="17">
      <x:c r="A82" s="58" t="s">
        <x:v>348</x:v>
      </x:c>
      <x:c r="B82" s="58" t="s">
        <x:v>349</x:v>
      </x:c>
      <x:c r="C82" s="58" t="s">
        <x:v>350</x:v>
      </x:c>
      <x:c r="D82" s="58" t="s">
        <x:v>14</x:v>
      </x:c>
      <x:c r="E82" s="18" t="s">
        <x:v>351</x:v>
      </x:c>
      <x:c r="F82" s="18"/>
      <x:c r="G82" s="126">
        <x:v>46745</x:v>
      </x:c>
      <x:c r="H82" s="126" t="e">
        <x:f>IF(G82="","",IF(G82&lt;参数与口径!$E$6,1,MATCH(G82,等级配置!$C$4:$C$103,1)))</x:f>
        <x:v>#NAME?</x:v>
      </x:c>
      <x:c r="I82" s="58" t="e">
        <x:f>IF(H82="","",INDEX(等级配置!$B$4:$B$103,H82))</x:f>
        <x:v>#NAME?</x:v>
      </x:c>
      <x:c r="J82" s="58" t="e">
        <x:f>IF(AND(D82="当前已婚",G82&lt;参数与口径!$E$6),"存量兼容Lv1",IF(G82&gt;=等级配置!$C$103,"Lv100溢出","正常"))</x:f>
        <x:v>#NAME?</x:v>
      </x:c>
      <x:c r="K82" s="20" t="str">
        <x:f t="shared" si="1"/>
      </x:c>
    </x:row>
    <x:row r="83" ht="17">
      <x:c r="A83" s="58" t="s">
        <x:v>352</x:v>
      </x:c>
      <x:c r="B83" s="58" t="s">
        <x:v>353</x:v>
      </x:c>
      <x:c r="C83" s="58" t="s">
        <x:v>354</x:v>
      </x:c>
      <x:c r="D83" s="58" t="s">
        <x:v>14</x:v>
      </x:c>
      <x:c r="E83" s="18" t="s">
        <x:v>355</x:v>
      </x:c>
      <x:c r="F83" s="18"/>
      <x:c r="G83" s="126">
        <x:v>45986</x:v>
      </x:c>
      <x:c r="H83" s="126" t="e">
        <x:f>IF(G83="","",IF(G83&lt;参数与口径!$E$6,1,MATCH(G83,等级配置!$C$4:$C$103,1)))</x:f>
        <x:v>#NAME?</x:v>
      </x:c>
      <x:c r="I83" s="58" t="e">
        <x:f>IF(H83="","",INDEX(等级配置!$B$4:$B$103,H83))</x:f>
        <x:v>#NAME?</x:v>
      </x:c>
      <x:c r="J83" s="58" t="e">
        <x:f>IF(AND(D83="当前已婚",G83&lt;参数与口径!$E$6),"存量兼容Lv1",IF(G83&gt;=等级配置!$C$103,"Lv100溢出","正常"))</x:f>
        <x:v>#NAME?</x:v>
      </x:c>
      <x:c r="K83" s="20" t="str">
        <x:f t="shared" si="1"/>
      </x:c>
    </x:row>
    <x:row r="84" ht="17">
      <x:c r="A84" s="58" t="s">
        <x:v>356</x:v>
      </x:c>
      <x:c r="B84" s="58" t="s">
        <x:v>357</x:v>
      </x:c>
      <x:c r="C84" s="58" t="s">
        <x:v>358</x:v>
      </x:c>
      <x:c r="D84" s="58" t="s">
        <x:v>14</x:v>
      </x:c>
      <x:c r="E84" s="18" t="s">
        <x:v>359</x:v>
      </x:c>
      <x:c r="F84" s="18"/>
      <x:c r="G84" s="126">
        <x:v>45026</x:v>
      </x:c>
      <x:c r="H84" s="126" t="e">
        <x:f>IF(G84="","",IF(G84&lt;参数与口径!$E$6,1,MATCH(G84,等级配置!$C$4:$C$103,1)))</x:f>
        <x:v>#NAME?</x:v>
      </x:c>
      <x:c r="I84" s="58" t="e">
        <x:f>IF(H84="","",INDEX(等级配置!$B$4:$B$103,H84))</x:f>
        <x:v>#NAME?</x:v>
      </x:c>
      <x:c r="J84" s="58" t="e">
        <x:f>IF(AND(D84="当前已婚",G84&lt;参数与口径!$E$6),"存量兼容Lv1",IF(G84&gt;=等级配置!$C$103,"Lv100溢出","正常"))</x:f>
        <x:v>#NAME?</x:v>
      </x:c>
      <x:c r="K84" s="20" t="str">
        <x:f t="shared" si="1"/>
      </x:c>
    </x:row>
    <x:row r="85" ht="17">
      <x:c r="A85" s="58" t="s">
        <x:v>360</x:v>
      </x:c>
      <x:c r="B85" s="58" t="s">
        <x:v>361</x:v>
      </x:c>
      <x:c r="C85" s="58" t="s">
        <x:v>362</x:v>
      </x:c>
      <x:c r="D85" s="58" t="s">
        <x:v>14</x:v>
      </x:c>
      <x:c r="E85" s="18" t="s">
        <x:v>363</x:v>
      </x:c>
      <x:c r="F85" s="18" t="s">
        <x:v>364</x:v>
      </x:c>
      <x:c r="G85" s="126">
        <x:v>44284</x:v>
      </x:c>
      <x:c r="H85" s="126" t="e">
        <x:f>IF(G85="","",IF(G85&lt;参数与口径!$E$6,1,MATCH(G85,等级配置!$C$4:$C$103,1)))</x:f>
        <x:v>#NAME?</x:v>
      </x:c>
      <x:c r="I85" s="58" t="e">
        <x:f>IF(H85="","",INDEX(等级配置!$B$4:$B$103,H85))</x:f>
        <x:v>#NAME?</x:v>
      </x:c>
      <x:c r="J85" s="58" t="e">
        <x:f>IF(AND(D85="当前已婚",G85&lt;参数与口径!$E$6),"存量兼容Lv1",IF(G85&gt;=等级配置!$C$103,"Lv100溢出","正常"))</x:f>
        <x:v>#NAME?</x:v>
      </x:c>
      <x:c r="K85" s="20" t="str">
        <x:f t="shared" si="1"/>
        <x:v>当前已婚但存在离婚日期</x:v>
      </x:c>
    </x:row>
    <x:row r="86" ht="17">
      <x:c r="A86" s="58" t="s">
        <x:v>365</x:v>
      </x:c>
      <x:c r="B86" s="58" t="s">
        <x:v>366</x:v>
      </x:c>
      <x:c r="C86" s="58" t="s">
        <x:v>367</x:v>
      </x:c>
      <x:c r="D86" s="58" t="s">
        <x:v>14</x:v>
      </x:c>
      <x:c r="E86" s="18" t="s">
        <x:v>368</x:v>
      </x:c>
      <x:c r="F86" s="18"/>
      <x:c r="G86" s="126">
        <x:v>43764</x:v>
      </x:c>
      <x:c r="H86" s="126" t="e">
        <x:f>IF(G86="","",IF(G86&lt;参数与口径!$E$6,1,MATCH(G86,等级配置!$C$4:$C$103,1)))</x:f>
        <x:v>#NAME?</x:v>
      </x:c>
      <x:c r="I86" s="58" t="e">
        <x:f>IF(H86="","",INDEX(等级配置!$B$4:$B$103,H86))</x:f>
        <x:v>#NAME?</x:v>
      </x:c>
      <x:c r="J86" s="58" t="e">
        <x:f>IF(AND(D86="当前已婚",G86&lt;参数与口径!$E$6),"存量兼容Lv1",IF(G86&gt;=等级配置!$C$103,"Lv100溢出","正常"))</x:f>
        <x:v>#NAME?</x:v>
      </x:c>
      <x:c r="K86" s="20" t="str">
        <x:f t="shared" si="1"/>
      </x:c>
    </x:row>
    <x:row r="87" ht="17">
      <x:c r="A87" s="58" t="s">
        <x:v>369</x:v>
      </x:c>
      <x:c r="B87" s="58" t="s">
        <x:v>370</x:v>
      </x:c>
      <x:c r="C87" s="58" t="s">
        <x:v>371</x:v>
      </x:c>
      <x:c r="D87" s="58" t="s">
        <x:v>14</x:v>
      </x:c>
      <x:c r="E87" s="18" t="s">
        <x:v>372</x:v>
      </x:c>
      <x:c r="F87" s="18"/>
      <x:c r="G87" s="126">
        <x:v>42962</x:v>
      </x:c>
      <x:c r="H87" s="126" t="e">
        <x:f>IF(G87="","",IF(G87&lt;参数与口径!$E$6,1,MATCH(G87,等级配置!$C$4:$C$103,1)))</x:f>
        <x:v>#NAME?</x:v>
      </x:c>
      <x:c r="I87" s="58" t="e">
        <x:f>IF(H87="","",INDEX(等级配置!$B$4:$B$103,H87))</x:f>
        <x:v>#NAME?</x:v>
      </x:c>
      <x:c r="J87" s="58" t="e">
        <x:f>IF(AND(D87="当前已婚",G87&lt;参数与口径!$E$6),"存量兼容Lv1",IF(G87&gt;=等级配置!$C$103,"Lv100溢出","正常"))</x:f>
        <x:v>#NAME?</x:v>
      </x:c>
      <x:c r="K87" s="20" t="str">
        <x:f t="shared" si="1"/>
      </x:c>
    </x:row>
    <x:row r="88" ht="17">
      <x:c r="A88" s="58" t="s">
        <x:v>373</x:v>
      </x:c>
      <x:c r="B88" s="58" t="s">
        <x:v>374</x:v>
      </x:c>
      <x:c r="C88" s="58" t="s">
        <x:v>375</x:v>
      </x:c>
      <x:c r="D88" s="58" t="s">
        <x:v>14</x:v>
      </x:c>
      <x:c r="E88" s="18" t="s">
        <x:v>376</x:v>
      </x:c>
      <x:c r="F88" s="18"/>
      <x:c r="G88" s="126">
        <x:v>42674</x:v>
      </x:c>
      <x:c r="H88" s="126" t="e">
        <x:f>IF(G88="","",IF(G88&lt;参数与口径!$E$6,1,MATCH(G88,等级配置!$C$4:$C$103,1)))</x:f>
        <x:v>#NAME?</x:v>
      </x:c>
      <x:c r="I88" s="58" t="e">
        <x:f>IF(H88="","",INDEX(等级配置!$B$4:$B$103,H88))</x:f>
        <x:v>#NAME?</x:v>
      </x:c>
      <x:c r="J88" s="58" t="e">
        <x:f>IF(AND(D88="当前已婚",G88&lt;参数与口径!$E$6),"存量兼容Lv1",IF(G88&gt;=等级配置!$C$103,"Lv100溢出","正常"))</x:f>
        <x:v>#NAME?</x:v>
      </x:c>
      <x:c r="K88" s="20" t="str">
        <x:f t="shared" si="1"/>
      </x:c>
    </x:row>
    <x:row r="89" ht="17">
      <x:c r="A89" s="58" t="s">
        <x:v>377</x:v>
      </x:c>
      <x:c r="B89" s="58" t="s">
        <x:v>378</x:v>
      </x:c>
      <x:c r="C89" s="58" t="s">
        <x:v>379</x:v>
      </x:c>
      <x:c r="D89" s="58" t="s">
        <x:v>14</x:v>
      </x:c>
      <x:c r="E89" s="18" t="s">
        <x:v>380</x:v>
      </x:c>
      <x:c r="F89" s="18"/>
      <x:c r="G89" s="126">
        <x:v>42555</x:v>
      </x:c>
      <x:c r="H89" s="126" t="e">
        <x:f>IF(G89="","",IF(G89&lt;参数与口径!$E$6,1,MATCH(G89,等级配置!$C$4:$C$103,1)))</x:f>
        <x:v>#NAME?</x:v>
      </x:c>
      <x:c r="I89" s="58" t="e">
        <x:f>IF(H89="","",INDEX(等级配置!$B$4:$B$103,H89))</x:f>
        <x:v>#NAME?</x:v>
      </x:c>
      <x:c r="J89" s="58" t="e">
        <x:f>IF(AND(D89="当前已婚",G89&lt;参数与口径!$E$6),"存量兼容Lv1",IF(G89&gt;=等级配置!$C$103,"Lv100溢出","正常"))</x:f>
        <x:v>#NAME?</x:v>
      </x:c>
      <x:c r="K89" s="20" t="str">
        <x:f t="shared" si="1"/>
      </x:c>
    </x:row>
    <x:row r="90" ht="17">
      <x:c r="A90" s="58" t="s">
        <x:v>381</x:v>
      </x:c>
      <x:c r="B90" s="58" t="s">
        <x:v>382</x:v>
      </x:c>
      <x:c r="C90" s="58" t="s">
        <x:v>383</x:v>
      </x:c>
      <x:c r="D90" s="58" t="s">
        <x:v>14</x:v>
      </x:c>
      <x:c r="E90" s="18" t="s">
        <x:v>384</x:v>
      </x:c>
      <x:c r="F90" s="18"/>
      <x:c r="G90" s="126">
        <x:v>41073</x:v>
      </x:c>
      <x:c r="H90" s="126" t="e">
        <x:f>IF(G90="","",IF(G90&lt;参数与口径!$E$6,1,MATCH(G90,等级配置!$C$4:$C$103,1)))</x:f>
        <x:v>#NAME?</x:v>
      </x:c>
      <x:c r="I90" s="58" t="e">
        <x:f>IF(H90="","",INDEX(等级配置!$B$4:$B$103,H90))</x:f>
        <x:v>#NAME?</x:v>
      </x:c>
      <x:c r="J90" s="58" t="e">
        <x:f>IF(AND(D90="当前已婚",G90&lt;参数与口径!$E$6),"存量兼容Lv1",IF(G90&gt;=等级配置!$C$103,"Lv100溢出","正常"))</x:f>
        <x:v>#NAME?</x:v>
      </x:c>
      <x:c r="K90" s="20" t="str">
        <x:f t="shared" si="1"/>
      </x:c>
    </x:row>
    <x:row r="91" ht="17">
      <x:c r="A91" s="58" t="s">
        <x:v>385</x:v>
      </x:c>
      <x:c r="B91" s="58" t="s">
        <x:v>386</x:v>
      </x:c>
      <x:c r="C91" s="58" t="s">
        <x:v>387</x:v>
      </x:c>
      <x:c r="D91" s="58" t="s">
        <x:v>14</x:v>
      </x:c>
      <x:c r="E91" s="18" t="s">
        <x:v>388</x:v>
      </x:c>
      <x:c r="F91" s="18"/>
      <x:c r="G91" s="126">
        <x:v>41017</x:v>
      </x:c>
      <x:c r="H91" s="126" t="e">
        <x:f>IF(G91="","",IF(G91&lt;参数与口径!$E$6,1,MATCH(G91,等级配置!$C$4:$C$103,1)))</x:f>
        <x:v>#NAME?</x:v>
      </x:c>
      <x:c r="I91" s="58" t="e">
        <x:f>IF(H91="","",INDEX(等级配置!$B$4:$B$103,H91))</x:f>
        <x:v>#NAME?</x:v>
      </x:c>
      <x:c r="J91" s="58" t="e">
        <x:f>IF(AND(D91="当前已婚",G91&lt;参数与口径!$E$6),"存量兼容Lv1",IF(G91&gt;=等级配置!$C$103,"Lv100溢出","正常"))</x:f>
        <x:v>#NAME?</x:v>
      </x:c>
      <x:c r="K91" s="20" t="str">
        <x:f t="shared" si="1"/>
      </x:c>
    </x:row>
    <x:row r="92" ht="17">
      <x:c r="A92" s="58" t="s">
        <x:v>389</x:v>
      </x:c>
      <x:c r="B92" s="58" t="s">
        <x:v>390</x:v>
      </x:c>
      <x:c r="C92" s="58" t="s">
        <x:v>391</x:v>
      </x:c>
      <x:c r="D92" s="58" t="s">
        <x:v>14</x:v>
      </x:c>
      <x:c r="E92" s="18" t="s">
        <x:v>392</x:v>
      </x:c>
      <x:c r="F92" s="18"/>
      <x:c r="G92" s="126">
        <x:v>40576</x:v>
      </x:c>
      <x:c r="H92" s="126" t="e">
        <x:f>IF(G92="","",IF(G92&lt;参数与口径!$E$6,1,MATCH(G92,等级配置!$C$4:$C$103,1)))</x:f>
        <x:v>#NAME?</x:v>
      </x:c>
      <x:c r="I92" s="58" t="e">
        <x:f>IF(H92="","",INDEX(等级配置!$B$4:$B$103,H92))</x:f>
        <x:v>#NAME?</x:v>
      </x:c>
      <x:c r="J92" s="58" t="e">
        <x:f>IF(AND(D92="当前已婚",G92&lt;参数与口径!$E$6),"存量兼容Lv1",IF(G92&gt;=等级配置!$C$103,"Lv100溢出","正常"))</x:f>
        <x:v>#NAME?</x:v>
      </x:c>
      <x:c r="K92" s="20" t="str">
        <x:f t="shared" si="1"/>
      </x:c>
    </x:row>
    <x:row r="93" ht="17">
      <x:c r="A93" s="58" t="s">
        <x:v>393</x:v>
      </x:c>
      <x:c r="B93" s="58" t="s">
        <x:v>394</x:v>
      </x:c>
      <x:c r="C93" s="58" t="s">
        <x:v>395</x:v>
      </x:c>
      <x:c r="D93" s="58" t="s">
        <x:v>14</x:v>
      </x:c>
      <x:c r="E93" s="18" t="s">
        <x:v>396</x:v>
      </x:c>
      <x:c r="F93" s="18"/>
      <x:c r="G93" s="126">
        <x:v>40423</x:v>
      </x:c>
      <x:c r="H93" s="126" t="e">
        <x:f>IF(G93="","",IF(G93&lt;参数与口径!$E$6,1,MATCH(G93,等级配置!$C$4:$C$103,1)))</x:f>
        <x:v>#NAME?</x:v>
      </x:c>
      <x:c r="I93" s="58" t="e">
        <x:f>IF(H93="","",INDEX(等级配置!$B$4:$B$103,H93))</x:f>
        <x:v>#NAME?</x:v>
      </x:c>
      <x:c r="J93" s="58" t="e">
        <x:f>IF(AND(D93="当前已婚",G93&lt;参数与口径!$E$6),"存量兼容Lv1",IF(G93&gt;=等级配置!$C$103,"Lv100溢出","正常"))</x:f>
        <x:v>#NAME?</x:v>
      </x:c>
      <x:c r="K93" s="20" t="str">
        <x:f t="shared" si="1"/>
      </x:c>
    </x:row>
    <x:row r="94" ht="17">
      <x:c r="A94" s="58" t="s">
        <x:v>397</x:v>
      </x:c>
      <x:c r="B94" s="58" t="s">
        <x:v>398</x:v>
      </x:c>
      <x:c r="C94" s="58" t="s">
        <x:v>399</x:v>
      </x:c>
      <x:c r="D94" s="58" t="s">
        <x:v>14</x:v>
      </x:c>
      <x:c r="E94" s="18" t="s">
        <x:v>400</x:v>
      </x:c>
      <x:c r="F94" s="18"/>
      <x:c r="G94" s="126">
        <x:v>40357</x:v>
      </x:c>
      <x:c r="H94" s="126" t="e">
        <x:f>IF(G94="","",IF(G94&lt;参数与口径!$E$6,1,MATCH(G94,等级配置!$C$4:$C$103,1)))</x:f>
        <x:v>#NAME?</x:v>
      </x:c>
      <x:c r="I94" s="58" t="e">
        <x:f>IF(H94="","",INDEX(等级配置!$B$4:$B$103,H94))</x:f>
        <x:v>#NAME?</x:v>
      </x:c>
      <x:c r="J94" s="58" t="e">
        <x:f>IF(AND(D94="当前已婚",G94&lt;参数与口径!$E$6),"存量兼容Lv1",IF(G94&gt;=等级配置!$C$103,"Lv100溢出","正常"))</x:f>
        <x:v>#NAME?</x:v>
      </x:c>
      <x:c r="K94" s="20" t="str">
        <x:f t="shared" si="1"/>
      </x:c>
    </x:row>
    <x:row r="95" ht="17">
      <x:c r="A95" s="58" t="s">
        <x:v>401</x:v>
      </x:c>
      <x:c r="B95" s="58" t="s">
        <x:v>402</x:v>
      </x:c>
      <x:c r="C95" s="58" t="s">
        <x:v>403</x:v>
      </x:c>
      <x:c r="D95" s="58" t="s">
        <x:v>14</x:v>
      </x:c>
      <x:c r="E95" s="18" t="s">
        <x:v>404</x:v>
      </x:c>
      <x:c r="F95" s="18" t="s">
        <x:v>405</x:v>
      </x:c>
      <x:c r="G95" s="126">
        <x:v>39968</x:v>
      </x:c>
      <x:c r="H95" s="126" t="e">
        <x:f>IF(G95="","",IF(G95&lt;参数与口径!$E$6,1,MATCH(G95,等级配置!$C$4:$C$103,1)))</x:f>
        <x:v>#NAME?</x:v>
      </x:c>
      <x:c r="I95" s="58" t="e">
        <x:f>IF(H95="","",INDEX(等级配置!$B$4:$B$103,H95))</x:f>
        <x:v>#NAME?</x:v>
      </x:c>
      <x:c r="J95" s="58" t="e">
        <x:f>IF(AND(D95="当前已婚",G95&lt;参数与口径!$E$6),"存量兼容Lv1",IF(G95&gt;=等级配置!$C$103,"Lv100溢出","正常"))</x:f>
        <x:v>#NAME?</x:v>
      </x:c>
      <x:c r="K95" s="20" t="str">
        <x:f t="shared" si="1"/>
        <x:v>当前已婚但存在离婚日期</x:v>
      </x:c>
    </x:row>
    <x:row r="96" ht="17">
      <x:c r="A96" s="58" t="s">
        <x:v>406</x:v>
      </x:c>
      <x:c r="B96" s="58" t="s">
        <x:v>407</x:v>
      </x:c>
      <x:c r="C96" s="58" t="s">
        <x:v>408</x:v>
      </x:c>
      <x:c r="D96" s="58" t="s">
        <x:v>14</x:v>
      </x:c>
      <x:c r="E96" s="18" t="s">
        <x:v>409</x:v>
      </x:c>
      <x:c r="F96" s="18"/>
      <x:c r="G96" s="126">
        <x:v>38781</x:v>
      </x:c>
      <x:c r="H96" s="126" t="e">
        <x:f>IF(G96="","",IF(G96&lt;参数与口径!$E$6,1,MATCH(G96,等级配置!$C$4:$C$103,1)))</x:f>
        <x:v>#NAME?</x:v>
      </x:c>
      <x:c r="I96" s="58" t="e">
        <x:f>IF(H96="","",INDEX(等级配置!$B$4:$B$103,H96))</x:f>
        <x:v>#NAME?</x:v>
      </x:c>
      <x:c r="J96" s="58" t="e">
        <x:f>IF(AND(D96="当前已婚",G96&lt;参数与口径!$E$6),"存量兼容Lv1",IF(G96&gt;=等级配置!$C$103,"Lv100溢出","正常"))</x:f>
        <x:v>#NAME?</x:v>
      </x:c>
      <x:c r="K96" s="20" t="str">
        <x:f t="shared" si="1"/>
      </x:c>
    </x:row>
    <x:row r="97" ht="17">
      <x:c r="A97" s="58" t="s">
        <x:v>410</x:v>
      </x:c>
      <x:c r="B97" s="58" t="s">
        <x:v>411</x:v>
      </x:c>
      <x:c r="C97" s="58" t="s">
        <x:v>412</x:v>
      </x:c>
      <x:c r="D97" s="58" t="s">
        <x:v>14</x:v>
      </x:c>
      <x:c r="E97" s="18" t="s">
        <x:v>413</x:v>
      </x:c>
      <x:c r="F97" s="18"/>
      <x:c r="G97" s="126">
        <x:v>38409</x:v>
      </x:c>
      <x:c r="H97" s="126" t="e">
        <x:f>IF(G97="","",IF(G97&lt;参数与口径!$E$6,1,MATCH(G97,等级配置!$C$4:$C$103,1)))</x:f>
        <x:v>#NAME?</x:v>
      </x:c>
      <x:c r="I97" s="58" t="e">
        <x:f>IF(H97="","",INDEX(等级配置!$B$4:$B$103,H97))</x:f>
        <x:v>#NAME?</x:v>
      </x:c>
      <x:c r="J97" s="58" t="e">
        <x:f>IF(AND(D97="当前已婚",G97&lt;参数与口径!$E$6),"存量兼容Lv1",IF(G97&gt;=等级配置!$C$103,"Lv100溢出","正常"))</x:f>
        <x:v>#NAME?</x:v>
      </x:c>
      <x:c r="K97" s="20" t="str">
        <x:f t="shared" si="1"/>
      </x:c>
    </x:row>
    <x:row r="98" ht="17">
      <x:c r="A98" s="58" t="s">
        <x:v>414</x:v>
      </x:c>
      <x:c r="B98" s="58" t="s">
        <x:v>415</x:v>
      </x:c>
      <x:c r="C98" s="58" t="s">
        <x:v>416</x:v>
      </x:c>
      <x:c r="D98" s="58" t="s">
        <x:v>14</x:v>
      </x:c>
      <x:c r="E98" s="18" t="s">
        <x:v>417</x:v>
      </x:c>
      <x:c r="F98" s="18"/>
      <x:c r="G98" s="126">
        <x:v>37751</x:v>
      </x:c>
      <x:c r="H98" s="126" t="e">
        <x:f>IF(G98="","",IF(G98&lt;参数与口径!$E$6,1,MATCH(G98,等级配置!$C$4:$C$103,1)))</x:f>
        <x:v>#NAME?</x:v>
      </x:c>
      <x:c r="I98" s="58" t="e">
        <x:f>IF(H98="","",INDEX(等级配置!$B$4:$B$103,H98))</x:f>
        <x:v>#NAME?</x:v>
      </x:c>
      <x:c r="J98" s="58" t="e">
        <x:f>IF(AND(D98="当前已婚",G98&lt;参数与口径!$E$6),"存量兼容Lv1",IF(G98&gt;=等级配置!$C$103,"Lv100溢出","正常"))</x:f>
        <x:v>#NAME?</x:v>
      </x:c>
      <x:c r="K98" s="20" t="str">
        <x:f t="shared" si="1"/>
      </x:c>
    </x:row>
    <x:row r="99" ht="17">
      <x:c r="A99" s="58" t="s">
        <x:v>418</x:v>
      </x:c>
      <x:c r="B99" s="58" t="s">
        <x:v>419</x:v>
      </x:c>
      <x:c r="C99" s="58" t="s">
        <x:v>420</x:v>
      </x:c>
      <x:c r="D99" s="58" t="s">
        <x:v>14</x:v>
      </x:c>
      <x:c r="E99" s="18" t="s">
        <x:v>421</x:v>
      </x:c>
      <x:c r="F99" s="18" t="s">
        <x:v>422</x:v>
      </x:c>
      <x:c r="G99" s="126">
        <x:v>37482</x:v>
      </x:c>
      <x:c r="H99" s="126" t="e">
        <x:f>IF(G99="","",IF(G99&lt;参数与口径!$E$6,1,MATCH(G99,等级配置!$C$4:$C$103,1)))</x:f>
        <x:v>#NAME?</x:v>
      </x:c>
      <x:c r="I99" s="58" t="e">
        <x:f>IF(H99="","",INDEX(等级配置!$B$4:$B$103,H99))</x:f>
        <x:v>#NAME?</x:v>
      </x:c>
      <x:c r="J99" s="58" t="e">
        <x:f>IF(AND(D99="当前已婚",G99&lt;参数与口径!$E$6),"存量兼容Lv1",IF(G99&gt;=等级配置!$C$103,"Lv100溢出","正常"))</x:f>
        <x:v>#NAME?</x:v>
      </x:c>
      <x:c r="K99" s="20" t="str">
        <x:f t="shared" si="1"/>
        <x:v>当前已婚但存在离婚日期</x:v>
      </x:c>
    </x:row>
    <x:row r="100" ht="17">
      <x:c r="A100" s="58" t="s">
        <x:v>423</x:v>
      </x:c>
      <x:c r="B100" s="58" t="s">
        <x:v>424</x:v>
      </x:c>
      <x:c r="C100" s="58" t="s">
        <x:v>425</x:v>
      </x:c>
      <x:c r="D100" s="58" t="s">
        <x:v>14</x:v>
      </x:c>
      <x:c r="E100" s="18" t="s">
        <x:v>426</x:v>
      </x:c>
      <x:c r="F100" s="18" t="s">
        <x:v>427</x:v>
      </x:c>
      <x:c r="G100" s="126">
        <x:v>37347</x:v>
      </x:c>
      <x:c r="H100" s="126" t="e">
        <x:f>IF(G100="","",IF(G100&lt;参数与口径!$E$6,1,MATCH(G100,等级配置!$C$4:$C$103,1)))</x:f>
        <x:v>#NAME?</x:v>
      </x:c>
      <x:c r="I100" s="58" t="e">
        <x:f>IF(H100="","",INDEX(等级配置!$B$4:$B$103,H100))</x:f>
        <x:v>#NAME?</x:v>
      </x:c>
      <x:c r="J100" s="58" t="e">
        <x:f>IF(AND(D100="当前已婚",G100&lt;参数与口径!$E$6),"存量兼容Lv1",IF(G100&gt;=等级配置!$C$103,"Lv100溢出","正常"))</x:f>
        <x:v>#NAME?</x:v>
      </x:c>
      <x:c r="K100" s="20" t="str">
        <x:f t="shared" si="1"/>
        <x:v>当前已婚但存在离婚日期</x:v>
      </x:c>
    </x:row>
    <x:row r="101" ht="17">
      <x:c r="A101" s="58" t="s">
        <x:v>428</x:v>
      </x:c>
      <x:c r="B101" s="58" t="s">
        <x:v>429</x:v>
      </x:c>
      <x:c r="C101" s="58" t="s">
        <x:v>430</x:v>
      </x:c>
      <x:c r="D101" s="58" t="s">
        <x:v>14</x:v>
      </x:c>
      <x:c r="E101" s="18" t="s">
        <x:v>431</x:v>
      </x:c>
      <x:c r="F101" s="18"/>
      <x:c r="G101" s="126">
        <x:v>37334</x:v>
      </x:c>
      <x:c r="H101" s="126" t="e">
        <x:f>IF(G101="","",IF(G101&lt;参数与口径!$E$6,1,MATCH(G101,等级配置!$C$4:$C$103,1)))</x:f>
        <x:v>#NAME?</x:v>
      </x:c>
      <x:c r="I101" s="58" t="e">
        <x:f>IF(H101="","",INDEX(等级配置!$B$4:$B$103,H101))</x:f>
        <x:v>#NAME?</x:v>
      </x:c>
      <x:c r="J101" s="58" t="e">
        <x:f>IF(AND(D101="当前已婚",G101&lt;参数与口径!$E$6),"存量兼容Lv1",IF(G101&gt;=等级配置!$C$103,"Lv100溢出","正常"))</x:f>
        <x:v>#NAME?</x:v>
      </x:c>
      <x:c r="K101" s="20" t="str">
        <x:f t="shared" si="1"/>
      </x:c>
    </x:row>
    <x:row r="102" ht="17">
      <x:c r="A102" s="58" t="s">
        <x:v>432</x:v>
      </x:c>
      <x:c r="B102" s="58" t="s">
        <x:v>433</x:v>
      </x:c>
      <x:c r="C102" s="58" t="s">
        <x:v>434</x:v>
      </x:c>
      <x:c r="D102" s="58" t="s">
        <x:v>14</x:v>
      </x:c>
      <x:c r="E102" s="18" t="s">
        <x:v>435</x:v>
      </x:c>
      <x:c r="F102" s="18"/>
      <x:c r="G102" s="126">
        <x:v>36893</x:v>
      </x:c>
      <x:c r="H102" s="126" t="e">
        <x:f>IF(G102="","",IF(G102&lt;参数与口径!$E$6,1,MATCH(G102,等级配置!$C$4:$C$103,1)))</x:f>
        <x:v>#NAME?</x:v>
      </x:c>
      <x:c r="I102" s="58" t="e">
        <x:f>IF(H102="","",INDEX(等级配置!$B$4:$B$103,H102))</x:f>
        <x:v>#NAME?</x:v>
      </x:c>
      <x:c r="J102" s="58" t="e">
        <x:f>IF(AND(D102="当前已婚",G102&lt;参数与口径!$E$6),"存量兼容Lv1",IF(G102&gt;=等级配置!$C$103,"Lv100溢出","正常"))</x:f>
        <x:v>#NAME?</x:v>
      </x:c>
      <x:c r="K102" s="20" t="str">
        <x:f t="shared" si="1"/>
      </x:c>
    </x:row>
    <x:row r="103" ht="17">
      <x:c r="A103" s="58" t="s">
        <x:v>436</x:v>
      </x:c>
      <x:c r="B103" s="58" t="s">
        <x:v>437</x:v>
      </x:c>
      <x:c r="C103" s="58" t="s">
        <x:v>438</x:v>
      </x:c>
      <x:c r="D103" s="58" t="s">
        <x:v>14</x:v>
      </x:c>
      <x:c r="E103" s="18" t="s">
        <x:v>439</x:v>
      </x:c>
      <x:c r="F103" s="18"/>
      <x:c r="G103" s="126">
        <x:v>35760</x:v>
      </x:c>
      <x:c r="H103" s="126" t="e">
        <x:f>IF(G103="","",IF(G103&lt;参数与口径!$E$6,1,MATCH(G103,等级配置!$C$4:$C$103,1)))</x:f>
        <x:v>#NAME?</x:v>
      </x:c>
      <x:c r="I103" s="58" t="e">
        <x:f>IF(H103="","",INDEX(等级配置!$B$4:$B$103,H103))</x:f>
        <x:v>#NAME?</x:v>
      </x:c>
      <x:c r="J103" s="58" t="e">
        <x:f>IF(AND(D103="当前已婚",G103&lt;参数与口径!$E$6),"存量兼容Lv1",IF(G103&gt;=等级配置!$C$103,"Lv100溢出","正常"))</x:f>
        <x:v>#NAME?</x:v>
      </x:c>
      <x:c r="K103" s="20" t="str">
        <x:f t="shared" si="1"/>
      </x:c>
    </x:row>
    <x:row r="104" ht="17">
      <x:c r="A104" s="58" t="s">
        <x:v>440</x:v>
      </x:c>
      <x:c r="B104" s="58" t="s">
        <x:v>441</x:v>
      </x:c>
      <x:c r="C104" s="58" t="s">
        <x:v>442</x:v>
      </x:c>
      <x:c r="D104" s="58" t="s">
        <x:v>14</x:v>
      </x:c>
      <x:c r="E104" s="18" t="s">
        <x:v>443</x:v>
      </x:c>
      <x:c r="F104" s="18"/>
      <x:c r="G104" s="126">
        <x:v>35011</x:v>
      </x:c>
      <x:c r="H104" s="126" t="e">
        <x:f>IF(G104="","",IF(G104&lt;参数与口径!$E$6,1,MATCH(G104,等级配置!$C$4:$C$103,1)))</x:f>
        <x:v>#NAME?</x:v>
      </x:c>
      <x:c r="I104" s="58" t="e">
        <x:f>IF(H104="","",INDEX(等级配置!$B$4:$B$103,H104))</x:f>
        <x:v>#NAME?</x:v>
      </x:c>
      <x:c r="J104" s="58" t="e">
        <x:f>IF(AND(D104="当前已婚",G104&lt;参数与口径!$E$6),"存量兼容Lv1",IF(G104&gt;=等级配置!$C$103,"Lv100溢出","正常"))</x:f>
        <x:v>#NAME?</x:v>
      </x:c>
      <x:c r="K104" s="20" t="str">
        <x:f t="shared" si="1"/>
      </x:c>
    </x:row>
    <x:row r="105" ht="17">
      <x:c r="A105" s="58" t="s">
        <x:v>444</x:v>
      </x:c>
      <x:c r="B105" s="58" t="s">
        <x:v>445</x:v>
      </x:c>
      <x:c r="C105" s="58" t="s">
        <x:v>446</x:v>
      </x:c>
      <x:c r="D105" s="58" t="s">
        <x:v>14</x:v>
      </x:c>
      <x:c r="E105" s="18" t="s">
        <x:v>447</x:v>
      </x:c>
      <x:c r="F105" s="18" t="s">
        <x:v>448</x:v>
      </x:c>
      <x:c r="G105" s="126">
        <x:v>34578</x:v>
      </x:c>
      <x:c r="H105" s="126" t="e">
        <x:f>IF(G105="","",IF(G105&lt;参数与口径!$E$6,1,MATCH(G105,等级配置!$C$4:$C$103,1)))</x:f>
        <x:v>#NAME?</x:v>
      </x:c>
      <x:c r="I105" s="58" t="e">
        <x:f>IF(H105="","",INDEX(等级配置!$B$4:$B$103,H105))</x:f>
        <x:v>#NAME?</x:v>
      </x:c>
      <x:c r="J105" s="58" t="e">
        <x:f>IF(AND(D105="当前已婚",G105&lt;参数与口径!$E$6),"存量兼容Lv1",IF(G105&gt;=等级配置!$C$103,"Lv100溢出","正常"))</x:f>
        <x:v>#NAME?</x:v>
      </x:c>
      <x:c r="K105" s="20" t="str">
        <x:f t="shared" si="1"/>
        <x:v>当前已婚但存在离婚日期</x:v>
      </x:c>
    </x:row>
    <x:row r="106" ht="17">
      <x:c r="A106" s="58" t="s">
        <x:v>449</x:v>
      </x:c>
      <x:c r="B106" s="58" t="s">
        <x:v>450</x:v>
      </x:c>
      <x:c r="C106" s="58" t="s">
        <x:v>451</x:v>
      </x:c>
      <x:c r="D106" s="58" t="s">
        <x:v>14</x:v>
      </x:c>
      <x:c r="E106" s="18" t="s">
        <x:v>452</x:v>
      </x:c>
      <x:c r="F106" s="18"/>
      <x:c r="G106" s="126">
        <x:v>34166</x:v>
      </x:c>
      <x:c r="H106" s="126" t="e">
        <x:f>IF(G106="","",IF(G106&lt;参数与口径!$E$6,1,MATCH(G106,等级配置!$C$4:$C$103,1)))</x:f>
        <x:v>#NAME?</x:v>
      </x:c>
      <x:c r="I106" s="58" t="e">
        <x:f>IF(H106="","",INDEX(等级配置!$B$4:$B$103,H106))</x:f>
        <x:v>#NAME?</x:v>
      </x:c>
      <x:c r="J106" s="58" t="e">
        <x:f>IF(AND(D106="当前已婚",G106&lt;参数与口径!$E$6),"存量兼容Lv1",IF(G106&gt;=等级配置!$C$103,"Lv100溢出","正常"))</x:f>
        <x:v>#NAME?</x:v>
      </x:c>
      <x:c r="K106" s="20" t="str">
        <x:f t="shared" si="1"/>
      </x:c>
    </x:row>
    <x:row r="107" ht="17">
      <x:c r="A107" s="58" t="s">
        <x:v>453</x:v>
      </x:c>
      <x:c r="B107" s="58" t="s">
        <x:v>454</x:v>
      </x:c>
      <x:c r="C107" s="58" t="s">
        <x:v>455</x:v>
      </x:c>
      <x:c r="D107" s="58" t="s">
        <x:v>14</x:v>
      </x:c>
      <x:c r="E107" s="18" t="s">
        <x:v>456</x:v>
      </x:c>
      <x:c r="F107" s="18"/>
      <x:c r="G107" s="126">
        <x:v>33359</x:v>
      </x:c>
      <x:c r="H107" s="126" t="e">
        <x:f>IF(G107="","",IF(G107&lt;参数与口径!$E$6,1,MATCH(G107,等级配置!$C$4:$C$103,1)))</x:f>
        <x:v>#NAME?</x:v>
      </x:c>
      <x:c r="I107" s="58" t="e">
        <x:f>IF(H107="","",INDEX(等级配置!$B$4:$B$103,H107))</x:f>
        <x:v>#NAME?</x:v>
      </x:c>
      <x:c r="J107" s="58" t="e">
        <x:f>IF(AND(D107="当前已婚",G107&lt;参数与口径!$E$6),"存量兼容Lv1",IF(G107&gt;=等级配置!$C$103,"Lv100溢出","正常"))</x:f>
        <x:v>#NAME?</x:v>
      </x:c>
      <x:c r="K107" s="20" t="str">
        <x:f t="shared" si="1"/>
      </x:c>
    </x:row>
    <x:row r="108" ht="17">
      <x:c r="A108" s="58" t="s">
        <x:v>457</x:v>
      </x:c>
      <x:c r="B108" s="58" t="s">
        <x:v>458</x:v>
      </x:c>
      <x:c r="C108" s="58" t="s">
        <x:v>459</x:v>
      </x:c>
      <x:c r="D108" s="58" t="s">
        <x:v>14</x:v>
      </x:c>
      <x:c r="E108" s="18" t="s">
        <x:v>460</x:v>
      </x:c>
      <x:c r="F108" s="18"/>
      <x:c r="G108" s="126">
        <x:v>32577</x:v>
      </x:c>
      <x:c r="H108" s="126" t="e">
        <x:f>IF(G108="","",IF(G108&lt;参数与口径!$E$6,1,MATCH(G108,等级配置!$C$4:$C$103,1)))</x:f>
        <x:v>#NAME?</x:v>
      </x:c>
      <x:c r="I108" s="58" t="e">
        <x:f>IF(H108="","",INDEX(等级配置!$B$4:$B$103,H108))</x:f>
        <x:v>#NAME?</x:v>
      </x:c>
      <x:c r="J108" s="58" t="e">
        <x:f>IF(AND(D108="当前已婚",G108&lt;参数与口径!$E$6),"存量兼容Lv1",IF(G108&gt;=等级配置!$C$103,"Lv100溢出","正常"))</x:f>
        <x:v>#NAME?</x:v>
      </x:c>
      <x:c r="K108" s="20" t="str">
        <x:f t="shared" si="1"/>
      </x:c>
    </x:row>
    <x:row r="109" ht="17">
      <x:c r="A109" s="58" t="s">
        <x:v>461</x:v>
      </x:c>
      <x:c r="B109" s="58" t="s">
        <x:v>462</x:v>
      </x:c>
      <x:c r="C109" s="58" t="s">
        <x:v>463</x:v>
      </x:c>
      <x:c r="D109" s="58" t="s">
        <x:v>14</x:v>
      </x:c>
      <x:c r="E109" s="18" t="s">
        <x:v>464</x:v>
      </x:c>
      <x:c r="F109" s="18"/>
      <x:c r="G109" s="126">
        <x:v>32251</x:v>
      </x:c>
      <x:c r="H109" s="126" t="e">
        <x:f>IF(G109="","",IF(G109&lt;参数与口径!$E$6,1,MATCH(G109,等级配置!$C$4:$C$103,1)))</x:f>
        <x:v>#NAME?</x:v>
      </x:c>
      <x:c r="I109" s="58" t="e">
        <x:f>IF(H109="","",INDEX(等级配置!$B$4:$B$103,H109))</x:f>
        <x:v>#NAME?</x:v>
      </x:c>
      <x:c r="J109" s="58" t="e">
        <x:f>IF(AND(D109="当前已婚",G109&lt;参数与口径!$E$6),"存量兼容Lv1",IF(G109&gt;=等级配置!$C$103,"Lv100溢出","正常"))</x:f>
        <x:v>#NAME?</x:v>
      </x:c>
      <x:c r="K109" s="20" t="str">
        <x:f t="shared" si="1"/>
      </x:c>
    </x:row>
    <x:row r="110" ht="17">
      <x:c r="A110" s="58" t="s">
        <x:v>465</x:v>
      </x:c>
      <x:c r="B110" s="58" t="s">
        <x:v>466</x:v>
      </x:c>
      <x:c r="C110" s="58" t="s">
        <x:v>467</x:v>
      </x:c>
      <x:c r="D110" s="58" t="s">
        <x:v>14</x:v>
      </x:c>
      <x:c r="E110" s="18" t="s">
        <x:v>468</x:v>
      </x:c>
      <x:c r="F110" s="18"/>
      <x:c r="G110" s="126">
        <x:v>32034</x:v>
      </x:c>
      <x:c r="H110" s="126" t="e">
        <x:f>IF(G110="","",IF(G110&lt;参数与口径!$E$6,1,MATCH(G110,等级配置!$C$4:$C$103,1)))</x:f>
        <x:v>#NAME?</x:v>
      </x:c>
      <x:c r="I110" s="58" t="e">
        <x:f>IF(H110="","",INDEX(等级配置!$B$4:$B$103,H110))</x:f>
        <x:v>#NAME?</x:v>
      </x:c>
      <x:c r="J110" s="58" t="e">
        <x:f>IF(AND(D110="当前已婚",G110&lt;参数与口径!$E$6),"存量兼容Lv1",IF(G110&gt;=等级配置!$C$103,"Lv100溢出","正常"))</x:f>
        <x:v>#NAME?</x:v>
      </x:c>
      <x:c r="K110" s="20" t="str">
        <x:f t="shared" si="1"/>
      </x:c>
    </x:row>
    <x:row r="111" ht="17">
      <x:c r="A111" s="58" t="s">
        <x:v>469</x:v>
      </x:c>
      <x:c r="B111" s="58" t="s">
        <x:v>470</x:v>
      </x:c>
      <x:c r="C111" s="58" t="s">
        <x:v>471</x:v>
      </x:c>
      <x:c r="D111" s="58" t="s">
        <x:v>14</x:v>
      </x:c>
      <x:c r="E111" s="18" t="s">
        <x:v>472</x:v>
      </x:c>
      <x:c r="F111" s="18"/>
      <x:c r="G111" s="126">
        <x:v>31416</x:v>
      </x:c>
      <x:c r="H111" s="126" t="e">
        <x:f>IF(G111="","",IF(G111&lt;参数与口径!$E$6,1,MATCH(G111,等级配置!$C$4:$C$103,1)))</x:f>
        <x:v>#NAME?</x:v>
      </x:c>
      <x:c r="I111" s="58" t="e">
        <x:f>IF(H111="","",INDEX(等级配置!$B$4:$B$103,H111))</x:f>
        <x:v>#NAME?</x:v>
      </x:c>
      <x:c r="J111" s="58" t="e">
        <x:f>IF(AND(D111="当前已婚",G111&lt;参数与口径!$E$6),"存量兼容Lv1",IF(G111&gt;=等级配置!$C$103,"Lv100溢出","正常"))</x:f>
        <x:v>#NAME?</x:v>
      </x:c>
      <x:c r="K111" s="20" t="str">
        <x:f t="shared" si="1"/>
      </x:c>
    </x:row>
    <x:row r="112" ht="17">
      <x:c r="A112" s="58" t="s">
        <x:v>473</x:v>
      </x:c>
      <x:c r="B112" s="58" t="s">
        <x:v>474</x:v>
      </x:c>
      <x:c r="C112" s="58" t="s">
        <x:v>475</x:v>
      </x:c>
      <x:c r="D112" s="58" t="s">
        <x:v>14</x:v>
      </x:c>
      <x:c r="E112" s="18" t="s">
        <x:v>476</x:v>
      </x:c>
      <x:c r="F112" s="18" t="s">
        <x:v>477</x:v>
      </x:c>
      <x:c r="G112" s="126">
        <x:v>31102</x:v>
      </x:c>
      <x:c r="H112" s="126" t="e">
        <x:f>IF(G112="","",IF(G112&lt;参数与口径!$E$6,1,MATCH(G112,等级配置!$C$4:$C$103,1)))</x:f>
        <x:v>#NAME?</x:v>
      </x:c>
      <x:c r="I112" s="58" t="e">
        <x:f>IF(H112="","",INDEX(等级配置!$B$4:$B$103,H112))</x:f>
        <x:v>#NAME?</x:v>
      </x:c>
      <x:c r="J112" s="58" t="e">
        <x:f>IF(AND(D112="当前已婚",G112&lt;参数与口径!$E$6),"存量兼容Lv1",IF(G112&gt;=等级配置!$C$103,"Lv100溢出","正常"))</x:f>
        <x:v>#NAME?</x:v>
      </x:c>
      <x:c r="K112" s="20" t="str">
        <x:f t="shared" si="1"/>
        <x:v>当前已婚但存在离婚日期</x:v>
      </x:c>
    </x:row>
    <x:row r="113" ht="17">
      <x:c r="A113" s="58" t="s">
        <x:v>478</x:v>
      </x:c>
      <x:c r="B113" s="58" t="s">
        <x:v>479</x:v>
      </x:c>
      <x:c r="C113" s="58" t="s">
        <x:v>480</x:v>
      </x:c>
      <x:c r="D113" s="58" t="s">
        <x:v>14</x:v>
      </x:c>
      <x:c r="E113" s="18" t="s">
        <x:v>481</x:v>
      </x:c>
      <x:c r="F113" s="18"/>
      <x:c r="G113" s="126">
        <x:v>30782</x:v>
      </x:c>
      <x:c r="H113" s="126" t="e">
        <x:f>IF(G113="","",IF(G113&lt;参数与口径!$E$6,1,MATCH(G113,等级配置!$C$4:$C$103,1)))</x:f>
        <x:v>#NAME?</x:v>
      </x:c>
      <x:c r="I113" s="58" t="e">
        <x:f>IF(H113="","",INDEX(等级配置!$B$4:$B$103,H113))</x:f>
        <x:v>#NAME?</x:v>
      </x:c>
      <x:c r="J113" s="58" t="e">
        <x:f>IF(AND(D113="当前已婚",G113&lt;参数与口径!$E$6),"存量兼容Lv1",IF(G113&gt;=等级配置!$C$103,"Lv100溢出","正常"))</x:f>
        <x:v>#NAME?</x:v>
      </x:c>
      <x:c r="K113" s="20" t="str">
        <x:f t="shared" si="1"/>
      </x:c>
    </x:row>
    <x:row r="114" ht="17">
      <x:c r="A114" s="58" t="s">
        <x:v>482</x:v>
      </x:c>
      <x:c r="B114" s="58" t="s">
        <x:v>483</x:v>
      </x:c>
      <x:c r="C114" s="58" t="s">
        <x:v>484</x:v>
      </x:c>
      <x:c r="D114" s="58" t="s">
        <x:v>14</x:v>
      </x:c>
      <x:c r="E114" s="18" t="s">
        <x:v>485</x:v>
      </x:c>
      <x:c r="F114" s="18"/>
      <x:c r="G114" s="126">
        <x:v>30114</x:v>
      </x:c>
      <x:c r="H114" s="126" t="e">
        <x:f>IF(G114="","",IF(G114&lt;参数与口径!$E$6,1,MATCH(G114,等级配置!$C$4:$C$103,1)))</x:f>
        <x:v>#NAME?</x:v>
      </x:c>
      <x:c r="I114" s="58" t="e">
        <x:f>IF(H114="","",INDEX(等级配置!$B$4:$B$103,H114))</x:f>
        <x:v>#NAME?</x:v>
      </x:c>
      <x:c r="J114" s="58" t="e">
        <x:f>IF(AND(D114="当前已婚",G114&lt;参数与口径!$E$6),"存量兼容Lv1",IF(G114&gt;=等级配置!$C$103,"Lv100溢出","正常"))</x:f>
        <x:v>#NAME?</x:v>
      </x:c>
      <x:c r="K114" s="20" t="str">
        <x:f t="shared" si="1"/>
      </x:c>
    </x:row>
    <x:row r="115" ht="17">
      <x:c r="A115" s="58" t="s">
        <x:v>486</x:v>
      </x:c>
      <x:c r="B115" s="58" t="s">
        <x:v>487</x:v>
      </x:c>
      <x:c r="C115" s="58" t="s">
        <x:v>488</x:v>
      </x:c>
      <x:c r="D115" s="58" t="s">
        <x:v>14</x:v>
      </x:c>
      <x:c r="E115" s="18" t="s">
        <x:v>489</x:v>
      </x:c>
      <x:c r="F115" s="18"/>
      <x:c r="G115" s="126">
        <x:v>28685</x:v>
      </x:c>
      <x:c r="H115" s="126" t="e">
        <x:f>IF(G115="","",IF(G115&lt;参数与口径!$E$6,1,MATCH(G115,等级配置!$C$4:$C$103,1)))</x:f>
        <x:v>#NAME?</x:v>
      </x:c>
      <x:c r="I115" s="58" t="e">
        <x:f>IF(H115="","",INDEX(等级配置!$B$4:$B$103,H115))</x:f>
        <x:v>#NAME?</x:v>
      </x:c>
      <x:c r="J115" s="58" t="e">
        <x:f>IF(AND(D115="当前已婚",G115&lt;参数与口径!$E$6),"存量兼容Lv1",IF(G115&gt;=等级配置!$C$103,"Lv100溢出","正常"))</x:f>
        <x:v>#NAME?</x:v>
      </x:c>
      <x:c r="K115" s="20" t="str">
        <x:f t="shared" si="1"/>
      </x:c>
    </x:row>
    <x:row r="116" ht="17">
      <x:c r="A116" s="58" t="s">
        <x:v>490</x:v>
      </x:c>
      <x:c r="B116" s="58" t="s">
        <x:v>491</x:v>
      </x:c>
      <x:c r="C116" s="58" t="s">
        <x:v>492</x:v>
      </x:c>
      <x:c r="D116" s="58" t="s">
        <x:v>14</x:v>
      </x:c>
      <x:c r="E116" s="18" t="s">
        <x:v>493</x:v>
      </x:c>
      <x:c r="F116" s="18"/>
      <x:c r="G116" s="126">
        <x:v>28191</x:v>
      </x:c>
      <x:c r="H116" s="126" t="e">
        <x:f>IF(G116="","",IF(G116&lt;参数与口径!$E$6,1,MATCH(G116,等级配置!$C$4:$C$103,1)))</x:f>
        <x:v>#NAME?</x:v>
      </x:c>
      <x:c r="I116" s="58" t="e">
        <x:f>IF(H116="","",INDEX(等级配置!$B$4:$B$103,H116))</x:f>
        <x:v>#NAME?</x:v>
      </x:c>
      <x:c r="J116" s="58" t="e">
        <x:f>IF(AND(D116="当前已婚",G116&lt;参数与口径!$E$6),"存量兼容Lv1",IF(G116&gt;=等级配置!$C$103,"Lv100溢出","正常"))</x:f>
        <x:v>#NAME?</x:v>
      </x:c>
      <x:c r="K116" s="20" t="str">
        <x:f t="shared" si="1"/>
      </x:c>
    </x:row>
    <x:row r="117" ht="17">
      <x:c r="A117" s="58" t="s">
        <x:v>494</x:v>
      </x:c>
      <x:c r="B117" s="58" t="s">
        <x:v>495</x:v>
      </x:c>
      <x:c r="C117" s="58" t="s">
        <x:v>496</x:v>
      </x:c>
      <x:c r="D117" s="58" t="s">
        <x:v>14</x:v>
      </x:c>
      <x:c r="E117" s="18" t="s">
        <x:v>497</x:v>
      </x:c>
      <x:c r="F117" s="18"/>
      <x:c r="G117" s="126">
        <x:v>27927</x:v>
      </x:c>
      <x:c r="H117" s="126" t="e">
        <x:f>IF(G117="","",IF(G117&lt;参数与口径!$E$6,1,MATCH(G117,等级配置!$C$4:$C$103,1)))</x:f>
        <x:v>#NAME?</x:v>
      </x:c>
      <x:c r="I117" s="58" t="e">
        <x:f>IF(H117="","",INDEX(等级配置!$B$4:$B$103,H117))</x:f>
        <x:v>#NAME?</x:v>
      </x:c>
      <x:c r="J117" s="58" t="e">
        <x:f>IF(AND(D117="当前已婚",G117&lt;参数与口径!$E$6),"存量兼容Lv1",IF(G117&gt;=等级配置!$C$103,"Lv100溢出","正常"))</x:f>
        <x:v>#NAME?</x:v>
      </x:c>
      <x:c r="K117" s="20" t="str">
        <x:f t="shared" si="1"/>
      </x:c>
    </x:row>
    <x:row r="118" ht="17">
      <x:c r="A118" s="58" t="s">
        <x:v>498</x:v>
      </x:c>
      <x:c r="B118" s="58" t="s">
        <x:v>499</x:v>
      </x:c>
      <x:c r="C118" s="58" t="s">
        <x:v>500</x:v>
      </x:c>
      <x:c r="D118" s="58" t="s">
        <x:v>14</x:v>
      </x:c>
      <x:c r="E118" s="18" t="s">
        <x:v>501</x:v>
      </x:c>
      <x:c r="F118" s="18"/>
      <x:c r="G118" s="126">
        <x:v>27562</x:v>
      </x:c>
      <x:c r="H118" s="126" t="e">
        <x:f>IF(G118="","",IF(G118&lt;参数与口径!$E$6,1,MATCH(G118,等级配置!$C$4:$C$103,1)))</x:f>
        <x:v>#NAME?</x:v>
      </x:c>
      <x:c r="I118" s="58" t="e">
        <x:f>IF(H118="","",INDEX(等级配置!$B$4:$B$103,H118))</x:f>
        <x:v>#NAME?</x:v>
      </x:c>
      <x:c r="J118" s="58" t="e">
        <x:f>IF(AND(D118="当前已婚",G118&lt;参数与口径!$E$6),"存量兼容Lv1",IF(G118&gt;=等级配置!$C$103,"Lv100溢出","正常"))</x:f>
        <x:v>#NAME?</x:v>
      </x:c>
      <x:c r="K118" s="20" t="str">
        <x:f t="shared" si="1"/>
      </x:c>
    </x:row>
    <x:row r="119" ht="17">
      <x:c r="A119" s="58" t="s">
        <x:v>502</x:v>
      </x:c>
      <x:c r="B119" s="58" t="s">
        <x:v>503</x:v>
      </x:c>
      <x:c r="C119" s="58" t="s">
        <x:v>504</x:v>
      </x:c>
      <x:c r="D119" s="58" t="s">
        <x:v>14</x:v>
      </x:c>
      <x:c r="E119" s="18" t="s">
        <x:v>505</x:v>
      </x:c>
      <x:c r="F119" s="18"/>
      <x:c r="G119" s="126">
        <x:v>27210</x:v>
      </x:c>
      <x:c r="H119" s="126" t="e">
        <x:f>IF(G119="","",IF(G119&lt;参数与口径!$E$6,1,MATCH(G119,等级配置!$C$4:$C$103,1)))</x:f>
        <x:v>#NAME?</x:v>
      </x:c>
      <x:c r="I119" s="58" t="e">
        <x:f>IF(H119="","",INDEX(等级配置!$B$4:$B$103,H119))</x:f>
        <x:v>#NAME?</x:v>
      </x:c>
      <x:c r="J119" s="58" t="e">
        <x:f>IF(AND(D119="当前已婚",G119&lt;参数与口径!$E$6),"存量兼容Lv1",IF(G119&gt;=等级配置!$C$103,"Lv100溢出","正常"))</x:f>
        <x:v>#NAME?</x:v>
      </x:c>
      <x:c r="K119" s="20" t="str">
        <x:f t="shared" si="1"/>
      </x:c>
    </x:row>
    <x:row r="120" ht="17">
      <x:c r="A120" s="58" t="s">
        <x:v>506</x:v>
      </x:c>
      <x:c r="B120" s="58" t="s">
        <x:v>507</x:v>
      </x:c>
      <x:c r="C120" s="58" t="s">
        <x:v>508</x:v>
      </x:c>
      <x:c r="D120" s="58" t="s">
        <x:v>14</x:v>
      </x:c>
      <x:c r="E120" s="18" t="s">
        <x:v>509</x:v>
      </x:c>
      <x:c r="F120" s="18"/>
      <x:c r="G120" s="126">
        <x:v>26915</x:v>
      </x:c>
      <x:c r="H120" s="126" t="e">
        <x:f>IF(G120="","",IF(G120&lt;参数与口径!$E$6,1,MATCH(G120,等级配置!$C$4:$C$103,1)))</x:f>
        <x:v>#NAME?</x:v>
      </x:c>
      <x:c r="I120" s="58" t="e">
        <x:f>IF(H120="","",INDEX(等级配置!$B$4:$B$103,H120))</x:f>
        <x:v>#NAME?</x:v>
      </x:c>
      <x:c r="J120" s="58" t="e">
        <x:f>IF(AND(D120="当前已婚",G120&lt;参数与口径!$E$6),"存量兼容Lv1",IF(G120&gt;=等级配置!$C$103,"Lv100溢出","正常"))</x:f>
        <x:v>#NAME?</x:v>
      </x:c>
      <x:c r="K120" s="20" t="str">
        <x:f t="shared" si="1"/>
      </x:c>
    </x:row>
    <x:row r="121" ht="17">
      <x:c r="A121" s="58" t="s">
        <x:v>510</x:v>
      </x:c>
      <x:c r="B121" s="58" t="s">
        <x:v>511</x:v>
      </x:c>
      <x:c r="C121" s="58" t="s">
        <x:v>512</x:v>
      </x:c>
      <x:c r="D121" s="58" t="s">
        <x:v>14</x:v>
      </x:c>
      <x:c r="E121" s="18" t="s">
        <x:v>513</x:v>
      </x:c>
      <x:c r="F121" s="18"/>
      <x:c r="G121" s="126">
        <x:v>25210</x:v>
      </x:c>
      <x:c r="H121" s="126" t="e">
        <x:f>IF(G121="","",IF(G121&lt;参数与口径!$E$6,1,MATCH(G121,等级配置!$C$4:$C$103,1)))</x:f>
        <x:v>#NAME?</x:v>
      </x:c>
      <x:c r="I121" s="58" t="e">
        <x:f>IF(H121="","",INDEX(等级配置!$B$4:$B$103,H121))</x:f>
        <x:v>#NAME?</x:v>
      </x:c>
      <x:c r="J121" s="58" t="e">
        <x:f>IF(AND(D121="当前已婚",G121&lt;参数与口径!$E$6),"存量兼容Lv1",IF(G121&gt;=等级配置!$C$103,"Lv100溢出","正常"))</x:f>
        <x:v>#NAME?</x:v>
      </x:c>
      <x:c r="K121" s="20" t="str">
        <x:f t="shared" si="1"/>
      </x:c>
    </x:row>
    <x:row r="122" ht="17">
      <x:c r="A122" s="58" t="s">
        <x:v>514</x:v>
      </x:c>
      <x:c r="B122" s="58" t="s">
        <x:v>515</x:v>
      </x:c>
      <x:c r="C122" s="58" t="s">
        <x:v>516</x:v>
      </x:c>
      <x:c r="D122" s="58" t="s">
        <x:v>14</x:v>
      </x:c>
      <x:c r="E122" s="18" t="s">
        <x:v>517</x:v>
      </x:c>
      <x:c r="F122" s="18"/>
      <x:c r="G122" s="126">
        <x:v>25059</x:v>
      </x:c>
      <x:c r="H122" s="126" t="e">
        <x:f>IF(G122="","",IF(G122&lt;参数与口径!$E$6,1,MATCH(G122,等级配置!$C$4:$C$103,1)))</x:f>
        <x:v>#NAME?</x:v>
      </x:c>
      <x:c r="I122" s="58" t="e">
        <x:f>IF(H122="","",INDEX(等级配置!$B$4:$B$103,H122))</x:f>
        <x:v>#NAME?</x:v>
      </x:c>
      <x:c r="J122" s="58" t="e">
        <x:f>IF(AND(D122="当前已婚",G122&lt;参数与口径!$E$6),"存量兼容Lv1",IF(G122&gt;=等级配置!$C$103,"Lv100溢出","正常"))</x:f>
        <x:v>#NAME?</x:v>
      </x:c>
      <x:c r="K122" s="20" t="str">
        <x:f t="shared" si="1"/>
      </x:c>
    </x:row>
    <x:row r="123" ht="17">
      <x:c r="A123" s="58" t="s">
        <x:v>518</x:v>
      </x:c>
      <x:c r="B123" s="58" t="s">
        <x:v>519</x:v>
      </x:c>
      <x:c r="C123" s="58" t="s">
        <x:v>520</x:v>
      </x:c>
      <x:c r="D123" s="58" t="s">
        <x:v>14</x:v>
      </x:c>
      <x:c r="E123" s="18" t="s">
        <x:v>521</x:v>
      </x:c>
      <x:c r="F123" s="18" t="s">
        <x:v>522</x:v>
      </x:c>
      <x:c r="G123" s="126">
        <x:v>24899</x:v>
      </x:c>
      <x:c r="H123" s="126" t="e">
        <x:f>IF(G123="","",IF(G123&lt;参数与口径!$E$6,1,MATCH(G123,等级配置!$C$4:$C$103,1)))</x:f>
        <x:v>#NAME?</x:v>
      </x:c>
      <x:c r="I123" s="58" t="e">
        <x:f>IF(H123="","",INDEX(等级配置!$B$4:$B$103,H123))</x:f>
        <x:v>#NAME?</x:v>
      </x:c>
      <x:c r="J123" s="58" t="e">
        <x:f>IF(AND(D123="当前已婚",G123&lt;参数与口径!$E$6),"存量兼容Lv1",IF(G123&gt;=等级配置!$C$103,"Lv100溢出","正常"))</x:f>
        <x:v>#NAME?</x:v>
      </x:c>
      <x:c r="K123" s="20" t="str">
        <x:f t="shared" si="1"/>
        <x:v>当前已婚但存在离婚日期</x:v>
      </x:c>
    </x:row>
    <x:row r="124" ht="17">
      <x:c r="A124" s="58" t="s">
        <x:v>523</x:v>
      </x:c>
      <x:c r="B124" s="58" t="s">
        <x:v>524</x:v>
      </x:c>
      <x:c r="C124" s="58" t="s">
        <x:v>525</x:v>
      </x:c>
      <x:c r="D124" s="58" t="s">
        <x:v>14</x:v>
      </x:c>
      <x:c r="E124" s="18" t="s">
        <x:v>526</x:v>
      </x:c>
      <x:c r="F124" s="18"/>
      <x:c r="G124" s="126">
        <x:v>24450</x:v>
      </x:c>
      <x:c r="H124" s="126" t="e">
        <x:f>IF(G124="","",IF(G124&lt;参数与口径!$E$6,1,MATCH(G124,等级配置!$C$4:$C$103,1)))</x:f>
        <x:v>#NAME?</x:v>
      </x:c>
      <x:c r="I124" s="58" t="e">
        <x:f>IF(H124="","",INDEX(等级配置!$B$4:$B$103,H124))</x:f>
        <x:v>#NAME?</x:v>
      </x:c>
      <x:c r="J124" s="58" t="e">
        <x:f>IF(AND(D124="当前已婚",G124&lt;参数与口径!$E$6),"存量兼容Lv1",IF(G124&gt;=等级配置!$C$103,"Lv100溢出","正常"))</x:f>
        <x:v>#NAME?</x:v>
      </x:c>
      <x:c r="K124" s="20" t="str">
        <x:f t="shared" si="1"/>
      </x:c>
    </x:row>
    <x:row r="125" ht="17">
      <x:c r="A125" s="58" t="s">
        <x:v>527</x:v>
      </x:c>
      <x:c r="B125" s="58" t="s">
        <x:v>528</x:v>
      </x:c>
      <x:c r="C125" s="58" t="s">
        <x:v>529</x:v>
      </x:c>
      <x:c r="D125" s="58" t="s">
        <x:v>14</x:v>
      </x:c>
      <x:c r="E125" s="18" t="s">
        <x:v>530</x:v>
      </x:c>
      <x:c r="F125" s="18"/>
      <x:c r="G125" s="126">
        <x:v>24264</x:v>
      </x:c>
      <x:c r="H125" s="126" t="e">
        <x:f>IF(G125="","",IF(G125&lt;参数与口径!$E$6,1,MATCH(G125,等级配置!$C$4:$C$103,1)))</x:f>
        <x:v>#NAME?</x:v>
      </x:c>
      <x:c r="I125" s="58" t="e">
        <x:f>IF(H125="","",INDEX(等级配置!$B$4:$B$103,H125))</x:f>
        <x:v>#NAME?</x:v>
      </x:c>
      <x:c r="J125" s="58" t="e">
        <x:f>IF(AND(D125="当前已婚",G125&lt;参数与口径!$E$6),"存量兼容Lv1",IF(G125&gt;=等级配置!$C$103,"Lv100溢出","正常"))</x:f>
        <x:v>#NAME?</x:v>
      </x:c>
      <x:c r="K125" s="20" t="str">
        <x:f t="shared" si="1"/>
      </x:c>
    </x:row>
    <x:row r="126" ht="17">
      <x:c r="A126" s="58" t="s">
        <x:v>531</x:v>
      </x:c>
      <x:c r="B126" s="58" t="s">
        <x:v>532</x:v>
      </x:c>
      <x:c r="C126" s="58" t="s">
        <x:v>533</x:v>
      </x:c>
      <x:c r="D126" s="58" t="s">
        <x:v>14</x:v>
      </x:c>
      <x:c r="E126" s="18" t="s">
        <x:v>534</x:v>
      </x:c>
      <x:c r="F126" s="18" t="s">
        <x:v>535</x:v>
      </x:c>
      <x:c r="G126" s="126">
        <x:v>23982</x:v>
      </x:c>
      <x:c r="H126" s="126" t="e">
        <x:f>IF(G126="","",IF(G126&lt;参数与口径!$E$6,1,MATCH(G126,等级配置!$C$4:$C$103,1)))</x:f>
        <x:v>#NAME?</x:v>
      </x:c>
      <x:c r="I126" s="58" t="e">
        <x:f>IF(H126="","",INDEX(等级配置!$B$4:$B$103,H126))</x:f>
        <x:v>#NAME?</x:v>
      </x:c>
      <x:c r="J126" s="58" t="e">
        <x:f>IF(AND(D126="当前已婚",G126&lt;参数与口径!$E$6),"存量兼容Lv1",IF(G126&gt;=等级配置!$C$103,"Lv100溢出","正常"))</x:f>
        <x:v>#NAME?</x:v>
      </x:c>
      <x:c r="K126" s="20" t="str">
        <x:f t="shared" si="1"/>
        <x:v>当前已婚但存在离婚日期</x:v>
      </x:c>
    </x:row>
    <x:row r="127" ht="17">
      <x:c r="A127" s="58" t="s">
        <x:v>536</x:v>
      </x:c>
      <x:c r="B127" s="58" t="s">
        <x:v>537</x:v>
      </x:c>
      <x:c r="C127" s="58" t="s">
        <x:v>538</x:v>
      </x:c>
      <x:c r="D127" s="58" t="s">
        <x:v>14</x:v>
      </x:c>
      <x:c r="E127" s="18" t="s">
        <x:v>539</x:v>
      </x:c>
      <x:c r="F127" s="18"/>
      <x:c r="G127" s="126">
        <x:v>22391</x:v>
      </x:c>
      <x:c r="H127" s="126" t="e">
        <x:f>IF(G127="","",IF(G127&lt;参数与口径!$E$6,1,MATCH(G127,等级配置!$C$4:$C$103,1)))</x:f>
        <x:v>#NAME?</x:v>
      </x:c>
      <x:c r="I127" s="58" t="e">
        <x:f>IF(H127="","",INDEX(等级配置!$B$4:$B$103,H127))</x:f>
        <x:v>#NAME?</x:v>
      </x:c>
      <x:c r="J127" s="58" t="e">
        <x:f>IF(AND(D127="当前已婚",G127&lt;参数与口径!$E$6),"存量兼容Lv1",IF(G127&gt;=等级配置!$C$103,"Lv100溢出","正常"))</x:f>
        <x:v>#NAME?</x:v>
      </x:c>
      <x:c r="K127" s="20" t="str">
        <x:f t="shared" si="1"/>
      </x:c>
    </x:row>
    <x:row r="128" ht="17">
      <x:c r="A128" s="58" t="s">
        <x:v>540</x:v>
      </x:c>
      <x:c r="B128" s="58" t="s">
        <x:v>541</x:v>
      </x:c>
      <x:c r="C128" s="58" t="s">
        <x:v>542</x:v>
      </x:c>
      <x:c r="D128" s="58" t="s">
        <x:v>14</x:v>
      </x:c>
      <x:c r="E128" s="18" t="s">
        <x:v>543</x:v>
      </x:c>
      <x:c r="F128" s="18"/>
      <x:c r="G128" s="126">
        <x:v>22075</x:v>
      </x:c>
      <x:c r="H128" s="126" t="e">
        <x:f>IF(G128="","",IF(G128&lt;参数与口径!$E$6,1,MATCH(G128,等级配置!$C$4:$C$103,1)))</x:f>
        <x:v>#NAME?</x:v>
      </x:c>
      <x:c r="I128" s="58" t="e">
        <x:f>IF(H128="","",INDEX(等级配置!$B$4:$B$103,H128))</x:f>
        <x:v>#NAME?</x:v>
      </x:c>
      <x:c r="J128" s="58" t="e">
        <x:f>IF(AND(D128="当前已婚",G128&lt;参数与口径!$E$6),"存量兼容Lv1",IF(G128&gt;=等级配置!$C$103,"Lv100溢出","正常"))</x:f>
        <x:v>#NAME?</x:v>
      </x:c>
      <x:c r="K128" s="20" t="str">
        <x:f t="shared" si="1"/>
      </x:c>
    </x:row>
    <x:row r="129" ht="17">
      <x:c r="A129" s="58" t="s">
        <x:v>544</x:v>
      </x:c>
      <x:c r="B129" s="58" t="s">
        <x:v>545</x:v>
      </x:c>
      <x:c r="C129" s="58" t="s">
        <x:v>546</x:v>
      </x:c>
      <x:c r="D129" s="58" t="s">
        <x:v>14</x:v>
      </x:c>
      <x:c r="E129" s="18" t="s">
        <x:v>547</x:v>
      </x:c>
      <x:c r="F129" s="18"/>
      <x:c r="G129" s="126">
        <x:v>22030</x:v>
      </x:c>
      <x:c r="H129" s="126" t="e">
        <x:f>IF(G129="","",IF(G129&lt;参数与口径!$E$6,1,MATCH(G129,等级配置!$C$4:$C$103,1)))</x:f>
        <x:v>#NAME?</x:v>
      </x:c>
      <x:c r="I129" s="58" t="e">
        <x:f>IF(H129="","",INDEX(等级配置!$B$4:$B$103,H129))</x:f>
        <x:v>#NAME?</x:v>
      </x:c>
      <x:c r="J129" s="58" t="e">
        <x:f>IF(AND(D129="当前已婚",G129&lt;参数与口径!$E$6),"存量兼容Lv1",IF(G129&gt;=等级配置!$C$103,"Lv100溢出","正常"))</x:f>
        <x:v>#NAME?</x:v>
      </x:c>
      <x:c r="K129" s="20" t="str">
        <x:f t="shared" si="1"/>
      </x:c>
    </x:row>
    <x:row r="130" ht="17">
      <x:c r="A130" s="58" t="s">
        <x:v>548</x:v>
      </x:c>
      <x:c r="B130" s="58" t="s">
        <x:v>549</x:v>
      </x:c>
      <x:c r="C130" s="58" t="s">
        <x:v>550</x:v>
      </x:c>
      <x:c r="D130" s="58" t="s">
        <x:v>14</x:v>
      </x:c>
      <x:c r="E130" s="18" t="s">
        <x:v>551</x:v>
      </x:c>
      <x:c r="F130" s="18"/>
      <x:c r="G130" s="126">
        <x:v>21610</x:v>
      </x:c>
      <x:c r="H130" s="126" t="e">
        <x:f>IF(G130="","",IF(G130&lt;参数与口径!$E$6,1,MATCH(G130,等级配置!$C$4:$C$103,1)))</x:f>
        <x:v>#NAME?</x:v>
      </x:c>
      <x:c r="I130" s="58" t="e">
        <x:f>IF(H130="","",INDEX(等级配置!$B$4:$B$103,H130))</x:f>
        <x:v>#NAME?</x:v>
      </x:c>
      <x:c r="J130" s="58" t="e">
        <x:f>IF(AND(D130="当前已婚",G130&lt;参数与口径!$E$6),"存量兼容Lv1",IF(G130&gt;=等级配置!$C$103,"Lv100溢出","正常"))</x:f>
        <x:v>#NAME?</x:v>
      </x:c>
      <x:c r="K130" s="20" t="str">
        <x:f t="shared" ref="K130:K193" si="2">IF(AND(D130="当前已婚",F130&lt;&gt;""),"当前已婚但存在离婚日期",IF(AND(D130="当前已婚",G130=0),"当前CP亲密值为0",""))</x:f>
      </x:c>
    </x:row>
    <x:row r="131" ht="17">
      <x:c r="A131" s="58" t="s">
        <x:v>552</x:v>
      </x:c>
      <x:c r="B131" s="58" t="s">
        <x:v>553</x:v>
      </x:c>
      <x:c r="C131" s="58" t="s">
        <x:v>554</x:v>
      </x:c>
      <x:c r="D131" s="58" t="s">
        <x:v>14</x:v>
      </x:c>
      <x:c r="E131" s="18" t="s">
        <x:v>555</x:v>
      </x:c>
      <x:c r="F131" s="18"/>
      <x:c r="G131" s="126">
        <x:v>21414</x:v>
      </x:c>
      <x:c r="H131" s="126" t="e">
        <x:f>IF(G131="","",IF(G131&lt;参数与口径!$E$6,1,MATCH(G131,等级配置!$C$4:$C$103,1)))</x:f>
        <x:v>#NAME?</x:v>
      </x:c>
      <x:c r="I131" s="58" t="e">
        <x:f>IF(H131="","",INDEX(等级配置!$B$4:$B$103,H131))</x:f>
        <x:v>#NAME?</x:v>
      </x:c>
      <x:c r="J131" s="58" t="e">
        <x:f>IF(AND(D131="当前已婚",G131&lt;参数与口径!$E$6),"存量兼容Lv1",IF(G131&gt;=等级配置!$C$103,"Lv100溢出","正常"))</x:f>
        <x:v>#NAME?</x:v>
      </x:c>
      <x:c r="K131" s="20" t="str">
        <x:f t="shared" si="2"/>
      </x:c>
    </x:row>
    <x:row r="132" ht="17">
      <x:c r="A132" s="58" t="s">
        <x:v>556</x:v>
      </x:c>
      <x:c r="B132" s="58" t="s">
        <x:v>557</x:v>
      </x:c>
      <x:c r="C132" s="58" t="s">
        <x:v>558</x:v>
      </x:c>
      <x:c r="D132" s="58" t="s">
        <x:v>14</x:v>
      </x:c>
      <x:c r="E132" s="18" t="s">
        <x:v>559</x:v>
      </x:c>
      <x:c r="F132" s="18"/>
      <x:c r="G132" s="126">
        <x:v>20316</x:v>
      </x:c>
      <x:c r="H132" s="126" t="e">
        <x:f>IF(G132="","",IF(G132&lt;参数与口径!$E$6,1,MATCH(G132,等级配置!$C$4:$C$103,1)))</x:f>
        <x:v>#NAME?</x:v>
      </x:c>
      <x:c r="I132" s="58" t="e">
        <x:f>IF(H132="","",INDEX(等级配置!$B$4:$B$103,H132))</x:f>
        <x:v>#NAME?</x:v>
      </x:c>
      <x:c r="J132" s="58" t="e">
        <x:f>IF(AND(D132="当前已婚",G132&lt;参数与口径!$E$6),"存量兼容Lv1",IF(G132&gt;=等级配置!$C$103,"Lv100溢出","正常"))</x:f>
        <x:v>#NAME?</x:v>
      </x:c>
      <x:c r="K132" s="20" t="str">
        <x:f t="shared" si="2"/>
      </x:c>
    </x:row>
    <x:row r="133" ht="17">
      <x:c r="A133" s="58" t="s">
        <x:v>560</x:v>
      </x:c>
      <x:c r="B133" s="58" t="s">
        <x:v>561</x:v>
      </x:c>
      <x:c r="C133" s="58" t="s">
        <x:v>562</x:v>
      </x:c>
      <x:c r="D133" s="58" t="s">
        <x:v>14</x:v>
      </x:c>
      <x:c r="E133" s="18" t="s">
        <x:v>563</x:v>
      </x:c>
      <x:c r="F133" s="18"/>
      <x:c r="G133" s="126">
        <x:v>20287</x:v>
      </x:c>
      <x:c r="H133" s="126" t="e">
        <x:f>IF(G133="","",IF(G133&lt;参数与口径!$E$6,1,MATCH(G133,等级配置!$C$4:$C$103,1)))</x:f>
        <x:v>#NAME?</x:v>
      </x:c>
      <x:c r="I133" s="58" t="e">
        <x:f>IF(H133="","",INDEX(等级配置!$B$4:$B$103,H133))</x:f>
        <x:v>#NAME?</x:v>
      </x:c>
      <x:c r="J133" s="58" t="e">
        <x:f>IF(AND(D133="当前已婚",G133&lt;参数与口径!$E$6),"存量兼容Lv1",IF(G133&gt;=等级配置!$C$103,"Lv100溢出","正常"))</x:f>
        <x:v>#NAME?</x:v>
      </x:c>
      <x:c r="K133" s="20" t="str">
        <x:f t="shared" si="2"/>
      </x:c>
    </x:row>
    <x:row r="134" ht="17">
      <x:c r="A134" s="58" t="s">
        <x:v>564</x:v>
      </x:c>
      <x:c r="B134" s="58" t="s">
        <x:v>565</x:v>
      </x:c>
      <x:c r="C134" s="58" t="s">
        <x:v>566</x:v>
      </x:c>
      <x:c r="D134" s="58" t="s">
        <x:v>14</x:v>
      </x:c>
      <x:c r="E134" s="18" t="s">
        <x:v>567</x:v>
      </x:c>
      <x:c r="F134" s="18"/>
      <x:c r="G134" s="126">
        <x:v>20219</x:v>
      </x:c>
      <x:c r="H134" s="126" t="e">
        <x:f>IF(G134="","",IF(G134&lt;参数与口径!$E$6,1,MATCH(G134,等级配置!$C$4:$C$103,1)))</x:f>
        <x:v>#NAME?</x:v>
      </x:c>
      <x:c r="I134" s="58" t="e">
        <x:f>IF(H134="","",INDEX(等级配置!$B$4:$B$103,H134))</x:f>
        <x:v>#NAME?</x:v>
      </x:c>
      <x:c r="J134" s="58" t="e">
        <x:f>IF(AND(D134="当前已婚",G134&lt;参数与口径!$E$6),"存量兼容Lv1",IF(G134&gt;=等级配置!$C$103,"Lv100溢出","正常"))</x:f>
        <x:v>#NAME?</x:v>
      </x:c>
      <x:c r="K134" s="20" t="str">
        <x:f t="shared" si="2"/>
      </x:c>
    </x:row>
    <x:row r="135" ht="17">
      <x:c r="A135" s="58" t="s">
        <x:v>568</x:v>
      </x:c>
      <x:c r="B135" s="58" t="s">
        <x:v>569</x:v>
      </x:c>
      <x:c r="C135" s="58" t="s">
        <x:v>570</x:v>
      </x:c>
      <x:c r="D135" s="58" t="s">
        <x:v>14</x:v>
      </x:c>
      <x:c r="E135" s="18" t="s">
        <x:v>571</x:v>
      </x:c>
      <x:c r="F135" s="18"/>
      <x:c r="G135" s="126">
        <x:v>18311</x:v>
      </x:c>
      <x:c r="H135" s="126" t="e">
        <x:f>IF(G135="","",IF(G135&lt;参数与口径!$E$6,1,MATCH(G135,等级配置!$C$4:$C$103,1)))</x:f>
        <x:v>#NAME?</x:v>
      </x:c>
      <x:c r="I135" s="58" t="e">
        <x:f>IF(H135="","",INDEX(等级配置!$B$4:$B$103,H135))</x:f>
        <x:v>#NAME?</x:v>
      </x:c>
      <x:c r="J135" s="58" t="e">
        <x:f>IF(AND(D135="当前已婚",G135&lt;参数与口径!$E$6),"存量兼容Lv1",IF(G135&gt;=等级配置!$C$103,"Lv100溢出","正常"))</x:f>
        <x:v>#NAME?</x:v>
      </x:c>
      <x:c r="K135" s="20" t="str">
        <x:f t="shared" si="2"/>
      </x:c>
    </x:row>
    <x:row r="136" ht="17">
      <x:c r="A136" s="58" t="s">
        <x:v>572</x:v>
      </x:c>
      <x:c r="B136" s="58" t="s">
        <x:v>573</x:v>
      </x:c>
      <x:c r="C136" s="58" t="s">
        <x:v>574</x:v>
      </x:c>
      <x:c r="D136" s="58" t="s">
        <x:v>14</x:v>
      </x:c>
      <x:c r="E136" s="18" t="s">
        <x:v>575</x:v>
      </x:c>
      <x:c r="F136" s="18"/>
      <x:c r="G136" s="126">
        <x:v>18239</x:v>
      </x:c>
      <x:c r="H136" s="126" t="e">
        <x:f>IF(G136="","",IF(G136&lt;参数与口径!$E$6,1,MATCH(G136,等级配置!$C$4:$C$103,1)))</x:f>
        <x:v>#NAME?</x:v>
      </x:c>
      <x:c r="I136" s="58" t="e">
        <x:f>IF(H136="","",INDEX(等级配置!$B$4:$B$103,H136))</x:f>
        <x:v>#NAME?</x:v>
      </x:c>
      <x:c r="J136" s="58" t="e">
        <x:f>IF(AND(D136="当前已婚",G136&lt;参数与口径!$E$6),"存量兼容Lv1",IF(G136&gt;=等级配置!$C$103,"Lv100溢出","正常"))</x:f>
        <x:v>#NAME?</x:v>
      </x:c>
      <x:c r="K136" s="20" t="str">
        <x:f t="shared" si="2"/>
      </x:c>
    </x:row>
    <x:row r="137" ht="17">
      <x:c r="A137" s="58" t="s">
        <x:v>576</x:v>
      </x:c>
      <x:c r="B137" s="58" t="s">
        <x:v>577</x:v>
      </x:c>
      <x:c r="C137" s="58" t="s">
        <x:v>578</x:v>
      </x:c>
      <x:c r="D137" s="58" t="s">
        <x:v>14</x:v>
      </x:c>
      <x:c r="E137" s="18" t="s">
        <x:v>579</x:v>
      </x:c>
      <x:c r="F137" s="18"/>
      <x:c r="G137" s="126">
        <x:v>17457</x:v>
      </x:c>
      <x:c r="H137" s="126" t="e">
        <x:f>IF(G137="","",IF(G137&lt;参数与口径!$E$6,1,MATCH(G137,等级配置!$C$4:$C$103,1)))</x:f>
        <x:v>#NAME?</x:v>
      </x:c>
      <x:c r="I137" s="58" t="e">
        <x:f>IF(H137="","",INDEX(等级配置!$B$4:$B$103,H137))</x:f>
        <x:v>#NAME?</x:v>
      </x:c>
      <x:c r="J137" s="58" t="e">
        <x:f>IF(AND(D137="当前已婚",G137&lt;参数与口径!$E$6),"存量兼容Lv1",IF(G137&gt;=等级配置!$C$103,"Lv100溢出","正常"))</x:f>
        <x:v>#NAME?</x:v>
      </x:c>
      <x:c r="K137" s="20" t="str">
        <x:f t="shared" si="2"/>
      </x:c>
    </x:row>
    <x:row r="138" ht="17">
      <x:c r="A138" s="58" t="s">
        <x:v>580</x:v>
      </x:c>
      <x:c r="B138" s="58" t="s">
        <x:v>581</x:v>
      </x:c>
      <x:c r="C138" s="58" t="s">
        <x:v>582</x:v>
      </x:c>
      <x:c r="D138" s="58" t="s">
        <x:v>14</x:v>
      </x:c>
      <x:c r="E138" s="18" t="s">
        <x:v>583</x:v>
      </x:c>
      <x:c r="F138" s="18"/>
      <x:c r="G138" s="126">
        <x:v>17420</x:v>
      </x:c>
      <x:c r="H138" s="126" t="e">
        <x:f>IF(G138="","",IF(G138&lt;参数与口径!$E$6,1,MATCH(G138,等级配置!$C$4:$C$103,1)))</x:f>
        <x:v>#NAME?</x:v>
      </x:c>
      <x:c r="I138" s="58" t="e">
        <x:f>IF(H138="","",INDEX(等级配置!$B$4:$B$103,H138))</x:f>
        <x:v>#NAME?</x:v>
      </x:c>
      <x:c r="J138" s="58" t="e">
        <x:f>IF(AND(D138="当前已婚",G138&lt;参数与口径!$E$6),"存量兼容Lv1",IF(G138&gt;=等级配置!$C$103,"Lv100溢出","正常"))</x:f>
        <x:v>#NAME?</x:v>
      </x:c>
      <x:c r="K138" s="20" t="str">
        <x:f t="shared" si="2"/>
      </x:c>
    </x:row>
    <x:row r="139" ht="17">
      <x:c r="A139" s="58" t="s">
        <x:v>584</x:v>
      </x:c>
      <x:c r="B139" s="58" t="s">
        <x:v>585</x:v>
      </x:c>
      <x:c r="C139" s="58" t="s">
        <x:v>586</x:v>
      </x:c>
      <x:c r="D139" s="58" t="s">
        <x:v>14</x:v>
      </x:c>
      <x:c r="E139" s="18" t="s">
        <x:v>587</x:v>
      </x:c>
      <x:c r="F139" s="18" t="s">
        <x:v>588</x:v>
      </x:c>
      <x:c r="G139" s="126">
        <x:v>17298</x:v>
      </x:c>
      <x:c r="H139" s="126" t="e">
        <x:f>IF(G139="","",IF(G139&lt;参数与口径!$E$6,1,MATCH(G139,等级配置!$C$4:$C$103,1)))</x:f>
        <x:v>#NAME?</x:v>
      </x:c>
      <x:c r="I139" s="58" t="e">
        <x:f>IF(H139="","",INDEX(等级配置!$B$4:$B$103,H139))</x:f>
        <x:v>#NAME?</x:v>
      </x:c>
      <x:c r="J139" s="58" t="e">
        <x:f>IF(AND(D139="当前已婚",G139&lt;参数与口径!$E$6),"存量兼容Lv1",IF(G139&gt;=等级配置!$C$103,"Lv100溢出","正常"))</x:f>
        <x:v>#NAME?</x:v>
      </x:c>
      <x:c r="K139" s="20" t="str">
        <x:f t="shared" si="2"/>
        <x:v>当前已婚但存在离婚日期</x:v>
      </x:c>
    </x:row>
    <x:row r="140" ht="17">
      <x:c r="A140" s="58" t="s">
        <x:v>589</x:v>
      </x:c>
      <x:c r="B140" s="58" t="s">
        <x:v>590</x:v>
      </x:c>
      <x:c r="C140" s="58" t="s">
        <x:v>591</x:v>
      </x:c>
      <x:c r="D140" s="58" t="s">
        <x:v>14</x:v>
      </x:c>
      <x:c r="E140" s="18" t="s">
        <x:v>592</x:v>
      </x:c>
      <x:c r="F140" s="18"/>
      <x:c r="G140" s="126">
        <x:v>17192</x:v>
      </x:c>
      <x:c r="H140" s="126" t="e">
        <x:f>IF(G140="","",IF(G140&lt;参数与口径!$E$6,1,MATCH(G140,等级配置!$C$4:$C$103,1)))</x:f>
        <x:v>#NAME?</x:v>
      </x:c>
      <x:c r="I140" s="58" t="e">
        <x:f>IF(H140="","",INDEX(等级配置!$B$4:$B$103,H140))</x:f>
        <x:v>#NAME?</x:v>
      </x:c>
      <x:c r="J140" s="58" t="e">
        <x:f>IF(AND(D140="当前已婚",G140&lt;参数与口径!$E$6),"存量兼容Lv1",IF(G140&gt;=等级配置!$C$103,"Lv100溢出","正常"))</x:f>
        <x:v>#NAME?</x:v>
      </x:c>
      <x:c r="K140" s="20" t="str">
        <x:f t="shared" si="2"/>
      </x:c>
    </x:row>
    <x:row r="141" ht="17">
      <x:c r="A141" s="58" t="s">
        <x:v>593</x:v>
      </x:c>
      <x:c r="B141" s="58" t="s">
        <x:v>594</x:v>
      </x:c>
      <x:c r="C141" s="58" t="s">
        <x:v>595</x:v>
      </x:c>
      <x:c r="D141" s="58" t="s">
        <x:v>14</x:v>
      </x:c>
      <x:c r="E141" s="18" t="s">
        <x:v>596</x:v>
      </x:c>
      <x:c r="F141" s="18"/>
      <x:c r="G141" s="126">
        <x:v>16981</x:v>
      </x:c>
      <x:c r="H141" s="126" t="e">
        <x:f>IF(G141="","",IF(G141&lt;参数与口径!$E$6,1,MATCH(G141,等级配置!$C$4:$C$103,1)))</x:f>
        <x:v>#NAME?</x:v>
      </x:c>
      <x:c r="I141" s="58" t="e">
        <x:f>IF(H141="","",INDEX(等级配置!$B$4:$B$103,H141))</x:f>
        <x:v>#NAME?</x:v>
      </x:c>
      <x:c r="J141" s="58" t="e">
        <x:f>IF(AND(D141="当前已婚",G141&lt;参数与口径!$E$6),"存量兼容Lv1",IF(G141&gt;=等级配置!$C$103,"Lv100溢出","正常"))</x:f>
        <x:v>#NAME?</x:v>
      </x:c>
      <x:c r="K141" s="20" t="str">
        <x:f t="shared" si="2"/>
      </x:c>
    </x:row>
    <x:row r="142" ht="17">
      <x:c r="A142" s="58" t="s">
        <x:v>597</x:v>
      </x:c>
      <x:c r="B142" s="58" t="s">
        <x:v>598</x:v>
      </x:c>
      <x:c r="C142" s="58" t="s">
        <x:v>599</x:v>
      </x:c>
      <x:c r="D142" s="58" t="s">
        <x:v>14</x:v>
      </x:c>
      <x:c r="E142" s="18" t="s">
        <x:v>600</x:v>
      </x:c>
      <x:c r="F142" s="18"/>
      <x:c r="G142" s="126">
        <x:v>16867</x:v>
      </x:c>
      <x:c r="H142" s="126" t="e">
        <x:f>IF(G142="","",IF(G142&lt;参数与口径!$E$6,1,MATCH(G142,等级配置!$C$4:$C$103,1)))</x:f>
        <x:v>#NAME?</x:v>
      </x:c>
      <x:c r="I142" s="58" t="e">
        <x:f>IF(H142="","",INDEX(等级配置!$B$4:$B$103,H142))</x:f>
        <x:v>#NAME?</x:v>
      </x:c>
      <x:c r="J142" s="58" t="e">
        <x:f>IF(AND(D142="当前已婚",G142&lt;参数与口径!$E$6),"存量兼容Lv1",IF(G142&gt;=等级配置!$C$103,"Lv100溢出","正常"))</x:f>
        <x:v>#NAME?</x:v>
      </x:c>
      <x:c r="K142" s="20" t="str">
        <x:f t="shared" si="2"/>
      </x:c>
    </x:row>
    <x:row r="143" ht="17">
      <x:c r="A143" s="58" t="s">
        <x:v>601</x:v>
      </x:c>
      <x:c r="B143" s="58" t="s">
        <x:v>602</x:v>
      </x:c>
      <x:c r="C143" s="58" t="s">
        <x:v>603</x:v>
      </x:c>
      <x:c r="D143" s="58" t="s">
        <x:v>14</x:v>
      </x:c>
      <x:c r="E143" s="18" t="s">
        <x:v>604</x:v>
      </x:c>
      <x:c r="F143" s="18"/>
      <x:c r="G143" s="126">
        <x:v>16546</x:v>
      </x:c>
      <x:c r="H143" s="126" t="e">
        <x:f>IF(G143="","",IF(G143&lt;参数与口径!$E$6,1,MATCH(G143,等级配置!$C$4:$C$103,1)))</x:f>
        <x:v>#NAME?</x:v>
      </x:c>
      <x:c r="I143" s="58" t="e">
        <x:f>IF(H143="","",INDEX(等级配置!$B$4:$B$103,H143))</x:f>
        <x:v>#NAME?</x:v>
      </x:c>
      <x:c r="J143" s="58" t="e">
        <x:f>IF(AND(D143="当前已婚",G143&lt;参数与口径!$E$6),"存量兼容Lv1",IF(G143&gt;=等级配置!$C$103,"Lv100溢出","正常"))</x:f>
        <x:v>#NAME?</x:v>
      </x:c>
      <x:c r="K143" s="20" t="str">
        <x:f t="shared" si="2"/>
      </x:c>
    </x:row>
    <x:row r="144" ht="17">
      <x:c r="A144" s="58" t="s">
        <x:v>605</x:v>
      </x:c>
      <x:c r="B144" s="58" t="s">
        <x:v>606</x:v>
      </x:c>
      <x:c r="C144" s="58" t="s">
        <x:v>607</x:v>
      </x:c>
      <x:c r="D144" s="58" t="s">
        <x:v>14</x:v>
      </x:c>
      <x:c r="E144" s="18" t="s">
        <x:v>608</x:v>
      </x:c>
      <x:c r="F144" s="18"/>
      <x:c r="G144" s="126">
        <x:v>16365</x:v>
      </x:c>
      <x:c r="H144" s="126" t="e">
        <x:f>IF(G144="","",IF(G144&lt;参数与口径!$E$6,1,MATCH(G144,等级配置!$C$4:$C$103,1)))</x:f>
        <x:v>#NAME?</x:v>
      </x:c>
      <x:c r="I144" s="58" t="e">
        <x:f>IF(H144="","",INDEX(等级配置!$B$4:$B$103,H144))</x:f>
        <x:v>#NAME?</x:v>
      </x:c>
      <x:c r="J144" s="58" t="e">
        <x:f>IF(AND(D144="当前已婚",G144&lt;参数与口径!$E$6),"存量兼容Lv1",IF(G144&gt;=等级配置!$C$103,"Lv100溢出","正常"))</x:f>
        <x:v>#NAME?</x:v>
      </x:c>
      <x:c r="K144" s="20" t="str">
        <x:f t="shared" si="2"/>
      </x:c>
    </x:row>
    <x:row r="145" ht="17">
      <x:c r="A145" s="58" t="s">
        <x:v>609</x:v>
      </x:c>
      <x:c r="B145" s="58" t="s">
        <x:v>610</x:v>
      </x:c>
      <x:c r="C145" s="58" t="s">
        <x:v>611</x:v>
      </x:c>
      <x:c r="D145" s="58" t="s">
        <x:v>14</x:v>
      </x:c>
      <x:c r="E145" s="18" t="s">
        <x:v>612</x:v>
      </x:c>
      <x:c r="F145" s="18"/>
      <x:c r="G145" s="126">
        <x:v>15592</x:v>
      </x:c>
      <x:c r="H145" s="126" t="e">
        <x:f>IF(G145="","",IF(G145&lt;参数与口径!$E$6,1,MATCH(G145,等级配置!$C$4:$C$103,1)))</x:f>
        <x:v>#NAME?</x:v>
      </x:c>
      <x:c r="I145" s="58" t="e">
        <x:f>IF(H145="","",INDEX(等级配置!$B$4:$B$103,H145))</x:f>
        <x:v>#NAME?</x:v>
      </x:c>
      <x:c r="J145" s="58" t="e">
        <x:f>IF(AND(D145="当前已婚",G145&lt;参数与口径!$E$6),"存量兼容Lv1",IF(G145&gt;=等级配置!$C$103,"Lv100溢出","正常"))</x:f>
        <x:v>#NAME?</x:v>
      </x:c>
      <x:c r="K145" s="20" t="str">
        <x:f t="shared" si="2"/>
      </x:c>
    </x:row>
    <x:row r="146" ht="17">
      <x:c r="A146" s="58" t="s">
        <x:v>613</x:v>
      </x:c>
      <x:c r="B146" s="58" t="s">
        <x:v>614</x:v>
      </x:c>
      <x:c r="C146" s="58" t="s">
        <x:v>615</x:v>
      </x:c>
      <x:c r="D146" s="58" t="s">
        <x:v>14</x:v>
      </x:c>
      <x:c r="E146" s="18" t="s">
        <x:v>616</x:v>
      </x:c>
      <x:c r="F146" s="18"/>
      <x:c r="G146" s="126">
        <x:v>15402</x:v>
      </x:c>
      <x:c r="H146" s="126" t="e">
        <x:f>IF(G146="","",IF(G146&lt;参数与口径!$E$6,1,MATCH(G146,等级配置!$C$4:$C$103,1)))</x:f>
        <x:v>#NAME?</x:v>
      </x:c>
      <x:c r="I146" s="58" t="e">
        <x:f>IF(H146="","",INDEX(等级配置!$B$4:$B$103,H146))</x:f>
        <x:v>#NAME?</x:v>
      </x:c>
      <x:c r="J146" s="58" t="e">
        <x:f>IF(AND(D146="当前已婚",G146&lt;参数与口径!$E$6),"存量兼容Lv1",IF(G146&gt;=等级配置!$C$103,"Lv100溢出","正常"))</x:f>
        <x:v>#NAME?</x:v>
      </x:c>
      <x:c r="K146" s="20" t="str">
        <x:f t="shared" si="2"/>
      </x:c>
    </x:row>
    <x:row r="147" ht="17">
      <x:c r="A147" s="58" t="s">
        <x:v>617</x:v>
      </x:c>
      <x:c r="B147" s="58" t="s">
        <x:v>618</x:v>
      </x:c>
      <x:c r="C147" s="58" t="s">
        <x:v>619</x:v>
      </x:c>
      <x:c r="D147" s="58" t="s">
        <x:v>14</x:v>
      </x:c>
      <x:c r="E147" s="18" t="s">
        <x:v>620</x:v>
      </x:c>
      <x:c r="F147" s="18"/>
      <x:c r="G147" s="126">
        <x:v>15334</x:v>
      </x:c>
      <x:c r="H147" s="126" t="e">
        <x:f>IF(G147="","",IF(G147&lt;参数与口径!$E$6,1,MATCH(G147,等级配置!$C$4:$C$103,1)))</x:f>
        <x:v>#NAME?</x:v>
      </x:c>
      <x:c r="I147" s="58" t="e">
        <x:f>IF(H147="","",INDEX(等级配置!$B$4:$B$103,H147))</x:f>
        <x:v>#NAME?</x:v>
      </x:c>
      <x:c r="J147" s="58" t="e">
        <x:f>IF(AND(D147="当前已婚",G147&lt;参数与口径!$E$6),"存量兼容Lv1",IF(G147&gt;=等级配置!$C$103,"Lv100溢出","正常"))</x:f>
        <x:v>#NAME?</x:v>
      </x:c>
      <x:c r="K147" s="20" t="str">
        <x:f t="shared" si="2"/>
      </x:c>
    </x:row>
    <x:row r="148" ht="17">
      <x:c r="A148" s="58" t="s">
        <x:v>621</x:v>
      </x:c>
      <x:c r="B148" s="58" t="s">
        <x:v>622</x:v>
      </x:c>
      <x:c r="C148" s="58" t="s">
        <x:v>623</x:v>
      </x:c>
      <x:c r="D148" s="58" t="s">
        <x:v>14</x:v>
      </x:c>
      <x:c r="E148" s="18" t="s">
        <x:v>624</x:v>
      </x:c>
      <x:c r="F148" s="18"/>
      <x:c r="G148" s="126">
        <x:v>15213</x:v>
      </x:c>
      <x:c r="H148" s="126" t="e">
        <x:f>IF(G148="","",IF(G148&lt;参数与口径!$E$6,1,MATCH(G148,等级配置!$C$4:$C$103,1)))</x:f>
        <x:v>#NAME?</x:v>
      </x:c>
      <x:c r="I148" s="58" t="e">
        <x:f>IF(H148="","",INDEX(等级配置!$B$4:$B$103,H148))</x:f>
        <x:v>#NAME?</x:v>
      </x:c>
      <x:c r="J148" s="58" t="e">
        <x:f>IF(AND(D148="当前已婚",G148&lt;参数与口径!$E$6),"存量兼容Lv1",IF(G148&gt;=等级配置!$C$103,"Lv100溢出","正常"))</x:f>
        <x:v>#NAME?</x:v>
      </x:c>
      <x:c r="K148" s="20" t="str">
        <x:f t="shared" si="2"/>
      </x:c>
    </x:row>
    <x:row r="149" ht="17">
      <x:c r="A149" s="58" t="s">
        <x:v>625</x:v>
      </x:c>
      <x:c r="B149" s="58" t="s">
        <x:v>626</x:v>
      </x:c>
      <x:c r="C149" s="58" t="s">
        <x:v>627</x:v>
      </x:c>
      <x:c r="D149" s="58" t="s">
        <x:v>14</x:v>
      </x:c>
      <x:c r="E149" s="18" t="s">
        <x:v>628</x:v>
      </x:c>
      <x:c r="F149" s="18"/>
      <x:c r="G149" s="126">
        <x:v>15182</x:v>
      </x:c>
      <x:c r="H149" s="126" t="e">
        <x:f>IF(G149="","",IF(G149&lt;参数与口径!$E$6,1,MATCH(G149,等级配置!$C$4:$C$103,1)))</x:f>
        <x:v>#NAME?</x:v>
      </x:c>
      <x:c r="I149" s="58" t="e">
        <x:f>IF(H149="","",INDEX(等级配置!$B$4:$B$103,H149))</x:f>
        <x:v>#NAME?</x:v>
      </x:c>
      <x:c r="J149" s="58" t="e">
        <x:f>IF(AND(D149="当前已婚",G149&lt;参数与口径!$E$6),"存量兼容Lv1",IF(G149&gt;=等级配置!$C$103,"Lv100溢出","正常"))</x:f>
        <x:v>#NAME?</x:v>
      </x:c>
      <x:c r="K149" s="20" t="str">
        <x:f t="shared" si="2"/>
      </x:c>
    </x:row>
    <x:row r="150" ht="17">
      <x:c r="A150" s="58" t="s">
        <x:v>629</x:v>
      </x:c>
      <x:c r="B150" s="58" t="s">
        <x:v>630</x:v>
      </x:c>
      <x:c r="C150" s="58" t="s">
        <x:v>631</x:v>
      </x:c>
      <x:c r="D150" s="58" t="s">
        <x:v>14</x:v>
      </x:c>
      <x:c r="E150" s="18" t="s">
        <x:v>632</x:v>
      </x:c>
      <x:c r="F150" s="18"/>
      <x:c r="G150" s="126">
        <x:v>15033</x:v>
      </x:c>
      <x:c r="H150" s="126" t="e">
        <x:f>IF(G150="","",IF(G150&lt;参数与口径!$E$6,1,MATCH(G150,等级配置!$C$4:$C$103,1)))</x:f>
        <x:v>#NAME?</x:v>
      </x:c>
      <x:c r="I150" s="58" t="e">
        <x:f>IF(H150="","",INDEX(等级配置!$B$4:$B$103,H150))</x:f>
        <x:v>#NAME?</x:v>
      </x:c>
      <x:c r="J150" s="58" t="e">
        <x:f>IF(AND(D150="当前已婚",G150&lt;参数与口径!$E$6),"存量兼容Lv1",IF(G150&gt;=等级配置!$C$103,"Lv100溢出","正常"))</x:f>
        <x:v>#NAME?</x:v>
      </x:c>
      <x:c r="K150" s="20" t="str">
        <x:f t="shared" si="2"/>
      </x:c>
    </x:row>
    <x:row r="151" ht="17">
      <x:c r="A151" s="58" t="s">
        <x:v>633</x:v>
      </x:c>
      <x:c r="B151" s="58" t="s">
        <x:v>634</x:v>
      </x:c>
      <x:c r="C151" s="58" t="s">
        <x:v>635</x:v>
      </x:c>
      <x:c r="D151" s="58" t="s">
        <x:v>14</x:v>
      </x:c>
      <x:c r="E151" s="18" t="s">
        <x:v>636</x:v>
      </x:c>
      <x:c r="F151" s="18"/>
      <x:c r="G151" s="126">
        <x:v>14115</x:v>
      </x:c>
      <x:c r="H151" s="126" t="e">
        <x:f>IF(G151="","",IF(G151&lt;参数与口径!$E$6,1,MATCH(G151,等级配置!$C$4:$C$103,1)))</x:f>
        <x:v>#NAME?</x:v>
      </x:c>
      <x:c r="I151" s="58" t="e">
        <x:f>IF(H151="","",INDEX(等级配置!$B$4:$B$103,H151))</x:f>
        <x:v>#NAME?</x:v>
      </x:c>
      <x:c r="J151" s="58" t="e">
        <x:f>IF(AND(D151="当前已婚",G151&lt;参数与口径!$E$6),"存量兼容Lv1",IF(G151&gt;=等级配置!$C$103,"Lv100溢出","正常"))</x:f>
        <x:v>#NAME?</x:v>
      </x:c>
      <x:c r="K151" s="20" t="str">
        <x:f t="shared" si="2"/>
      </x:c>
    </x:row>
    <x:row r="152" ht="17">
      <x:c r="A152" s="58" t="s">
        <x:v>637</x:v>
      </x:c>
      <x:c r="B152" s="58" t="s">
        <x:v>638</x:v>
      </x:c>
      <x:c r="C152" s="58" t="s">
        <x:v>639</x:v>
      </x:c>
      <x:c r="D152" s="58" t="s">
        <x:v>14</x:v>
      </x:c>
      <x:c r="E152" s="18" t="s">
        <x:v>640</x:v>
      </x:c>
      <x:c r="F152" s="18"/>
      <x:c r="G152" s="126">
        <x:v>13587</x:v>
      </x:c>
      <x:c r="H152" s="126" t="e">
        <x:f>IF(G152="","",IF(G152&lt;参数与口径!$E$6,1,MATCH(G152,等级配置!$C$4:$C$103,1)))</x:f>
        <x:v>#NAME?</x:v>
      </x:c>
      <x:c r="I152" s="58" t="e">
        <x:f>IF(H152="","",INDEX(等级配置!$B$4:$B$103,H152))</x:f>
        <x:v>#NAME?</x:v>
      </x:c>
      <x:c r="J152" s="58" t="e">
        <x:f>IF(AND(D152="当前已婚",G152&lt;参数与口径!$E$6),"存量兼容Lv1",IF(G152&gt;=等级配置!$C$103,"Lv100溢出","正常"))</x:f>
        <x:v>#NAME?</x:v>
      </x:c>
      <x:c r="K152" s="20" t="str">
        <x:f t="shared" si="2"/>
      </x:c>
    </x:row>
    <x:row r="153" ht="17">
      <x:c r="A153" s="58" t="s">
        <x:v>641</x:v>
      </x:c>
      <x:c r="B153" s="58" t="s">
        <x:v>642</x:v>
      </x:c>
      <x:c r="C153" s="58" t="s">
        <x:v>643</x:v>
      </x:c>
      <x:c r="D153" s="58" t="s">
        <x:v>14</x:v>
      </x:c>
      <x:c r="E153" s="18" t="s">
        <x:v>644</x:v>
      </x:c>
      <x:c r="F153" s="18"/>
      <x:c r="G153" s="126">
        <x:v>13053</x:v>
      </x:c>
      <x:c r="H153" s="126" t="e">
        <x:f>IF(G153="","",IF(G153&lt;参数与口径!$E$6,1,MATCH(G153,等级配置!$C$4:$C$103,1)))</x:f>
        <x:v>#NAME?</x:v>
      </x:c>
      <x:c r="I153" s="58" t="e">
        <x:f>IF(H153="","",INDEX(等级配置!$B$4:$B$103,H153))</x:f>
        <x:v>#NAME?</x:v>
      </x:c>
      <x:c r="J153" s="58" t="e">
        <x:f>IF(AND(D153="当前已婚",G153&lt;参数与口径!$E$6),"存量兼容Lv1",IF(G153&gt;=等级配置!$C$103,"Lv100溢出","正常"))</x:f>
        <x:v>#NAME?</x:v>
      </x:c>
      <x:c r="K153" s="20" t="str">
        <x:f t="shared" si="2"/>
      </x:c>
    </x:row>
    <x:row r="154" ht="17">
      <x:c r="A154" s="58" t="s">
        <x:v>645</x:v>
      </x:c>
      <x:c r="B154" s="58" t="s">
        <x:v>646</x:v>
      </x:c>
      <x:c r="C154" s="58" t="s">
        <x:v>647</x:v>
      </x:c>
      <x:c r="D154" s="58" t="s">
        <x:v>14</x:v>
      </x:c>
      <x:c r="E154" s="18" t="s">
        <x:v>648</x:v>
      </x:c>
      <x:c r="F154" s="18"/>
      <x:c r="G154" s="126">
        <x:v>12364</x:v>
      </x:c>
      <x:c r="H154" s="126" t="e">
        <x:f>IF(G154="","",IF(G154&lt;参数与口径!$E$6,1,MATCH(G154,等级配置!$C$4:$C$103,1)))</x:f>
        <x:v>#NAME?</x:v>
      </x:c>
      <x:c r="I154" s="58" t="e">
        <x:f>IF(H154="","",INDEX(等级配置!$B$4:$B$103,H154))</x:f>
        <x:v>#NAME?</x:v>
      </x:c>
      <x:c r="J154" s="58" t="e">
        <x:f>IF(AND(D154="当前已婚",G154&lt;参数与口径!$E$6),"存量兼容Lv1",IF(G154&gt;=等级配置!$C$103,"Lv100溢出","正常"))</x:f>
        <x:v>#NAME?</x:v>
      </x:c>
      <x:c r="K154" s="20" t="str">
        <x:f t="shared" si="2"/>
      </x:c>
    </x:row>
    <x:row r="155" ht="17">
      <x:c r="A155" s="58" t="s">
        <x:v>649</x:v>
      </x:c>
      <x:c r="B155" s="58" t="s">
        <x:v>650</x:v>
      </x:c>
      <x:c r="C155" s="58" t="s">
        <x:v>651</x:v>
      </x:c>
      <x:c r="D155" s="58" t="s">
        <x:v>14</x:v>
      </x:c>
      <x:c r="E155" s="18" t="s">
        <x:v>652</x:v>
      </x:c>
      <x:c r="F155" s="18"/>
      <x:c r="G155" s="126">
        <x:v>12335</x:v>
      </x:c>
      <x:c r="H155" s="126" t="e">
        <x:f>IF(G155="","",IF(G155&lt;参数与口径!$E$6,1,MATCH(G155,等级配置!$C$4:$C$103,1)))</x:f>
        <x:v>#NAME?</x:v>
      </x:c>
      <x:c r="I155" s="58" t="e">
        <x:f>IF(H155="","",INDEX(等级配置!$B$4:$B$103,H155))</x:f>
        <x:v>#NAME?</x:v>
      </x:c>
      <x:c r="J155" s="58" t="e">
        <x:f>IF(AND(D155="当前已婚",G155&lt;参数与口径!$E$6),"存量兼容Lv1",IF(G155&gt;=等级配置!$C$103,"Lv100溢出","正常"))</x:f>
        <x:v>#NAME?</x:v>
      </x:c>
      <x:c r="K155" s="20" t="str">
        <x:f t="shared" si="2"/>
      </x:c>
    </x:row>
    <x:row r="156" ht="17">
      <x:c r="A156" s="58" t="s">
        <x:v>653</x:v>
      </x:c>
      <x:c r="B156" s="58" t="s">
        <x:v>654</x:v>
      </x:c>
      <x:c r="C156" s="58" t="s">
        <x:v>655</x:v>
      </x:c>
      <x:c r="D156" s="58" t="s">
        <x:v>14</x:v>
      </x:c>
      <x:c r="E156" s="18" t="s">
        <x:v>656</x:v>
      </x:c>
      <x:c r="F156" s="18"/>
      <x:c r="G156" s="126">
        <x:v>12335</x:v>
      </x:c>
      <x:c r="H156" s="126" t="e">
        <x:f>IF(G156="","",IF(G156&lt;参数与口径!$E$6,1,MATCH(G156,等级配置!$C$4:$C$103,1)))</x:f>
        <x:v>#NAME?</x:v>
      </x:c>
      <x:c r="I156" s="58" t="e">
        <x:f>IF(H156="","",INDEX(等级配置!$B$4:$B$103,H156))</x:f>
        <x:v>#NAME?</x:v>
      </x:c>
      <x:c r="J156" s="58" t="e">
        <x:f>IF(AND(D156="当前已婚",G156&lt;参数与口径!$E$6),"存量兼容Lv1",IF(G156&gt;=等级配置!$C$103,"Lv100溢出","正常"))</x:f>
        <x:v>#NAME?</x:v>
      </x:c>
      <x:c r="K156" s="20" t="str">
        <x:f t="shared" si="2"/>
      </x:c>
    </x:row>
    <x:row r="157" ht="17">
      <x:c r="A157" s="58" t="s">
        <x:v>657</x:v>
      </x:c>
      <x:c r="B157" s="58" t="s">
        <x:v>658</x:v>
      </x:c>
      <x:c r="C157" s="58" t="s">
        <x:v>659</x:v>
      </x:c>
      <x:c r="D157" s="58" t="s">
        <x:v>14</x:v>
      </x:c>
      <x:c r="E157" s="18" t="s">
        <x:v>660</x:v>
      </x:c>
      <x:c r="F157" s="18"/>
      <x:c r="G157" s="126">
        <x:v>12246</x:v>
      </x:c>
      <x:c r="H157" s="126" t="e">
        <x:f>IF(G157="","",IF(G157&lt;参数与口径!$E$6,1,MATCH(G157,等级配置!$C$4:$C$103,1)))</x:f>
        <x:v>#NAME?</x:v>
      </x:c>
      <x:c r="I157" s="58" t="e">
        <x:f>IF(H157="","",INDEX(等级配置!$B$4:$B$103,H157))</x:f>
        <x:v>#NAME?</x:v>
      </x:c>
      <x:c r="J157" s="58" t="e">
        <x:f>IF(AND(D157="当前已婚",G157&lt;参数与口径!$E$6),"存量兼容Lv1",IF(G157&gt;=等级配置!$C$103,"Lv100溢出","正常"))</x:f>
        <x:v>#NAME?</x:v>
      </x:c>
      <x:c r="K157" s="20" t="str">
        <x:f t="shared" si="2"/>
      </x:c>
    </x:row>
    <x:row r="158" ht="17">
      <x:c r="A158" s="58" t="s">
        <x:v>661</x:v>
      </x:c>
      <x:c r="B158" s="58" t="s">
        <x:v>662</x:v>
      </x:c>
      <x:c r="C158" s="58" t="s">
        <x:v>663</x:v>
      </x:c>
      <x:c r="D158" s="58" t="s">
        <x:v>14</x:v>
      </x:c>
      <x:c r="E158" s="18" t="s">
        <x:v>664</x:v>
      </x:c>
      <x:c r="F158" s="18"/>
      <x:c r="G158" s="126">
        <x:v>11746</x:v>
      </x:c>
      <x:c r="H158" s="126" t="e">
        <x:f>IF(G158="","",IF(G158&lt;参数与口径!$E$6,1,MATCH(G158,等级配置!$C$4:$C$103,1)))</x:f>
        <x:v>#NAME?</x:v>
      </x:c>
      <x:c r="I158" s="58" t="e">
        <x:f>IF(H158="","",INDEX(等级配置!$B$4:$B$103,H158))</x:f>
        <x:v>#NAME?</x:v>
      </x:c>
      <x:c r="J158" s="58" t="e">
        <x:f>IF(AND(D158="当前已婚",G158&lt;参数与口径!$E$6),"存量兼容Lv1",IF(G158&gt;=等级配置!$C$103,"Lv100溢出","正常"))</x:f>
        <x:v>#NAME?</x:v>
      </x:c>
      <x:c r="K158" s="20" t="str">
        <x:f t="shared" si="2"/>
      </x:c>
    </x:row>
    <x:row r="159" ht="17">
      <x:c r="A159" s="58" t="s">
        <x:v>665</x:v>
      </x:c>
      <x:c r="B159" s="58" t="s">
        <x:v>666</x:v>
      </x:c>
      <x:c r="C159" s="58" t="s">
        <x:v>667</x:v>
      </x:c>
      <x:c r="D159" s="58" t="s">
        <x:v>14</x:v>
      </x:c>
      <x:c r="E159" s="18" t="s">
        <x:v>668</x:v>
      </x:c>
      <x:c r="F159" s="18"/>
      <x:c r="G159" s="126">
        <x:v>11709</x:v>
      </x:c>
      <x:c r="H159" s="126" t="e">
        <x:f>IF(G159="","",IF(G159&lt;参数与口径!$E$6,1,MATCH(G159,等级配置!$C$4:$C$103,1)))</x:f>
        <x:v>#NAME?</x:v>
      </x:c>
      <x:c r="I159" s="58" t="e">
        <x:f>IF(H159="","",INDEX(等级配置!$B$4:$B$103,H159))</x:f>
        <x:v>#NAME?</x:v>
      </x:c>
      <x:c r="J159" s="58" t="e">
        <x:f>IF(AND(D159="当前已婚",G159&lt;参数与口径!$E$6),"存量兼容Lv1",IF(G159&gt;=等级配置!$C$103,"Lv100溢出","正常"))</x:f>
        <x:v>#NAME?</x:v>
      </x:c>
      <x:c r="K159" s="20" t="str">
        <x:f t="shared" si="2"/>
      </x:c>
    </x:row>
    <x:row r="160" ht="17">
      <x:c r="A160" s="58" t="s">
        <x:v>669</x:v>
      </x:c>
      <x:c r="B160" s="58" t="s">
        <x:v>670</x:v>
      </x:c>
      <x:c r="C160" s="58" t="s">
        <x:v>671</x:v>
      </x:c>
      <x:c r="D160" s="58" t="s">
        <x:v>14</x:v>
      </x:c>
      <x:c r="E160" s="18" t="s">
        <x:v>672</x:v>
      </x:c>
      <x:c r="F160" s="18"/>
      <x:c r="G160" s="126">
        <x:v>11699</x:v>
      </x:c>
      <x:c r="H160" s="126" t="e">
        <x:f>IF(G160="","",IF(G160&lt;参数与口径!$E$6,1,MATCH(G160,等级配置!$C$4:$C$103,1)))</x:f>
        <x:v>#NAME?</x:v>
      </x:c>
      <x:c r="I160" s="58" t="e">
        <x:f>IF(H160="","",INDEX(等级配置!$B$4:$B$103,H160))</x:f>
        <x:v>#NAME?</x:v>
      </x:c>
      <x:c r="J160" s="58" t="e">
        <x:f>IF(AND(D160="当前已婚",G160&lt;参数与口径!$E$6),"存量兼容Lv1",IF(G160&gt;=等级配置!$C$103,"Lv100溢出","正常"))</x:f>
        <x:v>#NAME?</x:v>
      </x:c>
      <x:c r="K160" s="20" t="str">
        <x:f t="shared" si="2"/>
      </x:c>
    </x:row>
    <x:row r="161" ht="17">
      <x:c r="A161" s="58" t="s">
        <x:v>673</x:v>
      </x:c>
      <x:c r="B161" s="58" t="s">
        <x:v>674</x:v>
      </x:c>
      <x:c r="C161" s="58" t="s">
        <x:v>675</x:v>
      </x:c>
      <x:c r="D161" s="58" t="s">
        <x:v>14</x:v>
      </x:c>
      <x:c r="E161" s="18" t="s">
        <x:v>676</x:v>
      </x:c>
      <x:c r="F161" s="18"/>
      <x:c r="G161" s="126">
        <x:v>11618</x:v>
      </x:c>
      <x:c r="H161" s="126" t="e">
        <x:f>IF(G161="","",IF(G161&lt;参数与口径!$E$6,1,MATCH(G161,等级配置!$C$4:$C$103,1)))</x:f>
        <x:v>#NAME?</x:v>
      </x:c>
      <x:c r="I161" s="58" t="e">
        <x:f>IF(H161="","",INDEX(等级配置!$B$4:$B$103,H161))</x:f>
        <x:v>#NAME?</x:v>
      </x:c>
      <x:c r="J161" s="58" t="e">
        <x:f>IF(AND(D161="当前已婚",G161&lt;参数与口径!$E$6),"存量兼容Lv1",IF(G161&gt;=等级配置!$C$103,"Lv100溢出","正常"))</x:f>
        <x:v>#NAME?</x:v>
      </x:c>
      <x:c r="K161" s="20" t="str">
        <x:f t="shared" si="2"/>
      </x:c>
    </x:row>
    <x:row r="162" ht="17">
      <x:c r="A162" s="58" t="s">
        <x:v>677</x:v>
      </x:c>
      <x:c r="B162" s="58" t="s">
        <x:v>678</x:v>
      </x:c>
      <x:c r="C162" s="58" t="s">
        <x:v>679</x:v>
      </x:c>
      <x:c r="D162" s="58" t="s">
        <x:v>14</x:v>
      </x:c>
      <x:c r="E162" s="18" t="s">
        <x:v>680</x:v>
      </x:c>
      <x:c r="F162" s="18"/>
      <x:c r="G162" s="126">
        <x:v>11161</x:v>
      </x:c>
      <x:c r="H162" s="126" t="e">
        <x:f>IF(G162="","",IF(G162&lt;参数与口径!$E$6,1,MATCH(G162,等级配置!$C$4:$C$103,1)))</x:f>
        <x:v>#NAME?</x:v>
      </x:c>
      <x:c r="I162" s="58" t="e">
        <x:f>IF(H162="","",INDEX(等级配置!$B$4:$B$103,H162))</x:f>
        <x:v>#NAME?</x:v>
      </x:c>
      <x:c r="J162" s="58" t="e">
        <x:f>IF(AND(D162="当前已婚",G162&lt;参数与口径!$E$6),"存量兼容Lv1",IF(G162&gt;=等级配置!$C$103,"Lv100溢出","正常"))</x:f>
        <x:v>#NAME?</x:v>
      </x:c>
      <x:c r="K162" s="20" t="str">
        <x:f t="shared" si="2"/>
      </x:c>
    </x:row>
    <x:row r="163" ht="17">
      <x:c r="A163" s="58" t="s">
        <x:v>681</x:v>
      </x:c>
      <x:c r="B163" s="58" t="s">
        <x:v>682</x:v>
      </x:c>
      <x:c r="C163" s="58" t="s">
        <x:v>683</x:v>
      </x:c>
      <x:c r="D163" s="58" t="s">
        <x:v>14</x:v>
      </x:c>
      <x:c r="E163" s="18" t="s">
        <x:v>684</x:v>
      </x:c>
      <x:c r="F163" s="18"/>
      <x:c r="G163" s="126">
        <x:v>11104</x:v>
      </x:c>
      <x:c r="H163" s="126" t="e">
        <x:f>IF(G163="","",IF(G163&lt;参数与口径!$E$6,1,MATCH(G163,等级配置!$C$4:$C$103,1)))</x:f>
        <x:v>#NAME?</x:v>
      </x:c>
      <x:c r="I163" s="58" t="e">
        <x:f>IF(H163="","",INDEX(等级配置!$B$4:$B$103,H163))</x:f>
        <x:v>#NAME?</x:v>
      </x:c>
      <x:c r="J163" s="58" t="e">
        <x:f>IF(AND(D163="当前已婚",G163&lt;参数与口径!$E$6),"存量兼容Lv1",IF(G163&gt;=等级配置!$C$103,"Lv100溢出","正常"))</x:f>
        <x:v>#NAME?</x:v>
      </x:c>
      <x:c r="K163" s="20" t="str">
        <x:f t="shared" si="2"/>
      </x:c>
    </x:row>
    <x:row r="164" ht="17">
      <x:c r="A164" s="58" t="s">
        <x:v>685</x:v>
      </x:c>
      <x:c r="B164" s="58" t="s">
        <x:v>686</x:v>
      </x:c>
      <x:c r="C164" s="58" t="s">
        <x:v>687</x:v>
      </x:c>
      <x:c r="D164" s="58" t="s">
        <x:v>14</x:v>
      </x:c>
      <x:c r="E164" s="18" t="s">
        <x:v>688</x:v>
      </x:c>
      <x:c r="F164" s="18"/>
      <x:c r="G164" s="126">
        <x:v>11012</x:v>
      </x:c>
      <x:c r="H164" s="126" t="e">
        <x:f>IF(G164="","",IF(G164&lt;参数与口径!$E$6,1,MATCH(G164,等级配置!$C$4:$C$103,1)))</x:f>
        <x:v>#NAME?</x:v>
      </x:c>
      <x:c r="I164" s="58" t="e">
        <x:f>IF(H164="","",INDEX(等级配置!$B$4:$B$103,H164))</x:f>
        <x:v>#NAME?</x:v>
      </x:c>
      <x:c r="J164" s="58" t="e">
        <x:f>IF(AND(D164="当前已婚",G164&lt;参数与口径!$E$6),"存量兼容Lv1",IF(G164&gt;=等级配置!$C$103,"Lv100溢出","正常"))</x:f>
        <x:v>#NAME?</x:v>
      </x:c>
      <x:c r="K164" s="20" t="str">
        <x:f t="shared" si="2"/>
      </x:c>
    </x:row>
    <x:row r="165" ht="17">
      <x:c r="A165" s="58" t="s">
        <x:v>689</x:v>
      </x:c>
      <x:c r="B165" s="58" t="s">
        <x:v>690</x:v>
      </x:c>
      <x:c r="C165" s="58" t="s">
        <x:v>691</x:v>
      </x:c>
      <x:c r="D165" s="58" t="s">
        <x:v>14</x:v>
      </x:c>
      <x:c r="E165" s="18" t="s">
        <x:v>692</x:v>
      </x:c>
      <x:c r="F165" s="18"/>
      <x:c r="G165" s="126">
        <x:v>10885</x:v>
      </x:c>
      <x:c r="H165" s="126" t="e">
        <x:f>IF(G165="","",IF(G165&lt;参数与口径!$E$6,1,MATCH(G165,等级配置!$C$4:$C$103,1)))</x:f>
        <x:v>#NAME?</x:v>
      </x:c>
      <x:c r="I165" s="58" t="e">
        <x:f>IF(H165="","",INDEX(等级配置!$B$4:$B$103,H165))</x:f>
        <x:v>#NAME?</x:v>
      </x:c>
      <x:c r="J165" s="58" t="e">
        <x:f>IF(AND(D165="当前已婚",G165&lt;参数与口径!$E$6),"存量兼容Lv1",IF(G165&gt;=等级配置!$C$103,"Lv100溢出","正常"))</x:f>
        <x:v>#NAME?</x:v>
      </x:c>
      <x:c r="K165" s="20" t="str">
        <x:f t="shared" si="2"/>
      </x:c>
    </x:row>
    <x:row r="166" ht="17">
      <x:c r="A166" s="58" t="s">
        <x:v>693</x:v>
      </x:c>
      <x:c r="B166" s="58" t="s">
        <x:v>694</x:v>
      </x:c>
      <x:c r="C166" s="58" t="s">
        <x:v>695</x:v>
      </x:c>
      <x:c r="D166" s="58" t="s">
        <x:v>14</x:v>
      </x:c>
      <x:c r="E166" s="18" t="s">
        <x:v>696</x:v>
      </x:c>
      <x:c r="F166" s="18"/>
      <x:c r="G166" s="126">
        <x:v>10652</x:v>
      </x:c>
      <x:c r="H166" s="126" t="e">
        <x:f>IF(G166="","",IF(G166&lt;参数与口径!$E$6,1,MATCH(G166,等级配置!$C$4:$C$103,1)))</x:f>
        <x:v>#NAME?</x:v>
      </x:c>
      <x:c r="I166" s="58" t="e">
        <x:f>IF(H166="","",INDEX(等级配置!$B$4:$B$103,H166))</x:f>
        <x:v>#NAME?</x:v>
      </x:c>
      <x:c r="J166" s="58" t="e">
        <x:f>IF(AND(D166="当前已婚",G166&lt;参数与口径!$E$6),"存量兼容Lv1",IF(G166&gt;=等级配置!$C$103,"Lv100溢出","正常"))</x:f>
        <x:v>#NAME?</x:v>
      </x:c>
      <x:c r="K166" s="20" t="str">
        <x:f t="shared" si="2"/>
      </x:c>
    </x:row>
    <x:row r="167" ht="17">
      <x:c r="A167" s="58" t="s">
        <x:v>697</x:v>
      </x:c>
      <x:c r="B167" s="58" t="s">
        <x:v>698</x:v>
      </x:c>
      <x:c r="C167" s="58" t="s">
        <x:v>699</x:v>
      </x:c>
      <x:c r="D167" s="58" t="s">
        <x:v>14</x:v>
      </x:c>
      <x:c r="E167" s="18" t="s">
        <x:v>700</x:v>
      </x:c>
      <x:c r="F167" s="18"/>
      <x:c r="G167" s="126">
        <x:v>9591</x:v>
      </x:c>
      <x:c r="H167" s="126" t="e">
        <x:f>IF(G167="","",IF(G167&lt;参数与口径!$E$6,1,MATCH(G167,等级配置!$C$4:$C$103,1)))</x:f>
        <x:v>#NAME?</x:v>
      </x:c>
      <x:c r="I167" s="58" t="e">
        <x:f>IF(H167="","",INDEX(等级配置!$B$4:$B$103,H167))</x:f>
        <x:v>#NAME?</x:v>
      </x:c>
      <x:c r="J167" s="58" t="e">
        <x:f>IF(AND(D167="当前已婚",G167&lt;参数与口径!$E$6),"存量兼容Lv1",IF(G167&gt;=等级配置!$C$103,"Lv100溢出","正常"))</x:f>
        <x:v>#NAME?</x:v>
      </x:c>
      <x:c r="K167" s="20" t="str">
        <x:f t="shared" si="2"/>
      </x:c>
    </x:row>
    <x:row r="168" ht="17">
      <x:c r="A168" s="58" t="s">
        <x:v>701</x:v>
      </x:c>
      <x:c r="B168" s="58" t="s">
        <x:v>702</x:v>
      </x:c>
      <x:c r="C168" s="58" t="s">
        <x:v>703</x:v>
      </x:c>
      <x:c r="D168" s="58" t="s">
        <x:v>14</x:v>
      </x:c>
      <x:c r="E168" s="18" t="s">
        <x:v>704</x:v>
      </x:c>
      <x:c r="F168" s="18"/>
      <x:c r="G168" s="126">
        <x:v>9449</x:v>
      </x:c>
      <x:c r="H168" s="126" t="e">
        <x:f>IF(G168="","",IF(G168&lt;参数与口径!$E$6,1,MATCH(G168,等级配置!$C$4:$C$103,1)))</x:f>
        <x:v>#NAME?</x:v>
      </x:c>
      <x:c r="I168" s="58" t="e">
        <x:f>IF(H168="","",INDEX(等级配置!$B$4:$B$103,H168))</x:f>
        <x:v>#NAME?</x:v>
      </x:c>
      <x:c r="J168" s="58" t="e">
        <x:f>IF(AND(D168="当前已婚",G168&lt;参数与口径!$E$6),"存量兼容Lv1",IF(G168&gt;=等级配置!$C$103,"Lv100溢出","正常"))</x:f>
        <x:v>#NAME?</x:v>
      </x:c>
      <x:c r="K168" s="20" t="str">
        <x:f t="shared" si="2"/>
      </x:c>
    </x:row>
    <x:row r="169" ht="17">
      <x:c r="A169" s="58" t="s">
        <x:v>705</x:v>
      </x:c>
      <x:c r="B169" s="58" t="s">
        <x:v>706</x:v>
      </x:c>
      <x:c r="C169" s="58" t="s">
        <x:v>707</x:v>
      </x:c>
      <x:c r="D169" s="58" t="s">
        <x:v>14</x:v>
      </x:c>
      <x:c r="E169" s="18" t="s">
        <x:v>708</x:v>
      </x:c>
      <x:c r="F169" s="18"/>
      <x:c r="G169" s="126">
        <x:v>9300</x:v>
      </x:c>
      <x:c r="H169" s="126" t="e">
        <x:f>IF(G169="","",IF(G169&lt;参数与口径!$E$6,1,MATCH(G169,等级配置!$C$4:$C$103,1)))</x:f>
        <x:v>#NAME?</x:v>
      </x:c>
      <x:c r="I169" s="58" t="e">
        <x:f>IF(H169="","",INDEX(等级配置!$B$4:$B$103,H169))</x:f>
        <x:v>#NAME?</x:v>
      </x:c>
      <x:c r="J169" s="58" t="e">
        <x:f>IF(AND(D169="当前已婚",G169&lt;参数与口径!$E$6),"存量兼容Lv1",IF(G169&gt;=等级配置!$C$103,"Lv100溢出","正常"))</x:f>
        <x:v>#NAME?</x:v>
      </x:c>
      <x:c r="K169" s="20" t="str">
        <x:f t="shared" si="2"/>
      </x:c>
    </x:row>
    <x:row r="170" ht="17">
      <x:c r="A170" s="58" t="s">
        <x:v>709</x:v>
      </x:c>
      <x:c r="B170" s="58" t="s">
        <x:v>710</x:v>
      </x:c>
      <x:c r="C170" s="58" t="s">
        <x:v>711</x:v>
      </x:c>
      <x:c r="D170" s="58" t="s">
        <x:v>14</x:v>
      </x:c>
      <x:c r="E170" s="18" t="s">
        <x:v>712</x:v>
      </x:c>
      <x:c r="F170" s="18"/>
      <x:c r="G170" s="126">
        <x:v>9228</x:v>
      </x:c>
      <x:c r="H170" s="126" t="e">
        <x:f>IF(G170="","",IF(G170&lt;参数与口径!$E$6,1,MATCH(G170,等级配置!$C$4:$C$103,1)))</x:f>
        <x:v>#NAME?</x:v>
      </x:c>
      <x:c r="I170" s="58" t="e">
        <x:f>IF(H170="","",INDEX(等级配置!$B$4:$B$103,H170))</x:f>
        <x:v>#NAME?</x:v>
      </x:c>
      <x:c r="J170" s="58" t="e">
        <x:f>IF(AND(D170="当前已婚",G170&lt;参数与口径!$E$6),"存量兼容Lv1",IF(G170&gt;=等级配置!$C$103,"Lv100溢出","正常"))</x:f>
        <x:v>#NAME?</x:v>
      </x:c>
      <x:c r="K170" s="20" t="str">
        <x:f t="shared" si="2"/>
      </x:c>
    </x:row>
    <x:row r="171" ht="17">
      <x:c r="A171" s="58" t="s">
        <x:v>713</x:v>
      </x:c>
      <x:c r="B171" s="58" t="s">
        <x:v>714</x:v>
      </x:c>
      <x:c r="C171" s="58" t="s">
        <x:v>715</x:v>
      </x:c>
      <x:c r="D171" s="58" t="s">
        <x:v>14</x:v>
      </x:c>
      <x:c r="E171" s="18" t="s">
        <x:v>716</x:v>
      </x:c>
      <x:c r="F171" s="18" t="s">
        <x:v>717</x:v>
      </x:c>
      <x:c r="G171" s="126">
        <x:v>9147</x:v>
      </x:c>
      <x:c r="H171" s="126" t="e">
        <x:f>IF(G171="","",IF(G171&lt;参数与口径!$E$6,1,MATCH(G171,等级配置!$C$4:$C$103,1)))</x:f>
        <x:v>#NAME?</x:v>
      </x:c>
      <x:c r="I171" s="58" t="e">
        <x:f>IF(H171="","",INDEX(等级配置!$B$4:$B$103,H171))</x:f>
        <x:v>#NAME?</x:v>
      </x:c>
      <x:c r="J171" s="58" t="e">
        <x:f>IF(AND(D171="当前已婚",G171&lt;参数与口径!$E$6),"存量兼容Lv1",IF(G171&gt;=等级配置!$C$103,"Lv100溢出","正常"))</x:f>
        <x:v>#NAME?</x:v>
      </x:c>
      <x:c r="K171" s="20" t="str">
        <x:f t="shared" si="2"/>
        <x:v>当前已婚但存在离婚日期</x:v>
      </x:c>
    </x:row>
    <x:row r="172" ht="17">
      <x:c r="A172" s="58" t="s">
        <x:v>718</x:v>
      </x:c>
      <x:c r="B172" s="58" t="s">
        <x:v>719</x:v>
      </x:c>
      <x:c r="C172" s="58" t="s">
        <x:v>720</x:v>
      </x:c>
      <x:c r="D172" s="58" t="s">
        <x:v>14</x:v>
      </x:c>
      <x:c r="E172" s="18" t="s">
        <x:v>721</x:v>
      </x:c>
      <x:c r="F172" s="18"/>
      <x:c r="G172" s="126">
        <x:v>8963</x:v>
      </x:c>
      <x:c r="H172" s="126" t="e">
        <x:f>IF(G172="","",IF(G172&lt;参数与口径!$E$6,1,MATCH(G172,等级配置!$C$4:$C$103,1)))</x:f>
        <x:v>#NAME?</x:v>
      </x:c>
      <x:c r="I172" s="58" t="e">
        <x:f>IF(H172="","",INDEX(等级配置!$B$4:$B$103,H172))</x:f>
        <x:v>#NAME?</x:v>
      </x:c>
      <x:c r="J172" s="58" t="e">
        <x:f>IF(AND(D172="当前已婚",G172&lt;参数与口径!$E$6),"存量兼容Lv1",IF(G172&gt;=等级配置!$C$103,"Lv100溢出","正常"))</x:f>
        <x:v>#NAME?</x:v>
      </x:c>
      <x:c r="K172" s="20" t="str">
        <x:f t="shared" si="2"/>
      </x:c>
    </x:row>
    <x:row r="173" ht="17">
      <x:c r="A173" s="58" t="s">
        <x:v>722</x:v>
      </x:c>
      <x:c r="B173" s="58" t="s">
        <x:v>723</x:v>
      </x:c>
      <x:c r="C173" s="58" t="s">
        <x:v>724</x:v>
      </x:c>
      <x:c r="D173" s="58" t="s">
        <x:v>14</x:v>
      </x:c>
      <x:c r="E173" s="18" t="s">
        <x:v>725</x:v>
      </x:c>
      <x:c r="F173" s="18"/>
      <x:c r="G173" s="126">
        <x:v>8691</x:v>
      </x:c>
      <x:c r="H173" s="126" t="e">
        <x:f>IF(G173="","",IF(G173&lt;参数与口径!$E$6,1,MATCH(G173,等级配置!$C$4:$C$103,1)))</x:f>
        <x:v>#NAME?</x:v>
      </x:c>
      <x:c r="I173" s="58" t="e">
        <x:f>IF(H173="","",INDEX(等级配置!$B$4:$B$103,H173))</x:f>
        <x:v>#NAME?</x:v>
      </x:c>
      <x:c r="J173" s="58" t="e">
        <x:f>IF(AND(D173="当前已婚",G173&lt;参数与口径!$E$6),"存量兼容Lv1",IF(G173&gt;=等级配置!$C$103,"Lv100溢出","正常"))</x:f>
        <x:v>#NAME?</x:v>
      </x:c>
      <x:c r="K173" s="20" t="str">
        <x:f t="shared" si="2"/>
      </x:c>
    </x:row>
    <x:row r="174" ht="17">
      <x:c r="A174" s="58" t="s">
        <x:v>726</x:v>
      </x:c>
      <x:c r="B174" s="58" t="s">
        <x:v>727</x:v>
      </x:c>
      <x:c r="C174" s="58" t="s">
        <x:v>728</x:v>
      </x:c>
      <x:c r="D174" s="58" t="s">
        <x:v>14</x:v>
      </x:c>
      <x:c r="E174" s="18" t="s">
        <x:v>729</x:v>
      </x:c>
      <x:c r="F174" s="18"/>
      <x:c r="G174" s="126">
        <x:v>8627</x:v>
      </x:c>
      <x:c r="H174" s="126" t="e">
        <x:f>IF(G174="","",IF(G174&lt;参数与口径!$E$6,1,MATCH(G174,等级配置!$C$4:$C$103,1)))</x:f>
        <x:v>#NAME?</x:v>
      </x:c>
      <x:c r="I174" s="58" t="e">
        <x:f>IF(H174="","",INDEX(等级配置!$B$4:$B$103,H174))</x:f>
        <x:v>#NAME?</x:v>
      </x:c>
      <x:c r="J174" s="58" t="e">
        <x:f>IF(AND(D174="当前已婚",G174&lt;参数与口径!$E$6),"存量兼容Lv1",IF(G174&gt;=等级配置!$C$103,"Lv100溢出","正常"))</x:f>
        <x:v>#NAME?</x:v>
      </x:c>
      <x:c r="K174" s="20" t="str">
        <x:f t="shared" si="2"/>
      </x:c>
    </x:row>
    <x:row r="175" ht="17">
      <x:c r="A175" s="58" t="s">
        <x:v>730</x:v>
      </x:c>
      <x:c r="B175" s="58" t="s">
        <x:v>731</x:v>
      </x:c>
      <x:c r="C175" s="58" t="s">
        <x:v>732</x:v>
      </x:c>
      <x:c r="D175" s="58" t="s">
        <x:v>14</x:v>
      </x:c>
      <x:c r="E175" s="18" t="s">
        <x:v>733</x:v>
      </x:c>
      <x:c r="F175" s="18"/>
      <x:c r="G175" s="126">
        <x:v>8480</x:v>
      </x:c>
      <x:c r="H175" s="126" t="e">
        <x:f>IF(G175="","",IF(G175&lt;参数与口径!$E$6,1,MATCH(G175,等级配置!$C$4:$C$103,1)))</x:f>
        <x:v>#NAME?</x:v>
      </x:c>
      <x:c r="I175" s="58" t="e">
        <x:f>IF(H175="","",INDEX(等级配置!$B$4:$B$103,H175))</x:f>
        <x:v>#NAME?</x:v>
      </x:c>
      <x:c r="J175" s="58" t="e">
        <x:f>IF(AND(D175="当前已婚",G175&lt;参数与口径!$E$6),"存量兼容Lv1",IF(G175&gt;=等级配置!$C$103,"Lv100溢出","正常"))</x:f>
        <x:v>#NAME?</x:v>
      </x:c>
      <x:c r="K175" s="20" t="str">
        <x:f t="shared" si="2"/>
      </x:c>
    </x:row>
    <x:row r="176" ht="17">
      <x:c r="A176" s="58" t="s">
        <x:v>734</x:v>
      </x:c>
      <x:c r="B176" s="58" t="s">
        <x:v>735</x:v>
      </x:c>
      <x:c r="C176" s="58" t="s">
        <x:v>736</x:v>
      </x:c>
      <x:c r="D176" s="58" t="s">
        <x:v>14</x:v>
      </x:c>
      <x:c r="E176" s="18" t="s">
        <x:v>737</x:v>
      </x:c>
      <x:c r="F176" s="18"/>
      <x:c r="G176" s="126">
        <x:v>8459</x:v>
      </x:c>
      <x:c r="H176" s="126" t="e">
        <x:f>IF(G176="","",IF(G176&lt;参数与口径!$E$6,1,MATCH(G176,等级配置!$C$4:$C$103,1)))</x:f>
        <x:v>#NAME?</x:v>
      </x:c>
      <x:c r="I176" s="58" t="e">
        <x:f>IF(H176="","",INDEX(等级配置!$B$4:$B$103,H176))</x:f>
        <x:v>#NAME?</x:v>
      </x:c>
      <x:c r="J176" s="58" t="e">
        <x:f>IF(AND(D176="当前已婚",G176&lt;参数与口径!$E$6),"存量兼容Lv1",IF(G176&gt;=等级配置!$C$103,"Lv100溢出","正常"))</x:f>
        <x:v>#NAME?</x:v>
      </x:c>
      <x:c r="K176" s="20" t="str">
        <x:f t="shared" si="2"/>
      </x:c>
    </x:row>
    <x:row r="177" ht="17">
      <x:c r="A177" s="58" t="s">
        <x:v>738</x:v>
      </x:c>
      <x:c r="B177" s="58" t="s">
        <x:v>739</x:v>
      </x:c>
      <x:c r="C177" s="58" t="s">
        <x:v>740</x:v>
      </x:c>
      <x:c r="D177" s="58" t="s">
        <x:v>14</x:v>
      </x:c>
      <x:c r="E177" s="18" t="s">
        <x:v>741</x:v>
      </x:c>
      <x:c r="F177" s="18"/>
      <x:c r="G177" s="126">
        <x:v>8105</x:v>
      </x:c>
      <x:c r="H177" s="126" t="e">
        <x:f>IF(G177="","",IF(G177&lt;参数与口径!$E$6,1,MATCH(G177,等级配置!$C$4:$C$103,1)))</x:f>
        <x:v>#NAME?</x:v>
      </x:c>
      <x:c r="I177" s="58" t="e">
        <x:f>IF(H177="","",INDEX(等级配置!$B$4:$B$103,H177))</x:f>
        <x:v>#NAME?</x:v>
      </x:c>
      <x:c r="J177" s="58" t="e">
        <x:f>IF(AND(D177="当前已婚",G177&lt;参数与口径!$E$6),"存量兼容Lv1",IF(G177&gt;=等级配置!$C$103,"Lv100溢出","正常"))</x:f>
        <x:v>#NAME?</x:v>
      </x:c>
      <x:c r="K177" s="20" t="str">
        <x:f t="shared" si="2"/>
      </x:c>
    </x:row>
    <x:row r="178" ht="17">
      <x:c r="A178" s="58" t="s">
        <x:v>742</x:v>
      </x:c>
      <x:c r="B178" s="58" t="s">
        <x:v>743</x:v>
      </x:c>
      <x:c r="C178" s="58" t="s">
        <x:v>744</x:v>
      </x:c>
      <x:c r="D178" s="58" t="s">
        <x:v>14</x:v>
      </x:c>
      <x:c r="E178" s="18" t="s">
        <x:v>745</x:v>
      </x:c>
      <x:c r="F178" s="18"/>
      <x:c r="G178" s="126">
        <x:v>8015</x:v>
      </x:c>
      <x:c r="H178" s="126" t="e">
        <x:f>IF(G178="","",IF(G178&lt;参数与口径!$E$6,1,MATCH(G178,等级配置!$C$4:$C$103,1)))</x:f>
        <x:v>#NAME?</x:v>
      </x:c>
      <x:c r="I178" s="58" t="e">
        <x:f>IF(H178="","",INDEX(等级配置!$B$4:$B$103,H178))</x:f>
        <x:v>#NAME?</x:v>
      </x:c>
      <x:c r="J178" s="58" t="e">
        <x:f>IF(AND(D178="当前已婚",G178&lt;参数与口径!$E$6),"存量兼容Lv1",IF(G178&gt;=等级配置!$C$103,"Lv100溢出","正常"))</x:f>
        <x:v>#NAME?</x:v>
      </x:c>
      <x:c r="K178" s="20" t="str">
        <x:f t="shared" si="2"/>
      </x:c>
    </x:row>
    <x:row r="179" ht="17">
      <x:c r="A179" s="58" t="s">
        <x:v>746</x:v>
      </x:c>
      <x:c r="B179" s="58" t="s">
        <x:v>747</x:v>
      </x:c>
      <x:c r="C179" s="58" t="s">
        <x:v>748</x:v>
      </x:c>
      <x:c r="D179" s="58" t="s">
        <x:v>14</x:v>
      </x:c>
      <x:c r="E179" s="18" t="s">
        <x:v>749</x:v>
      </x:c>
      <x:c r="F179" s="18"/>
      <x:c r="G179" s="126">
        <x:v>7978</x:v>
      </x:c>
      <x:c r="H179" s="126" t="e">
        <x:f>IF(G179="","",IF(G179&lt;参数与口径!$E$6,1,MATCH(G179,等级配置!$C$4:$C$103,1)))</x:f>
        <x:v>#NAME?</x:v>
      </x:c>
      <x:c r="I179" s="58" t="e">
        <x:f>IF(H179="","",INDEX(等级配置!$B$4:$B$103,H179))</x:f>
        <x:v>#NAME?</x:v>
      </x:c>
      <x:c r="J179" s="58" t="e">
        <x:f>IF(AND(D179="当前已婚",G179&lt;参数与口径!$E$6),"存量兼容Lv1",IF(G179&gt;=等级配置!$C$103,"Lv100溢出","正常"))</x:f>
        <x:v>#NAME?</x:v>
      </x:c>
      <x:c r="K179" s="20" t="str">
        <x:f t="shared" si="2"/>
      </x:c>
    </x:row>
    <x:row r="180" ht="17">
      <x:c r="A180" s="58" t="s">
        <x:v>750</x:v>
      </x:c>
      <x:c r="B180" s="58" t="s">
        <x:v>751</x:v>
      </x:c>
      <x:c r="C180" s="58" t="s">
        <x:v>752</x:v>
      </x:c>
      <x:c r="D180" s="58" t="s">
        <x:v>14</x:v>
      </x:c>
      <x:c r="E180" s="18" t="s">
        <x:v>753</x:v>
      </x:c>
      <x:c r="F180" s="18"/>
      <x:c r="G180" s="126">
        <x:v>7961</x:v>
      </x:c>
      <x:c r="H180" s="126" t="e">
        <x:f>IF(G180="","",IF(G180&lt;参数与口径!$E$6,1,MATCH(G180,等级配置!$C$4:$C$103,1)))</x:f>
        <x:v>#NAME?</x:v>
      </x:c>
      <x:c r="I180" s="58" t="e">
        <x:f>IF(H180="","",INDEX(等级配置!$B$4:$B$103,H180))</x:f>
        <x:v>#NAME?</x:v>
      </x:c>
      <x:c r="J180" s="58" t="e">
        <x:f>IF(AND(D180="当前已婚",G180&lt;参数与口径!$E$6),"存量兼容Lv1",IF(G180&gt;=等级配置!$C$103,"Lv100溢出","正常"))</x:f>
        <x:v>#NAME?</x:v>
      </x:c>
      <x:c r="K180" s="20" t="str">
        <x:f t="shared" si="2"/>
      </x:c>
    </x:row>
    <x:row r="181" ht="17">
      <x:c r="A181" s="58" t="s">
        <x:v>754</x:v>
      </x:c>
      <x:c r="B181" s="58" t="s">
        <x:v>755</x:v>
      </x:c>
      <x:c r="C181" s="58" t="s">
        <x:v>756</x:v>
      </x:c>
      <x:c r="D181" s="58" t="s">
        <x:v>14</x:v>
      </x:c>
      <x:c r="E181" s="18" t="s">
        <x:v>757</x:v>
      </x:c>
      <x:c r="F181" s="18"/>
      <x:c r="G181" s="126">
        <x:v>7885</x:v>
      </x:c>
      <x:c r="H181" s="126" t="e">
        <x:f>IF(G181="","",IF(G181&lt;参数与口径!$E$6,1,MATCH(G181,等级配置!$C$4:$C$103,1)))</x:f>
        <x:v>#NAME?</x:v>
      </x:c>
      <x:c r="I181" s="58" t="e">
        <x:f>IF(H181="","",INDEX(等级配置!$B$4:$B$103,H181))</x:f>
        <x:v>#NAME?</x:v>
      </x:c>
      <x:c r="J181" s="58" t="e">
        <x:f>IF(AND(D181="当前已婚",G181&lt;参数与口径!$E$6),"存量兼容Lv1",IF(G181&gt;=等级配置!$C$103,"Lv100溢出","正常"))</x:f>
        <x:v>#NAME?</x:v>
      </x:c>
      <x:c r="K181" s="20" t="str">
        <x:f t="shared" si="2"/>
      </x:c>
    </x:row>
    <x:row r="182" ht="17">
      <x:c r="A182" s="58" t="s">
        <x:v>758</x:v>
      </x:c>
      <x:c r="B182" s="58" t="s">
        <x:v>759</x:v>
      </x:c>
      <x:c r="C182" s="58" t="s">
        <x:v>760</x:v>
      </x:c>
      <x:c r="D182" s="58" t="s">
        <x:v>14</x:v>
      </x:c>
      <x:c r="E182" s="18" t="s">
        <x:v>761</x:v>
      </x:c>
      <x:c r="F182" s="18" t="s">
        <x:v>762</x:v>
      </x:c>
      <x:c r="G182" s="126">
        <x:v>7669</x:v>
      </x:c>
      <x:c r="H182" s="126" t="e">
        <x:f>IF(G182="","",IF(G182&lt;参数与口径!$E$6,1,MATCH(G182,等级配置!$C$4:$C$103,1)))</x:f>
        <x:v>#NAME?</x:v>
      </x:c>
      <x:c r="I182" s="58" t="e">
        <x:f>IF(H182="","",INDEX(等级配置!$B$4:$B$103,H182))</x:f>
        <x:v>#NAME?</x:v>
      </x:c>
      <x:c r="J182" s="58" t="e">
        <x:f>IF(AND(D182="当前已婚",G182&lt;参数与口径!$E$6),"存量兼容Lv1",IF(G182&gt;=等级配置!$C$103,"Lv100溢出","正常"))</x:f>
        <x:v>#NAME?</x:v>
      </x:c>
      <x:c r="K182" s="20" t="str">
        <x:f t="shared" si="2"/>
        <x:v>当前已婚但存在离婚日期</x:v>
      </x:c>
    </x:row>
    <x:row r="183" ht="17">
      <x:c r="A183" s="58" t="s">
        <x:v>763</x:v>
      </x:c>
      <x:c r="B183" s="58" t="s">
        <x:v>764</x:v>
      </x:c>
      <x:c r="C183" s="58" t="s">
        <x:v>765</x:v>
      </x:c>
      <x:c r="D183" s="58" t="s">
        <x:v>14</x:v>
      </x:c>
      <x:c r="E183" s="18" t="s">
        <x:v>766</x:v>
      </x:c>
      <x:c r="F183" s="18"/>
      <x:c r="G183" s="126">
        <x:v>7614</x:v>
      </x:c>
      <x:c r="H183" s="126" t="e">
        <x:f>IF(G183="","",IF(G183&lt;参数与口径!$E$6,1,MATCH(G183,等级配置!$C$4:$C$103,1)))</x:f>
        <x:v>#NAME?</x:v>
      </x:c>
      <x:c r="I183" s="58" t="e">
        <x:f>IF(H183="","",INDEX(等级配置!$B$4:$B$103,H183))</x:f>
        <x:v>#NAME?</x:v>
      </x:c>
      <x:c r="J183" s="58" t="e">
        <x:f>IF(AND(D183="当前已婚",G183&lt;参数与口径!$E$6),"存量兼容Lv1",IF(G183&gt;=等级配置!$C$103,"Lv100溢出","正常"))</x:f>
        <x:v>#NAME?</x:v>
      </x:c>
      <x:c r="K183" s="20" t="str">
        <x:f t="shared" si="2"/>
      </x:c>
    </x:row>
    <x:row r="184" ht="17">
      <x:c r="A184" s="58" t="s">
        <x:v>767</x:v>
      </x:c>
      <x:c r="B184" s="58" t="s">
        <x:v>768</x:v>
      </x:c>
      <x:c r="C184" s="58" t="s">
        <x:v>769</x:v>
      </x:c>
      <x:c r="D184" s="58" t="s">
        <x:v>14</x:v>
      </x:c>
      <x:c r="E184" s="18" t="s">
        <x:v>770</x:v>
      </x:c>
      <x:c r="F184" s="18"/>
      <x:c r="G184" s="126">
        <x:v>7532</x:v>
      </x:c>
      <x:c r="H184" s="126" t="e">
        <x:f>IF(G184="","",IF(G184&lt;参数与口径!$E$6,1,MATCH(G184,等级配置!$C$4:$C$103,1)))</x:f>
        <x:v>#NAME?</x:v>
      </x:c>
      <x:c r="I184" s="58" t="e">
        <x:f>IF(H184="","",INDEX(等级配置!$B$4:$B$103,H184))</x:f>
        <x:v>#NAME?</x:v>
      </x:c>
      <x:c r="J184" s="58" t="e">
        <x:f>IF(AND(D184="当前已婚",G184&lt;参数与口径!$E$6),"存量兼容Lv1",IF(G184&gt;=等级配置!$C$103,"Lv100溢出","正常"))</x:f>
        <x:v>#NAME?</x:v>
      </x:c>
      <x:c r="K184" s="20" t="str">
        <x:f t="shared" si="2"/>
      </x:c>
    </x:row>
    <x:row r="185" ht="17">
      <x:c r="A185" s="58" t="s">
        <x:v>771</x:v>
      </x:c>
      <x:c r="B185" s="58" t="s">
        <x:v>772</x:v>
      </x:c>
      <x:c r="C185" s="58" t="s">
        <x:v>773</x:v>
      </x:c>
      <x:c r="D185" s="58" t="s">
        <x:v>14</x:v>
      </x:c>
      <x:c r="E185" s="18" t="s">
        <x:v>774</x:v>
      </x:c>
      <x:c r="F185" s="18" t="s">
        <x:v>775</x:v>
      </x:c>
      <x:c r="G185" s="126">
        <x:v>7403</x:v>
      </x:c>
      <x:c r="H185" s="126" t="e">
        <x:f>IF(G185="","",IF(G185&lt;参数与口径!$E$6,1,MATCH(G185,等级配置!$C$4:$C$103,1)))</x:f>
        <x:v>#NAME?</x:v>
      </x:c>
      <x:c r="I185" s="58" t="e">
        <x:f>IF(H185="","",INDEX(等级配置!$B$4:$B$103,H185))</x:f>
        <x:v>#NAME?</x:v>
      </x:c>
      <x:c r="J185" s="58" t="e">
        <x:f>IF(AND(D185="当前已婚",G185&lt;参数与口径!$E$6),"存量兼容Lv1",IF(G185&gt;=等级配置!$C$103,"Lv100溢出","正常"))</x:f>
        <x:v>#NAME?</x:v>
      </x:c>
      <x:c r="K185" s="20" t="str">
        <x:f t="shared" si="2"/>
        <x:v>当前已婚但存在离婚日期</x:v>
      </x:c>
    </x:row>
    <x:row r="186" ht="17">
      <x:c r="A186" s="58" t="s">
        <x:v>776</x:v>
      </x:c>
      <x:c r="B186" s="58" t="s">
        <x:v>777</x:v>
      </x:c>
      <x:c r="C186" s="58" t="s">
        <x:v>778</x:v>
      </x:c>
      <x:c r="D186" s="58" t="s">
        <x:v>14</x:v>
      </x:c>
      <x:c r="E186" s="18" t="s">
        <x:v>779</x:v>
      </x:c>
      <x:c r="F186" s="18"/>
      <x:c r="G186" s="126">
        <x:v>7321</x:v>
      </x:c>
      <x:c r="H186" s="126" t="e">
        <x:f>IF(G186="","",IF(G186&lt;参数与口径!$E$6,1,MATCH(G186,等级配置!$C$4:$C$103,1)))</x:f>
        <x:v>#NAME?</x:v>
      </x:c>
      <x:c r="I186" s="58" t="e">
        <x:f>IF(H186="","",INDEX(等级配置!$B$4:$B$103,H186))</x:f>
        <x:v>#NAME?</x:v>
      </x:c>
      <x:c r="J186" s="58" t="e">
        <x:f>IF(AND(D186="当前已婚",G186&lt;参数与口径!$E$6),"存量兼容Lv1",IF(G186&gt;=等级配置!$C$103,"Lv100溢出","正常"))</x:f>
        <x:v>#NAME?</x:v>
      </x:c>
      <x:c r="K186" s="20" t="str">
        <x:f t="shared" si="2"/>
      </x:c>
    </x:row>
    <x:row r="187" ht="17">
      <x:c r="A187" s="58" t="s">
        <x:v>780</x:v>
      </x:c>
      <x:c r="B187" s="58" t="s">
        <x:v>781</x:v>
      </x:c>
      <x:c r="C187" s="58" t="s">
        <x:v>782</x:v>
      </x:c>
      <x:c r="D187" s="58" t="s">
        <x:v>14</x:v>
      </x:c>
      <x:c r="E187" s="18" t="s">
        <x:v>783</x:v>
      </x:c>
      <x:c r="F187" s="18"/>
      <x:c r="G187" s="126">
        <x:v>7281</x:v>
      </x:c>
      <x:c r="H187" s="126" t="e">
        <x:f>IF(G187="","",IF(G187&lt;参数与口径!$E$6,1,MATCH(G187,等级配置!$C$4:$C$103,1)))</x:f>
        <x:v>#NAME?</x:v>
      </x:c>
      <x:c r="I187" s="58" t="e">
        <x:f>IF(H187="","",INDEX(等级配置!$B$4:$B$103,H187))</x:f>
        <x:v>#NAME?</x:v>
      </x:c>
      <x:c r="J187" s="58" t="e">
        <x:f>IF(AND(D187="当前已婚",G187&lt;参数与口径!$E$6),"存量兼容Lv1",IF(G187&gt;=等级配置!$C$103,"Lv100溢出","正常"))</x:f>
        <x:v>#NAME?</x:v>
      </x:c>
      <x:c r="K187" s="20" t="str">
        <x:f t="shared" si="2"/>
      </x:c>
    </x:row>
    <x:row r="188" ht="17">
      <x:c r="A188" s="58" t="s">
        <x:v>784</x:v>
      </x:c>
      <x:c r="B188" s="58" t="s">
        <x:v>785</x:v>
      </x:c>
      <x:c r="C188" s="58" t="s">
        <x:v>786</x:v>
      </x:c>
      <x:c r="D188" s="58" t="s">
        <x:v>14</x:v>
      </x:c>
      <x:c r="E188" s="18" t="s">
        <x:v>787</x:v>
      </x:c>
      <x:c r="F188" s="18"/>
      <x:c r="G188" s="126">
        <x:v>7020</x:v>
      </x:c>
      <x:c r="H188" s="126" t="e">
        <x:f>IF(G188="","",IF(G188&lt;参数与口径!$E$6,1,MATCH(G188,等级配置!$C$4:$C$103,1)))</x:f>
        <x:v>#NAME?</x:v>
      </x:c>
      <x:c r="I188" s="58" t="e">
        <x:f>IF(H188="","",INDEX(等级配置!$B$4:$B$103,H188))</x:f>
        <x:v>#NAME?</x:v>
      </x:c>
      <x:c r="J188" s="58" t="e">
        <x:f>IF(AND(D188="当前已婚",G188&lt;参数与口径!$E$6),"存量兼容Lv1",IF(G188&gt;=等级配置!$C$103,"Lv100溢出","正常"))</x:f>
        <x:v>#NAME?</x:v>
      </x:c>
      <x:c r="K188" s="20" t="str">
        <x:f t="shared" si="2"/>
      </x:c>
    </x:row>
    <x:row r="189" ht="17">
      <x:c r="A189" s="58" t="s">
        <x:v>788</x:v>
      </x:c>
      <x:c r="B189" s="58" t="s">
        <x:v>789</x:v>
      </x:c>
      <x:c r="C189" s="58" t="s">
        <x:v>790</x:v>
      </x:c>
      <x:c r="D189" s="58" t="s">
        <x:v>14</x:v>
      </x:c>
      <x:c r="E189" s="18" t="s">
        <x:v>791</x:v>
      </x:c>
      <x:c r="F189" s="18"/>
      <x:c r="G189" s="126">
        <x:v>6989</x:v>
      </x:c>
      <x:c r="H189" s="126" t="e">
        <x:f>IF(G189="","",IF(G189&lt;参数与口径!$E$6,1,MATCH(G189,等级配置!$C$4:$C$103,1)))</x:f>
        <x:v>#NAME?</x:v>
      </x:c>
      <x:c r="I189" s="58" t="e">
        <x:f>IF(H189="","",INDEX(等级配置!$B$4:$B$103,H189))</x:f>
        <x:v>#NAME?</x:v>
      </x:c>
      <x:c r="J189" s="58" t="e">
        <x:f>IF(AND(D189="当前已婚",G189&lt;参数与口径!$E$6),"存量兼容Lv1",IF(G189&gt;=等级配置!$C$103,"Lv100溢出","正常"))</x:f>
        <x:v>#NAME?</x:v>
      </x:c>
      <x:c r="K189" s="20" t="str">
        <x:f t="shared" si="2"/>
      </x:c>
    </x:row>
    <x:row r="190" ht="17">
      <x:c r="A190" s="58" t="s">
        <x:v>792</x:v>
      </x:c>
      <x:c r="B190" s="58" t="s">
        <x:v>793</x:v>
      </x:c>
      <x:c r="C190" s="58" t="s">
        <x:v>794</x:v>
      </x:c>
      <x:c r="D190" s="58" t="s">
        <x:v>14</x:v>
      </x:c>
      <x:c r="E190" s="18" t="s">
        <x:v>795</x:v>
      </x:c>
      <x:c r="F190" s="18"/>
      <x:c r="G190" s="126">
        <x:v>6973</x:v>
      </x:c>
      <x:c r="H190" s="126" t="e">
        <x:f>IF(G190="","",IF(G190&lt;参数与口径!$E$6,1,MATCH(G190,等级配置!$C$4:$C$103,1)))</x:f>
        <x:v>#NAME?</x:v>
      </x:c>
      <x:c r="I190" s="58" t="e">
        <x:f>IF(H190="","",INDEX(等级配置!$B$4:$B$103,H190))</x:f>
        <x:v>#NAME?</x:v>
      </x:c>
      <x:c r="J190" s="58" t="e">
        <x:f>IF(AND(D190="当前已婚",G190&lt;参数与口径!$E$6),"存量兼容Lv1",IF(G190&gt;=等级配置!$C$103,"Lv100溢出","正常"))</x:f>
        <x:v>#NAME?</x:v>
      </x:c>
      <x:c r="K190" s="20" t="str">
        <x:f t="shared" si="2"/>
      </x:c>
    </x:row>
    <x:row r="191" ht="17">
      <x:c r="A191" s="58" t="s">
        <x:v>796</x:v>
      </x:c>
      <x:c r="B191" s="58" t="s">
        <x:v>797</x:v>
      </x:c>
      <x:c r="C191" s="58" t="s">
        <x:v>798</x:v>
      </x:c>
      <x:c r="D191" s="58" t="s">
        <x:v>14</x:v>
      </x:c>
      <x:c r="E191" s="18" t="s">
        <x:v>799</x:v>
      </x:c>
      <x:c r="F191" s="18"/>
      <x:c r="G191" s="126">
        <x:v>6587</x:v>
      </x:c>
      <x:c r="H191" s="126" t="e">
        <x:f>IF(G191="","",IF(G191&lt;参数与口径!$E$6,1,MATCH(G191,等级配置!$C$4:$C$103,1)))</x:f>
        <x:v>#NAME?</x:v>
      </x:c>
      <x:c r="I191" s="58" t="e">
        <x:f>IF(H191="","",INDEX(等级配置!$B$4:$B$103,H191))</x:f>
        <x:v>#NAME?</x:v>
      </x:c>
      <x:c r="J191" s="58" t="e">
        <x:f>IF(AND(D191="当前已婚",G191&lt;参数与口径!$E$6),"存量兼容Lv1",IF(G191&gt;=等级配置!$C$103,"Lv100溢出","正常"))</x:f>
        <x:v>#NAME?</x:v>
      </x:c>
      <x:c r="K191" s="20" t="str">
        <x:f t="shared" si="2"/>
      </x:c>
    </x:row>
    <x:row r="192" ht="17">
      <x:c r="A192" s="58" t="s">
        <x:v>800</x:v>
      </x:c>
      <x:c r="B192" s="58" t="s">
        <x:v>801</x:v>
      </x:c>
      <x:c r="C192" s="58" t="s">
        <x:v>802</x:v>
      </x:c>
      <x:c r="D192" s="58" t="s">
        <x:v>14</x:v>
      </x:c>
      <x:c r="E192" s="18" t="s">
        <x:v>803</x:v>
      </x:c>
      <x:c r="F192" s="18"/>
      <x:c r="G192" s="126">
        <x:v>6461</x:v>
      </x:c>
      <x:c r="H192" s="126" t="e">
        <x:f>IF(G192="","",IF(G192&lt;参数与口径!$E$6,1,MATCH(G192,等级配置!$C$4:$C$103,1)))</x:f>
        <x:v>#NAME?</x:v>
      </x:c>
      <x:c r="I192" s="58" t="e">
        <x:f>IF(H192="","",INDEX(等级配置!$B$4:$B$103,H192))</x:f>
        <x:v>#NAME?</x:v>
      </x:c>
      <x:c r="J192" s="58" t="e">
        <x:f>IF(AND(D192="当前已婚",G192&lt;参数与口径!$E$6),"存量兼容Lv1",IF(G192&gt;=等级配置!$C$103,"Lv100溢出","正常"))</x:f>
        <x:v>#NAME?</x:v>
      </x:c>
      <x:c r="K192" s="20" t="str">
        <x:f t="shared" si="2"/>
      </x:c>
    </x:row>
    <x:row r="193" ht="17">
      <x:c r="A193" s="58" t="s">
        <x:v>804</x:v>
      </x:c>
      <x:c r="B193" s="58" t="s">
        <x:v>805</x:v>
      </x:c>
      <x:c r="C193" s="58" t="s">
        <x:v>806</x:v>
      </x:c>
      <x:c r="D193" s="58" t="s">
        <x:v>14</x:v>
      </x:c>
      <x:c r="E193" s="18" t="s">
        <x:v>807</x:v>
      </x:c>
      <x:c r="F193" s="18"/>
      <x:c r="G193" s="126">
        <x:v>6349</x:v>
      </x:c>
      <x:c r="H193" s="126" t="e">
        <x:f>IF(G193="","",IF(G193&lt;参数与口径!$E$6,1,MATCH(G193,等级配置!$C$4:$C$103,1)))</x:f>
        <x:v>#NAME?</x:v>
      </x:c>
      <x:c r="I193" s="58" t="e">
        <x:f>IF(H193="","",INDEX(等级配置!$B$4:$B$103,H193))</x:f>
        <x:v>#NAME?</x:v>
      </x:c>
      <x:c r="J193" s="58" t="e">
        <x:f>IF(AND(D193="当前已婚",G193&lt;参数与口径!$E$6),"存量兼容Lv1",IF(G193&gt;=等级配置!$C$103,"Lv100溢出","正常"))</x:f>
        <x:v>#NAME?</x:v>
      </x:c>
      <x:c r="K193" s="20" t="str">
        <x:f t="shared" si="2"/>
      </x:c>
    </x:row>
    <x:row r="194" ht="17">
      <x:c r="A194" s="58" t="s">
        <x:v>808</x:v>
      </x:c>
      <x:c r="B194" s="58" t="s">
        <x:v>809</x:v>
      </x:c>
      <x:c r="C194" s="58" t="s">
        <x:v>810</x:v>
      </x:c>
      <x:c r="D194" s="58" t="s">
        <x:v>14</x:v>
      </x:c>
      <x:c r="E194" s="18" t="s">
        <x:v>811</x:v>
      </x:c>
      <x:c r="F194" s="18"/>
      <x:c r="G194" s="126">
        <x:v>6031</x:v>
      </x:c>
      <x:c r="H194" s="126" t="e">
        <x:f>IF(G194="","",IF(G194&lt;参数与口径!$E$6,1,MATCH(G194,等级配置!$C$4:$C$103,1)))</x:f>
        <x:v>#NAME?</x:v>
      </x:c>
      <x:c r="I194" s="58" t="e">
        <x:f>IF(H194="","",INDEX(等级配置!$B$4:$B$103,H194))</x:f>
        <x:v>#NAME?</x:v>
      </x:c>
      <x:c r="J194" s="58" t="e">
        <x:f>IF(AND(D194="当前已婚",G194&lt;参数与口径!$E$6),"存量兼容Lv1",IF(G194&gt;=等级配置!$C$103,"Lv100溢出","正常"))</x:f>
        <x:v>#NAME?</x:v>
      </x:c>
      <x:c r="K194" s="20" t="str">
        <x:f t="shared" ref="K194:K257" si="3">IF(AND(D194="当前已婚",F194&lt;&gt;""),"当前已婚但存在离婚日期",IF(AND(D194="当前已婚",G194=0),"当前CP亲密值为0",""))</x:f>
      </x:c>
    </x:row>
    <x:row r="195" ht="17">
      <x:c r="A195" s="58" t="s">
        <x:v>812</x:v>
      </x:c>
      <x:c r="B195" s="58" t="s">
        <x:v>813</x:v>
      </x:c>
      <x:c r="C195" s="58" t="s">
        <x:v>814</x:v>
      </x:c>
      <x:c r="D195" s="58" t="s">
        <x:v>14</x:v>
      </x:c>
      <x:c r="E195" s="18" t="s">
        <x:v>815</x:v>
      </x:c>
      <x:c r="F195" s="18"/>
      <x:c r="G195" s="126">
        <x:v>5792</x:v>
      </x:c>
      <x:c r="H195" s="126" t="e">
        <x:f>IF(G195="","",IF(G195&lt;参数与口径!$E$6,1,MATCH(G195,等级配置!$C$4:$C$103,1)))</x:f>
        <x:v>#NAME?</x:v>
      </x:c>
      <x:c r="I195" s="58" t="e">
        <x:f>IF(H195="","",INDEX(等级配置!$B$4:$B$103,H195))</x:f>
        <x:v>#NAME?</x:v>
      </x:c>
      <x:c r="J195" s="58" t="e">
        <x:f>IF(AND(D195="当前已婚",G195&lt;参数与口径!$E$6),"存量兼容Lv1",IF(G195&gt;=等级配置!$C$103,"Lv100溢出","正常"))</x:f>
        <x:v>#NAME?</x:v>
      </x:c>
      <x:c r="K195" s="20" t="str">
        <x:f t="shared" si="3"/>
      </x:c>
    </x:row>
    <x:row r="196" ht="17">
      <x:c r="A196" s="58" t="s">
        <x:v>816</x:v>
      </x:c>
      <x:c r="B196" s="58" t="s">
        <x:v>817</x:v>
      </x:c>
      <x:c r="C196" s="58" t="s">
        <x:v>818</x:v>
      </x:c>
      <x:c r="D196" s="58" t="s">
        <x:v>14</x:v>
      </x:c>
      <x:c r="E196" s="18" t="s">
        <x:v>819</x:v>
      </x:c>
      <x:c r="F196" s="18"/>
      <x:c r="G196" s="126">
        <x:v>5651</x:v>
      </x:c>
      <x:c r="H196" s="126" t="e">
        <x:f>IF(G196="","",IF(G196&lt;参数与口径!$E$6,1,MATCH(G196,等级配置!$C$4:$C$103,1)))</x:f>
        <x:v>#NAME?</x:v>
      </x:c>
      <x:c r="I196" s="58" t="e">
        <x:f>IF(H196="","",INDEX(等级配置!$B$4:$B$103,H196))</x:f>
        <x:v>#NAME?</x:v>
      </x:c>
      <x:c r="J196" s="58" t="e">
        <x:f>IF(AND(D196="当前已婚",G196&lt;参数与口径!$E$6),"存量兼容Lv1",IF(G196&gt;=等级配置!$C$103,"Lv100溢出","正常"))</x:f>
        <x:v>#NAME?</x:v>
      </x:c>
      <x:c r="K196" s="20" t="str">
        <x:f t="shared" si="3"/>
      </x:c>
    </x:row>
    <x:row r="197" ht="17">
      <x:c r="A197" s="58" t="s">
        <x:v>820</x:v>
      </x:c>
      <x:c r="B197" s="58" t="s">
        <x:v>821</x:v>
      </x:c>
      <x:c r="C197" s="58" t="s">
        <x:v>822</x:v>
      </x:c>
      <x:c r="D197" s="58" t="s">
        <x:v>14</x:v>
      </x:c>
      <x:c r="E197" s="18" t="s">
        <x:v>823</x:v>
      </x:c>
      <x:c r="F197" s="18"/>
      <x:c r="G197" s="126">
        <x:v>5646</x:v>
      </x:c>
      <x:c r="H197" s="126" t="e">
        <x:f>IF(G197="","",IF(G197&lt;参数与口径!$E$6,1,MATCH(G197,等级配置!$C$4:$C$103,1)))</x:f>
        <x:v>#NAME?</x:v>
      </x:c>
      <x:c r="I197" s="58" t="e">
        <x:f>IF(H197="","",INDEX(等级配置!$B$4:$B$103,H197))</x:f>
        <x:v>#NAME?</x:v>
      </x:c>
      <x:c r="J197" s="58" t="e">
        <x:f>IF(AND(D197="当前已婚",G197&lt;参数与口径!$E$6),"存量兼容Lv1",IF(G197&gt;=等级配置!$C$103,"Lv100溢出","正常"))</x:f>
        <x:v>#NAME?</x:v>
      </x:c>
      <x:c r="K197" s="20" t="str">
        <x:f t="shared" si="3"/>
      </x:c>
    </x:row>
    <x:row r="198" ht="17">
      <x:c r="A198" s="58" t="s">
        <x:v>824</x:v>
      </x:c>
      <x:c r="B198" s="58" t="s">
        <x:v>825</x:v>
      </x:c>
      <x:c r="C198" s="58" t="s">
        <x:v>826</x:v>
      </x:c>
      <x:c r="D198" s="58" t="s">
        <x:v>14</x:v>
      </x:c>
      <x:c r="E198" s="18" t="s">
        <x:v>827</x:v>
      </x:c>
      <x:c r="F198" s="18"/>
      <x:c r="G198" s="126">
        <x:v>5617</x:v>
      </x:c>
      <x:c r="H198" s="126" t="e">
        <x:f>IF(G198="","",IF(G198&lt;参数与口径!$E$6,1,MATCH(G198,等级配置!$C$4:$C$103,1)))</x:f>
        <x:v>#NAME?</x:v>
      </x:c>
      <x:c r="I198" s="58" t="e">
        <x:f>IF(H198="","",INDEX(等级配置!$B$4:$B$103,H198))</x:f>
        <x:v>#NAME?</x:v>
      </x:c>
      <x:c r="J198" s="58" t="e">
        <x:f>IF(AND(D198="当前已婚",G198&lt;参数与口径!$E$6),"存量兼容Lv1",IF(G198&gt;=等级配置!$C$103,"Lv100溢出","正常"))</x:f>
        <x:v>#NAME?</x:v>
      </x:c>
      <x:c r="K198" s="20" t="str">
        <x:f t="shared" si="3"/>
      </x:c>
    </x:row>
    <x:row r="199" ht="17">
      <x:c r="A199" s="58" t="s">
        <x:v>828</x:v>
      </x:c>
      <x:c r="B199" s="58" t="s">
        <x:v>829</x:v>
      </x:c>
      <x:c r="C199" s="58" t="s">
        <x:v>830</x:v>
      </x:c>
      <x:c r="D199" s="58" t="s">
        <x:v>14</x:v>
      </x:c>
      <x:c r="E199" s="18" t="s">
        <x:v>831</x:v>
      </x:c>
      <x:c r="F199" s="18"/>
      <x:c r="G199" s="126">
        <x:v>5390</x:v>
      </x:c>
      <x:c r="H199" s="126" t="e">
        <x:f>IF(G199="","",IF(G199&lt;参数与口径!$E$6,1,MATCH(G199,等级配置!$C$4:$C$103,1)))</x:f>
        <x:v>#NAME?</x:v>
      </x:c>
      <x:c r="I199" s="58" t="e">
        <x:f>IF(H199="","",INDEX(等级配置!$B$4:$B$103,H199))</x:f>
        <x:v>#NAME?</x:v>
      </x:c>
      <x:c r="J199" s="58" t="e">
        <x:f>IF(AND(D199="当前已婚",G199&lt;参数与口径!$E$6),"存量兼容Lv1",IF(G199&gt;=等级配置!$C$103,"Lv100溢出","正常"))</x:f>
        <x:v>#NAME?</x:v>
      </x:c>
      <x:c r="K199" s="20" t="str">
        <x:f t="shared" si="3"/>
      </x:c>
    </x:row>
    <x:row r="200" ht="17">
      <x:c r="A200" s="58" t="s">
        <x:v>832</x:v>
      </x:c>
      <x:c r="B200" s="58" t="s">
        <x:v>833</x:v>
      </x:c>
      <x:c r="C200" s="58" t="s">
        <x:v>834</x:v>
      </x:c>
      <x:c r="D200" s="58" t="s">
        <x:v>14</x:v>
      </x:c>
      <x:c r="E200" s="18" t="s">
        <x:v>835</x:v>
      </x:c>
      <x:c r="F200" s="18" t="s">
        <x:v>836</x:v>
      </x:c>
      <x:c r="G200" s="126">
        <x:v>5299</x:v>
      </x:c>
      <x:c r="H200" s="126" t="e">
        <x:f>IF(G200="","",IF(G200&lt;参数与口径!$E$6,1,MATCH(G200,等级配置!$C$4:$C$103,1)))</x:f>
        <x:v>#NAME?</x:v>
      </x:c>
      <x:c r="I200" s="58" t="e">
        <x:f>IF(H200="","",INDEX(等级配置!$B$4:$B$103,H200))</x:f>
        <x:v>#NAME?</x:v>
      </x:c>
      <x:c r="J200" s="58" t="e">
        <x:f>IF(AND(D200="当前已婚",G200&lt;参数与口径!$E$6),"存量兼容Lv1",IF(G200&gt;=等级配置!$C$103,"Lv100溢出","正常"))</x:f>
        <x:v>#NAME?</x:v>
      </x:c>
      <x:c r="K200" s="20" t="str">
        <x:f t="shared" si="3"/>
        <x:v>当前已婚但存在离婚日期</x:v>
      </x:c>
    </x:row>
    <x:row r="201" ht="17">
      <x:c r="A201" s="58" t="s">
        <x:v>837</x:v>
      </x:c>
      <x:c r="B201" s="58" t="s">
        <x:v>838</x:v>
      </x:c>
      <x:c r="C201" s="58" t="s">
        <x:v>839</x:v>
      </x:c>
      <x:c r="D201" s="58" t="s">
        <x:v>14</x:v>
      </x:c>
      <x:c r="E201" s="18" t="s">
        <x:v>840</x:v>
      </x:c>
      <x:c r="F201" s="18"/>
      <x:c r="G201" s="126">
        <x:v>4976</x:v>
      </x:c>
      <x:c r="H201" s="126" t="e">
        <x:f>IF(G201="","",IF(G201&lt;参数与口径!$E$6,1,MATCH(G201,等级配置!$C$4:$C$103,1)))</x:f>
        <x:v>#NAME?</x:v>
      </x:c>
      <x:c r="I201" s="58" t="e">
        <x:f>IF(H201="","",INDEX(等级配置!$B$4:$B$103,H201))</x:f>
        <x:v>#NAME?</x:v>
      </x:c>
      <x:c r="J201" s="58" t="e">
        <x:f>IF(AND(D201="当前已婚",G201&lt;参数与口径!$E$6),"存量兼容Lv1",IF(G201&gt;=等级配置!$C$103,"Lv100溢出","正常"))</x:f>
        <x:v>#NAME?</x:v>
      </x:c>
      <x:c r="K201" s="20" t="str">
        <x:f t="shared" si="3"/>
      </x:c>
    </x:row>
    <x:row r="202" ht="17">
      <x:c r="A202" s="58" t="s">
        <x:v>841</x:v>
      </x:c>
      <x:c r="B202" s="58" t="s">
        <x:v>842</x:v>
      </x:c>
      <x:c r="C202" s="58" t="s">
        <x:v>843</x:v>
      </x:c>
      <x:c r="D202" s="58" t="s">
        <x:v>14</x:v>
      </x:c>
      <x:c r="E202" s="18" t="s">
        <x:v>844</x:v>
      </x:c>
      <x:c r="F202" s="18"/>
      <x:c r="G202" s="126">
        <x:v>4967</x:v>
      </x:c>
      <x:c r="H202" s="126" t="e">
        <x:f>IF(G202="","",IF(G202&lt;参数与口径!$E$6,1,MATCH(G202,等级配置!$C$4:$C$103,1)))</x:f>
        <x:v>#NAME?</x:v>
      </x:c>
      <x:c r="I202" s="58" t="e">
        <x:f>IF(H202="","",INDEX(等级配置!$B$4:$B$103,H202))</x:f>
        <x:v>#NAME?</x:v>
      </x:c>
      <x:c r="J202" s="58" t="e">
        <x:f>IF(AND(D202="当前已婚",G202&lt;参数与口径!$E$6),"存量兼容Lv1",IF(G202&gt;=等级配置!$C$103,"Lv100溢出","正常"))</x:f>
        <x:v>#NAME?</x:v>
      </x:c>
      <x:c r="K202" s="20" t="str">
        <x:f t="shared" si="3"/>
      </x:c>
    </x:row>
    <x:row r="203" ht="17">
      <x:c r="A203" s="58" t="s">
        <x:v>845</x:v>
      </x:c>
      <x:c r="B203" s="58" t="s">
        <x:v>846</x:v>
      </x:c>
      <x:c r="C203" s="58" t="s">
        <x:v>847</x:v>
      </x:c>
      <x:c r="D203" s="58" t="s">
        <x:v>14</x:v>
      </x:c>
      <x:c r="E203" s="18" t="s">
        <x:v>848</x:v>
      </x:c>
      <x:c r="F203" s="18"/>
      <x:c r="G203" s="126">
        <x:v>4653</x:v>
      </x:c>
      <x:c r="H203" s="126" t="e">
        <x:f>IF(G203="","",IF(G203&lt;参数与口径!$E$6,1,MATCH(G203,等级配置!$C$4:$C$103,1)))</x:f>
        <x:v>#NAME?</x:v>
      </x:c>
      <x:c r="I203" s="58" t="e">
        <x:f>IF(H203="","",INDEX(等级配置!$B$4:$B$103,H203))</x:f>
        <x:v>#NAME?</x:v>
      </x:c>
      <x:c r="J203" s="58" t="e">
        <x:f>IF(AND(D203="当前已婚",G203&lt;参数与口径!$E$6),"存量兼容Lv1",IF(G203&gt;=等级配置!$C$103,"Lv100溢出","正常"))</x:f>
        <x:v>#NAME?</x:v>
      </x:c>
      <x:c r="K203" s="20" t="str">
        <x:f t="shared" si="3"/>
      </x:c>
    </x:row>
    <x:row r="204" ht="17">
      <x:c r="A204" s="58" t="s">
        <x:v>849</x:v>
      </x:c>
      <x:c r="B204" s="58" t="s">
        <x:v>850</x:v>
      </x:c>
      <x:c r="C204" s="58" t="s">
        <x:v>851</x:v>
      </x:c>
      <x:c r="D204" s="58" t="s">
        <x:v>14</x:v>
      </x:c>
      <x:c r="E204" s="18" t="s">
        <x:v>852</x:v>
      </x:c>
      <x:c r="F204" s="18"/>
      <x:c r="G204" s="126">
        <x:v>4597</x:v>
      </x:c>
      <x:c r="H204" s="126" t="e">
        <x:f>IF(G204="","",IF(G204&lt;参数与口径!$E$6,1,MATCH(G204,等级配置!$C$4:$C$103,1)))</x:f>
        <x:v>#NAME?</x:v>
      </x:c>
      <x:c r="I204" s="58" t="e">
        <x:f>IF(H204="","",INDEX(等级配置!$B$4:$B$103,H204))</x:f>
        <x:v>#NAME?</x:v>
      </x:c>
      <x:c r="J204" s="58" t="e">
        <x:f>IF(AND(D204="当前已婚",G204&lt;参数与口径!$E$6),"存量兼容Lv1",IF(G204&gt;=等级配置!$C$103,"Lv100溢出","正常"))</x:f>
        <x:v>#NAME?</x:v>
      </x:c>
      <x:c r="K204" s="20" t="str">
        <x:f t="shared" si="3"/>
      </x:c>
    </x:row>
    <x:row r="205" ht="17">
      <x:c r="A205" s="58" t="s">
        <x:v>853</x:v>
      </x:c>
      <x:c r="B205" s="58" t="s">
        <x:v>854</x:v>
      </x:c>
      <x:c r="C205" s="58" t="s">
        <x:v>855</x:v>
      </x:c>
      <x:c r="D205" s="58" t="s">
        <x:v>14</x:v>
      </x:c>
      <x:c r="E205" s="18" t="s">
        <x:v>856</x:v>
      </x:c>
      <x:c r="F205" s="18"/>
      <x:c r="G205" s="126">
        <x:v>4565</x:v>
      </x:c>
      <x:c r="H205" s="126" t="e">
        <x:f>IF(G205="","",IF(G205&lt;参数与口径!$E$6,1,MATCH(G205,等级配置!$C$4:$C$103,1)))</x:f>
        <x:v>#NAME?</x:v>
      </x:c>
      <x:c r="I205" s="58" t="e">
        <x:f>IF(H205="","",INDEX(等级配置!$B$4:$B$103,H205))</x:f>
        <x:v>#NAME?</x:v>
      </x:c>
      <x:c r="J205" s="58" t="e">
        <x:f>IF(AND(D205="当前已婚",G205&lt;参数与口径!$E$6),"存量兼容Lv1",IF(G205&gt;=等级配置!$C$103,"Lv100溢出","正常"))</x:f>
        <x:v>#NAME?</x:v>
      </x:c>
      <x:c r="K205" s="20" t="str">
        <x:f t="shared" si="3"/>
      </x:c>
    </x:row>
    <x:row r="206" ht="17">
      <x:c r="A206" s="58" t="s">
        <x:v>857</x:v>
      </x:c>
      <x:c r="B206" s="58" t="s">
        <x:v>858</x:v>
      </x:c>
      <x:c r="C206" s="58" t="s">
        <x:v>859</x:v>
      </x:c>
      <x:c r="D206" s="58" t="s">
        <x:v>14</x:v>
      </x:c>
      <x:c r="E206" s="18" t="s">
        <x:v>860</x:v>
      </x:c>
      <x:c r="F206" s="18"/>
      <x:c r="G206" s="126">
        <x:v>4461</x:v>
      </x:c>
      <x:c r="H206" s="126" t="e">
        <x:f>IF(G206="","",IF(G206&lt;参数与口径!$E$6,1,MATCH(G206,等级配置!$C$4:$C$103,1)))</x:f>
        <x:v>#NAME?</x:v>
      </x:c>
      <x:c r="I206" s="58" t="e">
        <x:f>IF(H206="","",INDEX(等级配置!$B$4:$B$103,H206))</x:f>
        <x:v>#NAME?</x:v>
      </x:c>
      <x:c r="J206" s="58" t="e">
        <x:f>IF(AND(D206="当前已婚",G206&lt;参数与口径!$E$6),"存量兼容Lv1",IF(G206&gt;=等级配置!$C$103,"Lv100溢出","正常"))</x:f>
        <x:v>#NAME?</x:v>
      </x:c>
      <x:c r="K206" s="20" t="str">
        <x:f t="shared" si="3"/>
      </x:c>
    </x:row>
    <x:row r="207" ht="17">
      <x:c r="A207" s="58" t="s">
        <x:v>861</x:v>
      </x:c>
      <x:c r="B207" s="58" t="s">
        <x:v>862</x:v>
      </x:c>
      <x:c r="C207" s="58" t="s">
        <x:v>863</x:v>
      </x:c>
      <x:c r="D207" s="58" t="s">
        <x:v>14</x:v>
      </x:c>
      <x:c r="E207" s="18" t="s">
        <x:v>864</x:v>
      </x:c>
      <x:c r="F207" s="18"/>
      <x:c r="G207" s="126">
        <x:v>4451</x:v>
      </x:c>
      <x:c r="H207" s="126" t="e">
        <x:f>IF(G207="","",IF(G207&lt;参数与口径!$E$6,1,MATCH(G207,等级配置!$C$4:$C$103,1)))</x:f>
        <x:v>#NAME?</x:v>
      </x:c>
      <x:c r="I207" s="58" t="e">
        <x:f>IF(H207="","",INDEX(等级配置!$B$4:$B$103,H207))</x:f>
        <x:v>#NAME?</x:v>
      </x:c>
      <x:c r="J207" s="58" t="e">
        <x:f>IF(AND(D207="当前已婚",G207&lt;参数与口径!$E$6),"存量兼容Lv1",IF(G207&gt;=等级配置!$C$103,"Lv100溢出","正常"))</x:f>
        <x:v>#NAME?</x:v>
      </x:c>
      <x:c r="K207" s="20" t="str">
        <x:f t="shared" si="3"/>
      </x:c>
    </x:row>
    <x:row r="208" ht="17">
      <x:c r="A208" s="58" t="s">
        <x:v>865</x:v>
      </x:c>
      <x:c r="B208" s="58" t="s">
        <x:v>866</x:v>
      </x:c>
      <x:c r="C208" s="58" t="s">
        <x:v>867</x:v>
      </x:c>
      <x:c r="D208" s="58" t="s">
        <x:v>14</x:v>
      </x:c>
      <x:c r="E208" s="18" t="s">
        <x:v>868</x:v>
      </x:c>
      <x:c r="F208" s="18"/>
      <x:c r="G208" s="126">
        <x:v>4443</x:v>
      </x:c>
      <x:c r="H208" s="126" t="e">
        <x:f>IF(G208="","",IF(G208&lt;参数与口径!$E$6,1,MATCH(G208,等级配置!$C$4:$C$103,1)))</x:f>
        <x:v>#NAME?</x:v>
      </x:c>
      <x:c r="I208" s="58" t="e">
        <x:f>IF(H208="","",INDEX(等级配置!$B$4:$B$103,H208))</x:f>
        <x:v>#NAME?</x:v>
      </x:c>
      <x:c r="J208" s="58" t="e">
        <x:f>IF(AND(D208="当前已婚",G208&lt;参数与口径!$E$6),"存量兼容Lv1",IF(G208&gt;=等级配置!$C$103,"Lv100溢出","正常"))</x:f>
        <x:v>#NAME?</x:v>
      </x:c>
      <x:c r="K208" s="20" t="str">
        <x:f t="shared" si="3"/>
      </x:c>
    </x:row>
    <x:row r="209" ht="17">
      <x:c r="A209" s="58" t="s">
        <x:v>869</x:v>
      </x:c>
      <x:c r="B209" s="58" t="s">
        <x:v>870</x:v>
      </x:c>
      <x:c r="C209" s="58" t="s">
        <x:v>871</x:v>
      </x:c>
      <x:c r="D209" s="58" t="s">
        <x:v>14</x:v>
      </x:c>
      <x:c r="E209" s="18" t="s">
        <x:v>872</x:v>
      </x:c>
      <x:c r="F209" s="18"/>
      <x:c r="G209" s="126">
        <x:v>4338</x:v>
      </x:c>
      <x:c r="H209" s="126" t="e">
        <x:f>IF(G209="","",IF(G209&lt;参数与口径!$E$6,1,MATCH(G209,等级配置!$C$4:$C$103,1)))</x:f>
        <x:v>#NAME?</x:v>
      </x:c>
      <x:c r="I209" s="58" t="e">
        <x:f>IF(H209="","",INDEX(等级配置!$B$4:$B$103,H209))</x:f>
        <x:v>#NAME?</x:v>
      </x:c>
      <x:c r="J209" s="58" t="e">
        <x:f>IF(AND(D209="当前已婚",G209&lt;参数与口径!$E$6),"存量兼容Lv1",IF(G209&gt;=等级配置!$C$103,"Lv100溢出","正常"))</x:f>
        <x:v>#NAME?</x:v>
      </x:c>
      <x:c r="K209" s="20" t="str">
        <x:f t="shared" si="3"/>
      </x:c>
    </x:row>
    <x:row r="210" ht="17">
      <x:c r="A210" s="58" t="s">
        <x:v>873</x:v>
      </x:c>
      <x:c r="B210" s="58" t="s">
        <x:v>874</x:v>
      </x:c>
      <x:c r="C210" s="58" t="s">
        <x:v>875</x:v>
      </x:c>
      <x:c r="D210" s="58" t="s">
        <x:v>14</x:v>
      </x:c>
      <x:c r="E210" s="18" t="s">
        <x:v>876</x:v>
      </x:c>
      <x:c r="F210" s="18"/>
      <x:c r="G210" s="126">
        <x:v>4257</x:v>
      </x:c>
      <x:c r="H210" s="126" t="e">
        <x:f>IF(G210="","",IF(G210&lt;参数与口径!$E$6,1,MATCH(G210,等级配置!$C$4:$C$103,1)))</x:f>
        <x:v>#NAME?</x:v>
      </x:c>
      <x:c r="I210" s="58" t="e">
        <x:f>IF(H210="","",INDEX(等级配置!$B$4:$B$103,H210))</x:f>
        <x:v>#NAME?</x:v>
      </x:c>
      <x:c r="J210" s="58" t="e">
        <x:f>IF(AND(D210="当前已婚",G210&lt;参数与口径!$E$6),"存量兼容Lv1",IF(G210&gt;=等级配置!$C$103,"Lv100溢出","正常"))</x:f>
        <x:v>#NAME?</x:v>
      </x:c>
      <x:c r="K210" s="20" t="str">
        <x:f t="shared" si="3"/>
      </x:c>
    </x:row>
    <x:row r="211" ht="17">
      <x:c r="A211" s="58" t="s">
        <x:v>877</x:v>
      </x:c>
      <x:c r="B211" s="58" t="s">
        <x:v>878</x:v>
      </x:c>
      <x:c r="C211" s="58" t="s">
        <x:v>879</x:v>
      </x:c>
      <x:c r="D211" s="58" t="s">
        <x:v>14</x:v>
      </x:c>
      <x:c r="E211" s="18" t="s">
        <x:v>880</x:v>
      </x:c>
      <x:c r="F211" s="18"/>
      <x:c r="G211" s="126">
        <x:v>4131</x:v>
      </x:c>
      <x:c r="H211" s="126" t="e">
        <x:f>IF(G211="","",IF(G211&lt;参数与口径!$E$6,1,MATCH(G211,等级配置!$C$4:$C$103,1)))</x:f>
        <x:v>#NAME?</x:v>
      </x:c>
      <x:c r="I211" s="58" t="e">
        <x:f>IF(H211="","",INDEX(等级配置!$B$4:$B$103,H211))</x:f>
        <x:v>#NAME?</x:v>
      </x:c>
      <x:c r="J211" s="58" t="e">
        <x:f>IF(AND(D211="当前已婚",G211&lt;参数与口径!$E$6),"存量兼容Lv1",IF(G211&gt;=等级配置!$C$103,"Lv100溢出","正常"))</x:f>
        <x:v>#NAME?</x:v>
      </x:c>
      <x:c r="K211" s="20" t="str">
        <x:f t="shared" si="3"/>
      </x:c>
    </x:row>
    <x:row r="212" ht="17">
      <x:c r="A212" s="58" t="s">
        <x:v>881</x:v>
      </x:c>
      <x:c r="B212" s="58" t="s">
        <x:v>882</x:v>
      </x:c>
      <x:c r="C212" s="58" t="s">
        <x:v>883</x:v>
      </x:c>
      <x:c r="D212" s="58" t="s">
        <x:v>14</x:v>
      </x:c>
      <x:c r="E212" s="18" t="s">
        <x:v>884</x:v>
      </x:c>
      <x:c r="F212" s="18"/>
      <x:c r="G212" s="126">
        <x:v>3992</x:v>
      </x:c>
      <x:c r="H212" s="126" t="e">
        <x:f>IF(G212="","",IF(G212&lt;参数与口径!$E$6,1,MATCH(G212,等级配置!$C$4:$C$103,1)))</x:f>
        <x:v>#NAME?</x:v>
      </x:c>
      <x:c r="I212" s="58" t="e">
        <x:f>IF(H212="","",INDEX(等级配置!$B$4:$B$103,H212))</x:f>
        <x:v>#NAME?</x:v>
      </x:c>
      <x:c r="J212" s="58" t="e">
        <x:f>IF(AND(D212="当前已婚",G212&lt;参数与口径!$E$6),"存量兼容Lv1",IF(G212&gt;=等级配置!$C$103,"Lv100溢出","正常"))</x:f>
        <x:v>#NAME?</x:v>
      </x:c>
      <x:c r="K212" s="20" t="str">
        <x:f t="shared" si="3"/>
      </x:c>
    </x:row>
    <x:row r="213" ht="17">
      <x:c r="A213" s="58" t="s">
        <x:v>885</x:v>
      </x:c>
      <x:c r="B213" s="58" t="s">
        <x:v>886</x:v>
      </x:c>
      <x:c r="C213" s="58" t="s">
        <x:v>887</x:v>
      </x:c>
      <x:c r="D213" s="58" t="s">
        <x:v>14</x:v>
      </x:c>
      <x:c r="E213" s="18" t="s">
        <x:v>888</x:v>
      </x:c>
      <x:c r="F213" s="18"/>
      <x:c r="G213" s="126">
        <x:v>3985</x:v>
      </x:c>
      <x:c r="H213" s="126" t="e">
        <x:f>IF(G213="","",IF(G213&lt;参数与口径!$E$6,1,MATCH(G213,等级配置!$C$4:$C$103,1)))</x:f>
        <x:v>#NAME?</x:v>
      </x:c>
      <x:c r="I213" s="58" t="e">
        <x:f>IF(H213="","",INDEX(等级配置!$B$4:$B$103,H213))</x:f>
        <x:v>#NAME?</x:v>
      </x:c>
      <x:c r="J213" s="58" t="e">
        <x:f>IF(AND(D213="当前已婚",G213&lt;参数与口径!$E$6),"存量兼容Lv1",IF(G213&gt;=等级配置!$C$103,"Lv100溢出","正常"))</x:f>
        <x:v>#NAME?</x:v>
      </x:c>
      <x:c r="K213" s="20" t="str">
        <x:f t="shared" si="3"/>
      </x:c>
    </x:row>
    <x:row r="214" ht="17">
      <x:c r="A214" s="58" t="s">
        <x:v>889</x:v>
      </x:c>
      <x:c r="B214" s="58" t="s">
        <x:v>890</x:v>
      </x:c>
      <x:c r="C214" s="58" t="s">
        <x:v>891</x:v>
      </x:c>
      <x:c r="D214" s="58" t="s">
        <x:v>14</x:v>
      </x:c>
      <x:c r="E214" s="18" t="s">
        <x:v>892</x:v>
      </x:c>
      <x:c r="F214" s="18" t="s">
        <x:v>893</x:v>
      </x:c>
      <x:c r="G214" s="126">
        <x:v>3905</x:v>
      </x:c>
      <x:c r="H214" s="126" t="e">
        <x:f>IF(G214="","",IF(G214&lt;参数与口径!$E$6,1,MATCH(G214,等级配置!$C$4:$C$103,1)))</x:f>
        <x:v>#NAME?</x:v>
      </x:c>
      <x:c r="I214" s="58" t="e">
        <x:f>IF(H214="","",INDEX(等级配置!$B$4:$B$103,H214))</x:f>
        <x:v>#NAME?</x:v>
      </x:c>
      <x:c r="J214" s="58" t="e">
        <x:f>IF(AND(D214="当前已婚",G214&lt;参数与口径!$E$6),"存量兼容Lv1",IF(G214&gt;=等级配置!$C$103,"Lv100溢出","正常"))</x:f>
        <x:v>#NAME?</x:v>
      </x:c>
      <x:c r="K214" s="20" t="str">
        <x:f t="shared" si="3"/>
        <x:v>当前已婚但存在离婚日期</x:v>
      </x:c>
    </x:row>
    <x:row r="215" ht="17">
      <x:c r="A215" s="58" t="s">
        <x:v>894</x:v>
      </x:c>
      <x:c r="B215" s="58" t="s">
        <x:v>895</x:v>
      </x:c>
      <x:c r="C215" s="58" t="s">
        <x:v>896</x:v>
      </x:c>
      <x:c r="D215" s="58" t="s">
        <x:v>14</x:v>
      </x:c>
      <x:c r="E215" s="18" t="s">
        <x:v>897</x:v>
      </x:c>
      <x:c r="F215" s="18"/>
      <x:c r="G215" s="126">
        <x:v>3634</x:v>
      </x:c>
      <x:c r="H215" s="126" t="e">
        <x:f>IF(G215="","",IF(G215&lt;参数与口径!$E$6,1,MATCH(G215,等级配置!$C$4:$C$103,1)))</x:f>
        <x:v>#NAME?</x:v>
      </x:c>
      <x:c r="I215" s="58" t="e">
        <x:f>IF(H215="","",INDEX(等级配置!$B$4:$B$103,H215))</x:f>
        <x:v>#NAME?</x:v>
      </x:c>
      <x:c r="J215" s="58" t="e">
        <x:f>IF(AND(D215="当前已婚",G215&lt;参数与口径!$E$6),"存量兼容Lv1",IF(G215&gt;=等级配置!$C$103,"Lv100溢出","正常"))</x:f>
        <x:v>#NAME?</x:v>
      </x:c>
      <x:c r="K215" s="20" t="str">
        <x:f t="shared" si="3"/>
      </x:c>
    </x:row>
    <x:row r="216" ht="17">
      <x:c r="A216" s="58" t="s">
        <x:v>898</x:v>
      </x:c>
      <x:c r="B216" s="58" t="s">
        <x:v>899</x:v>
      </x:c>
      <x:c r="C216" s="58" t="s">
        <x:v>900</x:v>
      </x:c>
      <x:c r="D216" s="58" t="s">
        <x:v>14</x:v>
      </x:c>
      <x:c r="E216" s="18" t="s">
        <x:v>901</x:v>
      </x:c>
      <x:c r="F216" s="18"/>
      <x:c r="G216" s="126">
        <x:v>3596</x:v>
      </x:c>
      <x:c r="H216" s="126" t="e">
        <x:f>IF(G216="","",IF(G216&lt;参数与口径!$E$6,1,MATCH(G216,等级配置!$C$4:$C$103,1)))</x:f>
        <x:v>#NAME?</x:v>
      </x:c>
      <x:c r="I216" s="58" t="e">
        <x:f>IF(H216="","",INDEX(等级配置!$B$4:$B$103,H216))</x:f>
        <x:v>#NAME?</x:v>
      </x:c>
      <x:c r="J216" s="58" t="e">
        <x:f>IF(AND(D216="当前已婚",G216&lt;参数与口径!$E$6),"存量兼容Lv1",IF(G216&gt;=等级配置!$C$103,"Lv100溢出","正常"))</x:f>
        <x:v>#NAME?</x:v>
      </x:c>
      <x:c r="K216" s="20" t="str">
        <x:f t="shared" si="3"/>
      </x:c>
    </x:row>
    <x:row r="217" ht="17">
      <x:c r="A217" s="58" t="s">
        <x:v>902</x:v>
      </x:c>
      <x:c r="B217" s="58" t="s">
        <x:v>903</x:v>
      </x:c>
      <x:c r="C217" s="58" t="s">
        <x:v>904</x:v>
      </x:c>
      <x:c r="D217" s="58" t="s">
        <x:v>14</x:v>
      </x:c>
      <x:c r="E217" s="18" t="s">
        <x:v>905</x:v>
      </x:c>
      <x:c r="F217" s="18"/>
      <x:c r="G217" s="126">
        <x:v>3322</x:v>
      </x:c>
      <x:c r="H217" s="126" t="e">
        <x:f>IF(G217="","",IF(G217&lt;参数与口径!$E$6,1,MATCH(G217,等级配置!$C$4:$C$103,1)))</x:f>
        <x:v>#NAME?</x:v>
      </x:c>
      <x:c r="I217" s="58" t="e">
        <x:f>IF(H217="","",INDEX(等级配置!$B$4:$B$103,H217))</x:f>
        <x:v>#NAME?</x:v>
      </x:c>
      <x:c r="J217" s="58" t="e">
        <x:f>IF(AND(D217="当前已婚",G217&lt;参数与口径!$E$6),"存量兼容Lv1",IF(G217&gt;=等级配置!$C$103,"Lv100溢出","正常"))</x:f>
        <x:v>#NAME?</x:v>
      </x:c>
      <x:c r="K217" s="20" t="str">
        <x:f t="shared" si="3"/>
      </x:c>
    </x:row>
    <x:row r="218" ht="17">
      <x:c r="A218" s="58" t="s">
        <x:v>906</x:v>
      </x:c>
      <x:c r="B218" s="58" t="s">
        <x:v>907</x:v>
      </x:c>
      <x:c r="C218" s="58" t="s">
        <x:v>908</x:v>
      </x:c>
      <x:c r="D218" s="58" t="s">
        <x:v>14</x:v>
      </x:c>
      <x:c r="E218" s="18" t="s">
        <x:v>909</x:v>
      </x:c>
      <x:c r="F218" s="18"/>
      <x:c r="G218" s="126">
        <x:v>3305</x:v>
      </x:c>
      <x:c r="H218" s="126" t="e">
        <x:f>IF(G218="","",IF(G218&lt;参数与口径!$E$6,1,MATCH(G218,等级配置!$C$4:$C$103,1)))</x:f>
        <x:v>#NAME?</x:v>
      </x:c>
      <x:c r="I218" s="58" t="e">
        <x:f>IF(H218="","",INDEX(等级配置!$B$4:$B$103,H218))</x:f>
        <x:v>#NAME?</x:v>
      </x:c>
      <x:c r="J218" s="58" t="e">
        <x:f>IF(AND(D218="当前已婚",G218&lt;参数与口径!$E$6),"存量兼容Lv1",IF(G218&gt;=等级配置!$C$103,"Lv100溢出","正常"))</x:f>
        <x:v>#NAME?</x:v>
      </x:c>
      <x:c r="K218" s="20" t="str">
        <x:f t="shared" si="3"/>
      </x:c>
    </x:row>
    <x:row r="219" ht="17">
      <x:c r="A219" s="58" t="s">
        <x:v>910</x:v>
      </x:c>
      <x:c r="B219" s="58" t="s">
        <x:v>911</x:v>
      </x:c>
      <x:c r="C219" s="58" t="s">
        <x:v>912</x:v>
      </x:c>
      <x:c r="D219" s="58" t="s">
        <x:v>14</x:v>
      </x:c>
      <x:c r="E219" s="18" t="s">
        <x:v>913</x:v>
      </x:c>
      <x:c r="F219" s="18"/>
      <x:c r="G219" s="126">
        <x:v>3185</x:v>
      </x:c>
      <x:c r="H219" s="126" t="e">
        <x:f>IF(G219="","",IF(G219&lt;参数与口径!$E$6,1,MATCH(G219,等级配置!$C$4:$C$103,1)))</x:f>
        <x:v>#NAME?</x:v>
      </x:c>
      <x:c r="I219" s="58" t="e">
        <x:f>IF(H219="","",INDEX(等级配置!$B$4:$B$103,H219))</x:f>
        <x:v>#NAME?</x:v>
      </x:c>
      <x:c r="J219" s="58" t="e">
        <x:f>IF(AND(D219="当前已婚",G219&lt;参数与口径!$E$6),"存量兼容Lv1",IF(G219&gt;=等级配置!$C$103,"Lv100溢出","正常"))</x:f>
        <x:v>#NAME?</x:v>
      </x:c>
      <x:c r="K219" s="20" t="str">
        <x:f t="shared" si="3"/>
      </x:c>
    </x:row>
    <x:row r="220" ht="17">
      <x:c r="A220" s="58" t="s">
        <x:v>914</x:v>
      </x:c>
      <x:c r="B220" s="58" t="s">
        <x:v>915</x:v>
      </x:c>
      <x:c r="C220" s="58" t="s">
        <x:v>916</x:v>
      </x:c>
      <x:c r="D220" s="58" t="s">
        <x:v>14</x:v>
      </x:c>
      <x:c r="E220" s="18" t="s">
        <x:v>917</x:v>
      </x:c>
      <x:c r="F220" s="18"/>
      <x:c r="G220" s="126">
        <x:v>3106</x:v>
      </x:c>
      <x:c r="H220" s="126" t="e">
        <x:f>IF(G220="","",IF(G220&lt;参数与口径!$E$6,1,MATCH(G220,等级配置!$C$4:$C$103,1)))</x:f>
        <x:v>#NAME?</x:v>
      </x:c>
      <x:c r="I220" s="58" t="e">
        <x:f>IF(H220="","",INDEX(等级配置!$B$4:$B$103,H220))</x:f>
        <x:v>#NAME?</x:v>
      </x:c>
      <x:c r="J220" s="58" t="e">
        <x:f>IF(AND(D220="当前已婚",G220&lt;参数与口径!$E$6),"存量兼容Lv1",IF(G220&gt;=等级配置!$C$103,"Lv100溢出","正常"))</x:f>
        <x:v>#NAME?</x:v>
      </x:c>
      <x:c r="K220" s="20" t="str">
        <x:f t="shared" si="3"/>
      </x:c>
    </x:row>
    <x:row r="221" ht="17">
      <x:c r="A221" s="58" t="s">
        <x:v>918</x:v>
      </x:c>
      <x:c r="B221" s="58" t="s">
        <x:v>919</x:v>
      </x:c>
      <x:c r="C221" s="58" t="s">
        <x:v>920</x:v>
      </x:c>
      <x:c r="D221" s="58" t="s">
        <x:v>14</x:v>
      </x:c>
      <x:c r="E221" s="18" t="s">
        <x:v>921</x:v>
      </x:c>
      <x:c r="F221" s="18"/>
      <x:c r="G221" s="126">
        <x:v>3073</x:v>
      </x:c>
      <x:c r="H221" s="126" t="e">
        <x:f>IF(G221="","",IF(G221&lt;参数与口径!$E$6,1,MATCH(G221,等级配置!$C$4:$C$103,1)))</x:f>
        <x:v>#NAME?</x:v>
      </x:c>
      <x:c r="I221" s="58" t="e">
        <x:f>IF(H221="","",INDEX(等级配置!$B$4:$B$103,H221))</x:f>
        <x:v>#NAME?</x:v>
      </x:c>
      <x:c r="J221" s="58" t="e">
        <x:f>IF(AND(D221="当前已婚",G221&lt;参数与口径!$E$6),"存量兼容Lv1",IF(G221&gt;=等级配置!$C$103,"Lv100溢出","正常"))</x:f>
        <x:v>#NAME?</x:v>
      </x:c>
      <x:c r="K221" s="20" t="str">
        <x:f t="shared" si="3"/>
      </x:c>
    </x:row>
    <x:row r="222" ht="17">
      <x:c r="A222" s="58" t="s">
        <x:v>922</x:v>
      </x:c>
      <x:c r="B222" s="58" t="s">
        <x:v>923</x:v>
      </x:c>
      <x:c r="C222" s="58" t="s">
        <x:v>924</x:v>
      </x:c>
      <x:c r="D222" s="58" t="s">
        <x:v>14</x:v>
      </x:c>
      <x:c r="E222" s="18" t="s">
        <x:v>925</x:v>
      </x:c>
      <x:c r="F222" s="18" t="s">
        <x:v>926</x:v>
      </x:c>
      <x:c r="G222" s="126">
        <x:v>2933</x:v>
      </x:c>
      <x:c r="H222" s="126" t="e">
        <x:f>IF(G222="","",IF(G222&lt;参数与口径!$E$6,1,MATCH(G222,等级配置!$C$4:$C$103,1)))</x:f>
        <x:v>#NAME?</x:v>
      </x:c>
      <x:c r="I222" s="58" t="e">
        <x:f>IF(H222="","",INDEX(等级配置!$B$4:$B$103,H222))</x:f>
        <x:v>#NAME?</x:v>
      </x:c>
      <x:c r="J222" s="58" t="e">
        <x:f>IF(AND(D222="当前已婚",G222&lt;参数与口径!$E$6),"存量兼容Lv1",IF(G222&gt;=等级配置!$C$103,"Lv100溢出","正常"))</x:f>
        <x:v>#NAME?</x:v>
      </x:c>
      <x:c r="K222" s="20" t="str">
        <x:f t="shared" si="3"/>
        <x:v>当前已婚但存在离婚日期</x:v>
      </x:c>
    </x:row>
    <x:row r="223" ht="17">
      <x:c r="A223" s="58" t="s">
        <x:v>927</x:v>
      </x:c>
      <x:c r="B223" s="58" t="s">
        <x:v>928</x:v>
      </x:c>
      <x:c r="C223" s="58" t="s">
        <x:v>929</x:v>
      </x:c>
      <x:c r="D223" s="58" t="s">
        <x:v>14</x:v>
      </x:c>
      <x:c r="E223" s="18" t="s">
        <x:v>930</x:v>
      </x:c>
      <x:c r="F223" s="18"/>
      <x:c r="G223" s="126">
        <x:v>2673</x:v>
      </x:c>
      <x:c r="H223" s="126" t="e">
        <x:f>IF(G223="","",IF(G223&lt;参数与口径!$E$6,1,MATCH(G223,等级配置!$C$4:$C$103,1)))</x:f>
        <x:v>#NAME?</x:v>
      </x:c>
      <x:c r="I223" s="58" t="e">
        <x:f>IF(H223="","",INDEX(等级配置!$B$4:$B$103,H223))</x:f>
        <x:v>#NAME?</x:v>
      </x:c>
      <x:c r="J223" s="58" t="e">
        <x:f>IF(AND(D223="当前已婚",G223&lt;参数与口径!$E$6),"存量兼容Lv1",IF(G223&gt;=等级配置!$C$103,"Lv100溢出","正常"))</x:f>
        <x:v>#NAME?</x:v>
      </x:c>
      <x:c r="K223" s="20" t="str">
        <x:f t="shared" si="3"/>
      </x:c>
    </x:row>
    <x:row r="224" ht="17">
      <x:c r="A224" s="58" t="s">
        <x:v>931</x:v>
      </x:c>
      <x:c r="B224" s="58" t="s">
        <x:v>932</x:v>
      </x:c>
      <x:c r="C224" s="58" t="s">
        <x:v>933</x:v>
      </x:c>
      <x:c r="D224" s="58" t="s">
        <x:v>14</x:v>
      </x:c>
      <x:c r="E224" s="18" t="s">
        <x:v>934</x:v>
      </x:c>
      <x:c r="F224" s="18"/>
      <x:c r="G224" s="126">
        <x:v>2648</x:v>
      </x:c>
      <x:c r="H224" s="126" t="e">
        <x:f>IF(G224="","",IF(G224&lt;参数与口径!$E$6,1,MATCH(G224,等级配置!$C$4:$C$103,1)))</x:f>
        <x:v>#NAME?</x:v>
      </x:c>
      <x:c r="I224" s="58" t="e">
        <x:f>IF(H224="","",INDEX(等级配置!$B$4:$B$103,H224))</x:f>
        <x:v>#NAME?</x:v>
      </x:c>
      <x:c r="J224" s="58" t="e">
        <x:f>IF(AND(D224="当前已婚",G224&lt;参数与口径!$E$6),"存量兼容Lv1",IF(G224&gt;=等级配置!$C$103,"Lv100溢出","正常"))</x:f>
        <x:v>#NAME?</x:v>
      </x:c>
      <x:c r="K224" s="20" t="str">
        <x:f t="shared" si="3"/>
      </x:c>
    </x:row>
    <x:row r="225" ht="17">
      <x:c r="A225" s="58" t="s">
        <x:v>935</x:v>
      </x:c>
      <x:c r="B225" s="58" t="s">
        <x:v>936</x:v>
      </x:c>
      <x:c r="C225" s="58" t="s">
        <x:v>937</x:v>
      </x:c>
      <x:c r="D225" s="58" t="s">
        <x:v>14</x:v>
      </x:c>
      <x:c r="E225" s="18" t="s">
        <x:v>938</x:v>
      </x:c>
      <x:c r="F225" s="18"/>
      <x:c r="G225" s="126">
        <x:v>2647</x:v>
      </x:c>
      <x:c r="H225" s="126" t="e">
        <x:f>IF(G225="","",IF(G225&lt;参数与口径!$E$6,1,MATCH(G225,等级配置!$C$4:$C$103,1)))</x:f>
        <x:v>#NAME?</x:v>
      </x:c>
      <x:c r="I225" s="58" t="e">
        <x:f>IF(H225="","",INDEX(等级配置!$B$4:$B$103,H225))</x:f>
        <x:v>#NAME?</x:v>
      </x:c>
      <x:c r="J225" s="58" t="e">
        <x:f>IF(AND(D225="当前已婚",G225&lt;参数与口径!$E$6),"存量兼容Lv1",IF(G225&gt;=等级配置!$C$103,"Lv100溢出","正常"))</x:f>
        <x:v>#NAME?</x:v>
      </x:c>
      <x:c r="K225" s="20" t="str">
        <x:f t="shared" si="3"/>
      </x:c>
    </x:row>
    <x:row r="226" ht="17">
      <x:c r="A226" s="58" t="s">
        <x:v>939</x:v>
      </x:c>
      <x:c r="B226" s="58" t="s">
        <x:v>940</x:v>
      </x:c>
      <x:c r="C226" s="58" t="s">
        <x:v>941</x:v>
      </x:c>
      <x:c r="D226" s="58" t="s">
        <x:v>14</x:v>
      </x:c>
      <x:c r="E226" s="18" t="s">
        <x:v>942</x:v>
      </x:c>
      <x:c r="F226" s="18"/>
      <x:c r="G226" s="126">
        <x:v>2618</x:v>
      </x:c>
      <x:c r="H226" s="126" t="e">
        <x:f>IF(G226="","",IF(G226&lt;参数与口径!$E$6,1,MATCH(G226,等级配置!$C$4:$C$103,1)))</x:f>
        <x:v>#NAME?</x:v>
      </x:c>
      <x:c r="I226" s="58" t="e">
        <x:f>IF(H226="","",INDEX(等级配置!$B$4:$B$103,H226))</x:f>
        <x:v>#NAME?</x:v>
      </x:c>
      <x:c r="J226" s="58" t="e">
        <x:f>IF(AND(D226="当前已婚",G226&lt;参数与口径!$E$6),"存量兼容Lv1",IF(G226&gt;=等级配置!$C$103,"Lv100溢出","正常"))</x:f>
        <x:v>#NAME?</x:v>
      </x:c>
      <x:c r="K226" s="20" t="str">
        <x:f t="shared" si="3"/>
      </x:c>
    </x:row>
    <x:row r="227" ht="17">
      <x:c r="A227" s="58" t="s">
        <x:v>943</x:v>
      </x:c>
      <x:c r="B227" s="58" t="s">
        <x:v>944</x:v>
      </x:c>
      <x:c r="C227" s="58" t="s">
        <x:v>945</x:v>
      </x:c>
      <x:c r="D227" s="58" t="s">
        <x:v>14</x:v>
      </x:c>
      <x:c r="E227" s="18" t="s">
        <x:v>946</x:v>
      </x:c>
      <x:c r="F227" s="18"/>
      <x:c r="G227" s="126">
        <x:v>2580</x:v>
      </x:c>
      <x:c r="H227" s="126" t="e">
        <x:f>IF(G227="","",IF(G227&lt;参数与口径!$E$6,1,MATCH(G227,等级配置!$C$4:$C$103,1)))</x:f>
        <x:v>#NAME?</x:v>
      </x:c>
      <x:c r="I227" s="58" t="e">
        <x:f>IF(H227="","",INDEX(等级配置!$B$4:$B$103,H227))</x:f>
        <x:v>#NAME?</x:v>
      </x:c>
      <x:c r="J227" s="58" t="e">
        <x:f>IF(AND(D227="当前已婚",G227&lt;参数与口径!$E$6),"存量兼容Lv1",IF(G227&gt;=等级配置!$C$103,"Lv100溢出","正常"))</x:f>
        <x:v>#NAME?</x:v>
      </x:c>
      <x:c r="K227" s="20" t="str">
        <x:f t="shared" si="3"/>
      </x:c>
    </x:row>
    <x:row r="228" ht="17">
      <x:c r="A228" s="58" t="s">
        <x:v>947</x:v>
      </x:c>
      <x:c r="B228" s="58" t="s">
        <x:v>948</x:v>
      </x:c>
      <x:c r="C228" s="58" t="s">
        <x:v>949</x:v>
      </x:c>
      <x:c r="D228" s="58" t="s">
        <x:v>14</x:v>
      </x:c>
      <x:c r="E228" s="18" t="s">
        <x:v>950</x:v>
      </x:c>
      <x:c r="F228" s="18"/>
      <x:c r="G228" s="126">
        <x:v>2484</x:v>
      </x:c>
      <x:c r="H228" s="126" t="e">
        <x:f>IF(G228="","",IF(G228&lt;参数与口径!$E$6,1,MATCH(G228,等级配置!$C$4:$C$103,1)))</x:f>
        <x:v>#NAME?</x:v>
      </x:c>
      <x:c r="I228" s="58" t="e">
        <x:f>IF(H228="","",INDEX(等级配置!$B$4:$B$103,H228))</x:f>
        <x:v>#NAME?</x:v>
      </x:c>
      <x:c r="J228" s="58" t="e">
        <x:f>IF(AND(D228="当前已婚",G228&lt;参数与口径!$E$6),"存量兼容Lv1",IF(G228&gt;=等级配置!$C$103,"Lv100溢出","正常"))</x:f>
        <x:v>#NAME?</x:v>
      </x:c>
      <x:c r="K228" s="20" t="str">
        <x:f t="shared" si="3"/>
      </x:c>
    </x:row>
    <x:row r="229" ht="17">
      <x:c r="A229" s="58" t="s">
        <x:v>951</x:v>
      </x:c>
      <x:c r="B229" s="58" t="s">
        <x:v>952</x:v>
      </x:c>
      <x:c r="C229" s="58" t="s">
        <x:v>953</x:v>
      </x:c>
      <x:c r="D229" s="58" t="s">
        <x:v>14</x:v>
      </x:c>
      <x:c r="E229" s="18" t="s">
        <x:v>954</x:v>
      </x:c>
      <x:c r="F229" s="18"/>
      <x:c r="G229" s="126">
        <x:v>2237</x:v>
      </x:c>
      <x:c r="H229" s="126" t="e">
        <x:f>IF(G229="","",IF(G229&lt;参数与口径!$E$6,1,MATCH(G229,等级配置!$C$4:$C$103,1)))</x:f>
        <x:v>#NAME?</x:v>
      </x:c>
      <x:c r="I229" s="58" t="e">
        <x:f>IF(H229="","",INDEX(等级配置!$B$4:$B$103,H229))</x:f>
        <x:v>#NAME?</x:v>
      </x:c>
      <x:c r="J229" s="58" t="e">
        <x:f>IF(AND(D229="当前已婚",G229&lt;参数与口径!$E$6),"存量兼容Lv1",IF(G229&gt;=等级配置!$C$103,"Lv100溢出","正常"))</x:f>
        <x:v>#NAME?</x:v>
      </x:c>
      <x:c r="K229" s="20" t="str">
        <x:f t="shared" si="3"/>
      </x:c>
    </x:row>
    <x:row r="230" ht="17">
      <x:c r="A230" s="58" t="s">
        <x:v>955</x:v>
      </x:c>
      <x:c r="B230" s="58" t="s">
        <x:v>956</x:v>
      </x:c>
      <x:c r="C230" s="58" t="s">
        <x:v>957</x:v>
      </x:c>
      <x:c r="D230" s="58" t="s">
        <x:v>14</x:v>
      </x:c>
      <x:c r="E230" s="18" t="s">
        <x:v>958</x:v>
      </x:c>
      <x:c r="F230" s="18"/>
      <x:c r="G230" s="126">
        <x:v>2236</x:v>
      </x:c>
      <x:c r="H230" s="126" t="e">
        <x:f>IF(G230="","",IF(G230&lt;参数与口径!$E$6,1,MATCH(G230,等级配置!$C$4:$C$103,1)))</x:f>
        <x:v>#NAME?</x:v>
      </x:c>
      <x:c r="I230" s="58" t="e">
        <x:f>IF(H230="","",INDEX(等级配置!$B$4:$B$103,H230))</x:f>
        <x:v>#NAME?</x:v>
      </x:c>
      <x:c r="J230" s="58" t="e">
        <x:f>IF(AND(D230="当前已婚",G230&lt;参数与口径!$E$6),"存量兼容Lv1",IF(G230&gt;=等级配置!$C$103,"Lv100溢出","正常"))</x:f>
        <x:v>#NAME?</x:v>
      </x:c>
      <x:c r="K230" s="20" t="str">
        <x:f t="shared" si="3"/>
      </x:c>
    </x:row>
    <x:row r="231" ht="17">
      <x:c r="A231" s="58" t="s">
        <x:v>959</x:v>
      </x:c>
      <x:c r="B231" s="58" t="s">
        <x:v>960</x:v>
      </x:c>
      <x:c r="C231" s="58" t="s">
        <x:v>961</x:v>
      </x:c>
      <x:c r="D231" s="58" t="s">
        <x:v>14</x:v>
      </x:c>
      <x:c r="E231" s="18" t="s">
        <x:v>962</x:v>
      </x:c>
      <x:c r="F231" s="18"/>
      <x:c r="G231" s="126">
        <x:v>2233</x:v>
      </x:c>
      <x:c r="H231" s="126" t="e">
        <x:f>IF(G231="","",IF(G231&lt;参数与口径!$E$6,1,MATCH(G231,等级配置!$C$4:$C$103,1)))</x:f>
        <x:v>#NAME?</x:v>
      </x:c>
      <x:c r="I231" s="58" t="e">
        <x:f>IF(H231="","",INDEX(等级配置!$B$4:$B$103,H231))</x:f>
        <x:v>#NAME?</x:v>
      </x:c>
      <x:c r="J231" s="58" t="e">
        <x:f>IF(AND(D231="当前已婚",G231&lt;参数与口径!$E$6),"存量兼容Lv1",IF(G231&gt;=等级配置!$C$103,"Lv100溢出","正常"))</x:f>
        <x:v>#NAME?</x:v>
      </x:c>
      <x:c r="K231" s="20" t="str">
        <x:f t="shared" si="3"/>
      </x:c>
    </x:row>
    <x:row r="232" ht="17">
      <x:c r="A232" s="58" t="s">
        <x:v>963</x:v>
      </x:c>
      <x:c r="B232" s="58" t="s">
        <x:v>964</x:v>
      </x:c>
      <x:c r="C232" s="58" t="s">
        <x:v>965</x:v>
      </x:c>
      <x:c r="D232" s="58" t="s">
        <x:v>14</x:v>
      </x:c>
      <x:c r="E232" s="18" t="s">
        <x:v>966</x:v>
      </x:c>
      <x:c r="F232" s="18"/>
      <x:c r="G232" s="126">
        <x:v>2167</x:v>
      </x:c>
      <x:c r="H232" s="126" t="e">
        <x:f>IF(G232="","",IF(G232&lt;参数与口径!$E$6,1,MATCH(G232,等级配置!$C$4:$C$103,1)))</x:f>
        <x:v>#NAME?</x:v>
      </x:c>
      <x:c r="I232" s="58" t="e">
        <x:f>IF(H232="","",INDEX(等级配置!$B$4:$B$103,H232))</x:f>
        <x:v>#NAME?</x:v>
      </x:c>
      <x:c r="J232" s="58" t="e">
        <x:f>IF(AND(D232="当前已婚",G232&lt;参数与口径!$E$6),"存量兼容Lv1",IF(G232&gt;=等级配置!$C$103,"Lv100溢出","正常"))</x:f>
        <x:v>#NAME?</x:v>
      </x:c>
      <x:c r="K232" s="20" t="str">
        <x:f t="shared" si="3"/>
      </x:c>
    </x:row>
    <x:row r="233" ht="17">
      <x:c r="A233" s="58" t="s">
        <x:v>967</x:v>
      </x:c>
      <x:c r="B233" s="58" t="s">
        <x:v>968</x:v>
      </x:c>
      <x:c r="C233" s="58" t="s">
        <x:v>969</x:v>
      </x:c>
      <x:c r="D233" s="58" t="s">
        <x:v>14</x:v>
      </x:c>
      <x:c r="E233" s="18" t="s">
        <x:v>970</x:v>
      </x:c>
      <x:c r="F233" s="18"/>
      <x:c r="G233" s="126">
        <x:v>2154</x:v>
      </x:c>
      <x:c r="H233" s="126" t="e">
        <x:f>IF(G233="","",IF(G233&lt;参数与口径!$E$6,1,MATCH(G233,等级配置!$C$4:$C$103,1)))</x:f>
        <x:v>#NAME?</x:v>
      </x:c>
      <x:c r="I233" s="58" t="e">
        <x:f>IF(H233="","",INDEX(等级配置!$B$4:$B$103,H233))</x:f>
        <x:v>#NAME?</x:v>
      </x:c>
      <x:c r="J233" s="58" t="e">
        <x:f>IF(AND(D233="当前已婚",G233&lt;参数与口径!$E$6),"存量兼容Lv1",IF(G233&gt;=等级配置!$C$103,"Lv100溢出","正常"))</x:f>
        <x:v>#NAME?</x:v>
      </x:c>
      <x:c r="K233" s="20" t="str">
        <x:f t="shared" si="3"/>
      </x:c>
    </x:row>
    <x:row r="234" ht="17">
      <x:c r="A234" s="58" t="s">
        <x:v>971</x:v>
      </x:c>
      <x:c r="B234" s="58" t="s">
        <x:v>972</x:v>
      </x:c>
      <x:c r="C234" s="58" t="s">
        <x:v>973</x:v>
      </x:c>
      <x:c r="D234" s="58" t="s">
        <x:v>14</x:v>
      </x:c>
      <x:c r="E234" s="18" t="s">
        <x:v>974</x:v>
      </x:c>
      <x:c r="F234" s="18"/>
      <x:c r="G234" s="126">
        <x:v>2152</x:v>
      </x:c>
      <x:c r="H234" s="126" t="e">
        <x:f>IF(G234="","",IF(G234&lt;参数与口径!$E$6,1,MATCH(G234,等级配置!$C$4:$C$103,1)))</x:f>
        <x:v>#NAME?</x:v>
      </x:c>
      <x:c r="I234" s="58" t="e">
        <x:f>IF(H234="","",INDEX(等级配置!$B$4:$B$103,H234))</x:f>
        <x:v>#NAME?</x:v>
      </x:c>
      <x:c r="J234" s="58" t="e">
        <x:f>IF(AND(D234="当前已婚",G234&lt;参数与口径!$E$6),"存量兼容Lv1",IF(G234&gt;=等级配置!$C$103,"Lv100溢出","正常"))</x:f>
        <x:v>#NAME?</x:v>
      </x:c>
      <x:c r="K234" s="20" t="str">
        <x:f t="shared" si="3"/>
      </x:c>
    </x:row>
    <x:row r="235" ht="17">
      <x:c r="A235" s="58" t="s">
        <x:v>975</x:v>
      </x:c>
      <x:c r="B235" s="58" t="s">
        <x:v>976</x:v>
      </x:c>
      <x:c r="C235" s="58" t="s">
        <x:v>977</x:v>
      </x:c>
      <x:c r="D235" s="58" t="s">
        <x:v>14</x:v>
      </x:c>
      <x:c r="E235" s="18" t="s">
        <x:v>978</x:v>
      </x:c>
      <x:c r="F235" s="18"/>
      <x:c r="G235" s="126">
        <x:v>2086</x:v>
      </x:c>
      <x:c r="H235" s="126" t="e">
        <x:f>IF(G235="","",IF(G235&lt;参数与口径!$E$6,1,MATCH(G235,等级配置!$C$4:$C$103,1)))</x:f>
        <x:v>#NAME?</x:v>
      </x:c>
      <x:c r="I235" s="58" t="e">
        <x:f>IF(H235="","",INDEX(等级配置!$B$4:$B$103,H235))</x:f>
        <x:v>#NAME?</x:v>
      </x:c>
      <x:c r="J235" s="58" t="e">
        <x:f>IF(AND(D235="当前已婚",G235&lt;参数与口径!$E$6),"存量兼容Lv1",IF(G235&gt;=等级配置!$C$103,"Lv100溢出","正常"))</x:f>
        <x:v>#NAME?</x:v>
      </x:c>
      <x:c r="K235" s="20" t="str">
        <x:f t="shared" si="3"/>
      </x:c>
    </x:row>
    <x:row r="236" ht="17">
      <x:c r="A236" s="58" t="s">
        <x:v>979</x:v>
      </x:c>
      <x:c r="B236" s="58" t="s">
        <x:v>980</x:v>
      </x:c>
      <x:c r="C236" s="58" t="s">
        <x:v>981</x:v>
      </x:c>
      <x:c r="D236" s="58" t="s">
        <x:v>14</x:v>
      </x:c>
      <x:c r="E236" s="18" t="s">
        <x:v>982</x:v>
      </x:c>
      <x:c r="F236" s="18"/>
      <x:c r="G236" s="126">
        <x:v>1703</x:v>
      </x:c>
      <x:c r="H236" s="126" t="e">
        <x:f>IF(G236="","",IF(G236&lt;参数与口径!$E$6,1,MATCH(G236,等级配置!$C$4:$C$103,1)))</x:f>
        <x:v>#NAME?</x:v>
      </x:c>
      <x:c r="I236" s="58" t="e">
        <x:f>IF(H236="","",INDEX(等级配置!$B$4:$B$103,H236))</x:f>
        <x:v>#NAME?</x:v>
      </x:c>
      <x:c r="J236" s="58" t="e">
        <x:f>IF(AND(D236="当前已婚",G236&lt;参数与口径!$E$6),"存量兼容Lv1",IF(G236&gt;=等级配置!$C$103,"Lv100溢出","正常"))</x:f>
        <x:v>#NAME?</x:v>
      </x:c>
      <x:c r="K236" s="20" t="str">
        <x:f t="shared" si="3"/>
      </x:c>
    </x:row>
    <x:row r="237" ht="17">
      <x:c r="A237" s="58" t="s">
        <x:v>983</x:v>
      </x:c>
      <x:c r="B237" s="58" t="s">
        <x:v>984</x:v>
      </x:c>
      <x:c r="C237" s="58" t="s">
        <x:v>985</x:v>
      </x:c>
      <x:c r="D237" s="58" t="s">
        <x:v>14</x:v>
      </x:c>
      <x:c r="E237" s="18" t="s">
        <x:v>986</x:v>
      </x:c>
      <x:c r="F237" s="18"/>
      <x:c r="G237" s="126">
        <x:v>1497</x:v>
      </x:c>
      <x:c r="H237" s="126" t="e">
        <x:f>IF(G237="","",IF(G237&lt;参数与口径!$E$6,1,MATCH(G237,等级配置!$C$4:$C$103,1)))</x:f>
        <x:v>#NAME?</x:v>
      </x:c>
      <x:c r="I237" s="58" t="e">
        <x:f>IF(H237="","",INDEX(等级配置!$B$4:$B$103,H237))</x:f>
        <x:v>#NAME?</x:v>
      </x:c>
      <x:c r="J237" s="58" t="e">
        <x:f>IF(AND(D237="当前已婚",G237&lt;参数与口径!$E$6),"存量兼容Lv1",IF(G237&gt;=等级配置!$C$103,"Lv100溢出","正常"))</x:f>
        <x:v>#NAME?</x:v>
      </x:c>
      <x:c r="K237" s="20" t="str">
        <x:f t="shared" si="3"/>
      </x:c>
    </x:row>
    <x:row r="238" ht="17">
      <x:c r="A238" s="58" t="s">
        <x:v>987</x:v>
      </x:c>
      <x:c r="B238" s="58" t="s">
        <x:v>988</x:v>
      </x:c>
      <x:c r="C238" s="58" t="s">
        <x:v>989</x:v>
      </x:c>
      <x:c r="D238" s="58" t="s">
        <x:v>14</x:v>
      </x:c>
      <x:c r="E238" s="18" t="s">
        <x:v>990</x:v>
      </x:c>
      <x:c r="F238" s="18" t="s">
        <x:v>991</x:v>
      </x:c>
      <x:c r="G238" s="126">
        <x:v>1201</x:v>
      </x:c>
      <x:c r="H238" s="126" t="e">
        <x:f>IF(G238="","",IF(G238&lt;参数与口径!$E$6,1,MATCH(G238,等级配置!$C$4:$C$103,1)))</x:f>
        <x:v>#NAME?</x:v>
      </x:c>
      <x:c r="I238" s="58" t="e">
        <x:f>IF(H238="","",INDEX(等级配置!$B$4:$B$103,H238))</x:f>
        <x:v>#NAME?</x:v>
      </x:c>
      <x:c r="J238" s="58" t="e">
        <x:f>IF(AND(D238="当前已婚",G238&lt;参数与口径!$E$6),"存量兼容Lv1",IF(G238&gt;=等级配置!$C$103,"Lv100溢出","正常"))</x:f>
        <x:v>#NAME?</x:v>
      </x:c>
      <x:c r="K238" s="20" t="str">
        <x:f t="shared" si="3"/>
        <x:v>当前已婚但存在离婚日期</x:v>
      </x:c>
    </x:row>
    <x:row r="239" ht="17">
      <x:c r="A239" s="58" t="s">
        <x:v>992</x:v>
      </x:c>
      <x:c r="B239" s="58" t="s">
        <x:v>993</x:v>
      </x:c>
      <x:c r="C239" s="58" t="s">
        <x:v>994</x:v>
      </x:c>
      <x:c r="D239" s="58" t="s">
        <x:v>14</x:v>
      </x:c>
      <x:c r="E239" s="18" t="s">
        <x:v>995</x:v>
      </x:c>
      <x:c r="F239" s="18"/>
      <x:c r="G239" s="126">
        <x:v>1087</x:v>
      </x:c>
      <x:c r="H239" s="126" t="e">
        <x:f>IF(G239="","",IF(G239&lt;参数与口径!$E$6,1,MATCH(G239,等级配置!$C$4:$C$103,1)))</x:f>
        <x:v>#NAME?</x:v>
      </x:c>
      <x:c r="I239" s="58" t="e">
        <x:f>IF(H239="","",INDEX(等级配置!$B$4:$B$103,H239))</x:f>
        <x:v>#NAME?</x:v>
      </x:c>
      <x:c r="J239" s="58" t="e">
        <x:f>IF(AND(D239="当前已婚",G239&lt;参数与口径!$E$6),"存量兼容Lv1",IF(G239&gt;=等级配置!$C$103,"Lv100溢出","正常"))</x:f>
        <x:v>#NAME?</x:v>
      </x:c>
      <x:c r="K239" s="20" t="str">
        <x:f t="shared" si="3"/>
      </x:c>
    </x:row>
    <x:row r="240" ht="17">
      <x:c r="A240" s="58" t="s">
        <x:v>996</x:v>
      </x:c>
      <x:c r="B240" s="58" t="s">
        <x:v>997</x:v>
      </x:c>
      <x:c r="C240" s="58" t="s">
        <x:v>998</x:v>
      </x:c>
      <x:c r="D240" s="58" t="s">
        <x:v>14</x:v>
      </x:c>
      <x:c r="E240" s="18" t="s">
        <x:v>999</x:v>
      </x:c>
      <x:c r="F240" s="18"/>
      <x:c r="G240" s="126">
        <x:v>985</x:v>
      </x:c>
      <x:c r="H240" s="126" t="e">
        <x:f>IF(G240="","",IF(G240&lt;参数与口径!$E$6,1,MATCH(G240,等级配置!$C$4:$C$103,1)))</x:f>
        <x:v>#NAME?</x:v>
      </x:c>
      <x:c r="I240" s="58" t="e">
        <x:f>IF(H240="","",INDEX(等级配置!$B$4:$B$103,H240))</x:f>
        <x:v>#NAME?</x:v>
      </x:c>
      <x:c r="J240" s="58" t="e">
        <x:f>IF(AND(D240="当前已婚",G240&lt;参数与口径!$E$6),"存量兼容Lv1",IF(G240&gt;=等级配置!$C$103,"Lv100溢出","正常"))</x:f>
        <x:v>#NAME?</x:v>
      </x:c>
      <x:c r="K240" s="20" t="str">
        <x:f t="shared" si="3"/>
      </x:c>
    </x:row>
    <x:row r="241" ht="17">
      <x:c r="A241" s="58" t="s">
        <x:v>1000</x:v>
      </x:c>
      <x:c r="B241" s="58" t="s">
        <x:v>1001</x:v>
      </x:c>
      <x:c r="C241" s="58" t="s">
        <x:v>1002</x:v>
      </x:c>
      <x:c r="D241" s="58" t="s">
        <x:v>14</x:v>
      </x:c>
      <x:c r="E241" s="18" t="s">
        <x:v>1003</x:v>
      </x:c>
      <x:c r="F241" s="18"/>
      <x:c r="G241" s="126">
        <x:v>956</x:v>
      </x:c>
      <x:c r="H241" s="126" t="e">
        <x:f>IF(G241="","",IF(G241&lt;参数与口径!$E$6,1,MATCH(G241,等级配置!$C$4:$C$103,1)))</x:f>
        <x:v>#NAME?</x:v>
      </x:c>
      <x:c r="I241" s="58" t="e">
        <x:f>IF(H241="","",INDEX(等级配置!$B$4:$B$103,H241))</x:f>
        <x:v>#NAME?</x:v>
      </x:c>
      <x:c r="J241" s="58" t="e">
        <x:f>IF(AND(D241="当前已婚",G241&lt;参数与口径!$E$6),"存量兼容Lv1",IF(G241&gt;=等级配置!$C$103,"Lv100溢出","正常"))</x:f>
        <x:v>#NAME?</x:v>
      </x:c>
      <x:c r="K241" s="20" t="str">
        <x:f t="shared" si="3"/>
      </x:c>
    </x:row>
    <x:row r="242" ht="17">
      <x:c r="A242" s="58" t="s">
        <x:v>1004</x:v>
      </x:c>
      <x:c r="B242" s="58" t="s">
        <x:v>1005</x:v>
      </x:c>
      <x:c r="C242" s="58" t="s">
        <x:v>1006</x:v>
      </x:c>
      <x:c r="D242" s="58" t="s">
        <x:v>14</x:v>
      </x:c>
      <x:c r="E242" s="18" t="s">
        <x:v>1007</x:v>
      </x:c>
      <x:c r="F242" s="18"/>
      <x:c r="G242" s="126">
        <x:v>947</x:v>
      </x:c>
      <x:c r="H242" s="126" t="e">
        <x:f>IF(G242="","",IF(G242&lt;参数与口径!$E$6,1,MATCH(G242,等级配置!$C$4:$C$103,1)))</x:f>
        <x:v>#NAME?</x:v>
      </x:c>
      <x:c r="I242" s="58" t="e">
        <x:f>IF(H242="","",INDEX(等级配置!$B$4:$B$103,H242))</x:f>
        <x:v>#NAME?</x:v>
      </x:c>
      <x:c r="J242" s="58" t="e">
        <x:f>IF(AND(D242="当前已婚",G242&lt;参数与口径!$E$6),"存量兼容Lv1",IF(G242&gt;=等级配置!$C$103,"Lv100溢出","正常"))</x:f>
        <x:v>#NAME?</x:v>
      </x:c>
      <x:c r="K242" s="20" t="str">
        <x:f t="shared" si="3"/>
      </x:c>
    </x:row>
    <x:row r="243" ht="17">
      <x:c r="A243" s="58" t="s">
        <x:v>1008</x:v>
      </x:c>
      <x:c r="B243" s="58" t="s">
        <x:v>1009</x:v>
      </x:c>
      <x:c r="C243" s="58" t="s">
        <x:v>1010</x:v>
      </x:c>
      <x:c r="D243" s="58" t="s">
        <x:v>14</x:v>
      </x:c>
      <x:c r="E243" s="18" t="s">
        <x:v>1011</x:v>
      </x:c>
      <x:c r="F243" s="18"/>
      <x:c r="G243" s="126">
        <x:v>588</x:v>
      </x:c>
      <x:c r="H243" s="126" t="e">
        <x:f>IF(G243="","",IF(G243&lt;参数与口径!$E$6,1,MATCH(G243,等级配置!$C$4:$C$103,1)))</x:f>
        <x:v>#NAME?</x:v>
      </x:c>
      <x:c r="I243" s="58" t="e">
        <x:f>IF(H243="","",INDEX(等级配置!$B$4:$B$103,H243))</x:f>
        <x:v>#NAME?</x:v>
      </x:c>
      <x:c r="J243" s="58" t="e">
        <x:f>IF(AND(D243="当前已婚",G243&lt;参数与口径!$E$6),"存量兼容Lv1",IF(G243&gt;=等级配置!$C$103,"Lv100溢出","正常"))</x:f>
        <x:v>#NAME?</x:v>
      </x:c>
      <x:c r="K243" s="20" t="str">
        <x:f t="shared" si="3"/>
      </x:c>
    </x:row>
    <x:row r="244" ht="17">
      <x:c r="A244" s="58" t="s">
        <x:v>1012</x:v>
      </x:c>
      <x:c r="B244" s="58" t="s">
        <x:v>1013</x:v>
      </x:c>
      <x:c r="C244" s="58" t="s">
        <x:v>1014</x:v>
      </x:c>
      <x:c r="D244" s="58" t="s">
        <x:v>14</x:v>
      </x:c>
      <x:c r="E244" s="18" t="s">
        <x:v>1015</x:v>
      </x:c>
      <x:c r="F244" s="18"/>
      <x:c r="G244" s="126">
        <x:v>585</x:v>
      </x:c>
      <x:c r="H244" s="126" t="e">
        <x:f>IF(G244="","",IF(G244&lt;参数与口径!$E$6,1,MATCH(G244,等级配置!$C$4:$C$103,1)))</x:f>
        <x:v>#NAME?</x:v>
      </x:c>
      <x:c r="I244" s="58" t="e">
        <x:f>IF(H244="","",INDEX(等级配置!$B$4:$B$103,H244))</x:f>
        <x:v>#NAME?</x:v>
      </x:c>
      <x:c r="J244" s="58" t="e">
        <x:f>IF(AND(D244="当前已婚",G244&lt;参数与口径!$E$6),"存量兼容Lv1",IF(G244&gt;=等级配置!$C$103,"Lv100溢出","正常"))</x:f>
        <x:v>#NAME?</x:v>
      </x:c>
      <x:c r="K244" s="20" t="str">
        <x:f t="shared" si="3"/>
      </x:c>
    </x:row>
    <x:row r="245" ht="17">
      <x:c r="A245" s="58" t="s">
        <x:v>1016</x:v>
      </x:c>
      <x:c r="B245" s="58" t="s">
        <x:v>1017</x:v>
      </x:c>
      <x:c r="C245" s="58" t="s">
        <x:v>1018</x:v>
      </x:c>
      <x:c r="D245" s="58" t="s">
        <x:v>14</x:v>
      </x:c>
      <x:c r="E245" s="18" t="s">
        <x:v>1019</x:v>
      </x:c>
      <x:c r="F245" s="18"/>
      <x:c r="G245" s="126">
        <x:v>534</x:v>
      </x:c>
      <x:c r="H245" s="126" t="e">
        <x:f>IF(G245="","",IF(G245&lt;参数与口径!$E$6,1,MATCH(G245,等级配置!$C$4:$C$103,1)))</x:f>
        <x:v>#NAME?</x:v>
      </x:c>
      <x:c r="I245" s="58" t="e">
        <x:f>IF(H245="","",INDEX(等级配置!$B$4:$B$103,H245))</x:f>
        <x:v>#NAME?</x:v>
      </x:c>
      <x:c r="J245" s="58" t="e">
        <x:f>IF(AND(D245="当前已婚",G245&lt;参数与口径!$E$6),"存量兼容Lv1",IF(G245&gt;=等级配置!$C$103,"Lv100溢出","正常"))</x:f>
        <x:v>#NAME?</x:v>
      </x:c>
      <x:c r="K245" s="20" t="str">
        <x:f t="shared" si="3"/>
      </x:c>
    </x:row>
    <x:row r="246" ht="17">
      <x:c r="A246" s="58" t="s">
        <x:v>1020</x:v>
      </x:c>
      <x:c r="B246" s="58" t="s">
        <x:v>1021</x:v>
      </x:c>
      <x:c r="C246" s="58" t="s">
        <x:v>1022</x:v>
      </x:c>
      <x:c r="D246" s="58" t="s">
        <x:v>14</x:v>
      </x:c>
      <x:c r="E246" s="18" t="s">
        <x:v>1023</x:v>
      </x:c>
      <x:c r="F246" s="18"/>
      <x:c r="G246" s="126">
        <x:v>0</x:v>
      </x:c>
      <x:c r="H246" s="126" t="e">
        <x:f>IF(G246="","",IF(G246&lt;参数与口径!$E$6,1,MATCH(G246,等级配置!$C$4:$C$103,1)))</x:f>
        <x:v>#NAME?</x:v>
      </x:c>
      <x:c r="I246" s="58" t="e">
        <x:f>IF(H246="","",INDEX(等级配置!$B$4:$B$103,H246))</x:f>
        <x:v>#NAME?</x:v>
      </x:c>
      <x:c r="J246" s="58" t="e">
        <x:f>IF(AND(D246="当前已婚",G246&lt;参数与口径!$E$6),"存量兼容Lv1",IF(G246&gt;=等级配置!$C$103,"Lv100溢出","正常"))</x:f>
        <x:v>#NAME?</x:v>
      </x:c>
      <x:c r="K246" s="20" t="str">
        <x:f t="shared" si="3"/>
        <x:v>当前CP亲密值为0</x:v>
      </x:c>
    </x:row>
    <x:row r="247" ht="17">
      <x:c r="A247" s="58" t="s">
        <x:v>1024</x:v>
      </x:c>
      <x:c r="B247" s="58" t="s">
        <x:v>1025</x:v>
      </x:c>
      <x:c r="C247" s="58" t="s">
        <x:v>1026</x:v>
      </x:c>
      <x:c r="D247" s="58" t="s">
        <x:v>14</x:v>
      </x:c>
      <x:c r="E247" s="18" t="s">
        <x:v>1027</x:v>
      </x:c>
      <x:c r="F247" s="18"/>
      <x:c r="G247" s="126">
        <x:v>0</x:v>
      </x:c>
      <x:c r="H247" s="126" t="e">
        <x:f>IF(G247="","",IF(G247&lt;参数与口径!$E$6,1,MATCH(G247,等级配置!$C$4:$C$103,1)))</x:f>
        <x:v>#NAME?</x:v>
      </x:c>
      <x:c r="I247" s="58" t="e">
        <x:f>IF(H247="","",INDEX(等级配置!$B$4:$B$103,H247))</x:f>
        <x:v>#NAME?</x:v>
      </x:c>
      <x:c r="J247" s="58" t="e">
        <x:f>IF(AND(D247="当前已婚",G247&lt;参数与口径!$E$6),"存量兼容Lv1",IF(G247&gt;=等级配置!$C$103,"Lv100溢出","正常"))</x:f>
        <x:v>#NAME?</x:v>
      </x:c>
      <x:c r="K247" s="20" t="str">
        <x:f t="shared" si="3"/>
        <x:v>当前CP亲密值为0</x:v>
      </x:c>
    </x:row>
    <x:row r="248" ht="17">
      <x:c r="A248" s="58" t="s">
        <x:v>1028</x:v>
      </x:c>
      <x:c r="B248" s="58" t="s">
        <x:v>1029</x:v>
      </x:c>
      <x:c r="C248" s="58" t="s">
        <x:v>1030</x:v>
      </x:c>
      <x:c r="D248" s="58" t="s">
        <x:v>14</x:v>
      </x:c>
      <x:c r="E248" s="18" t="s">
        <x:v>1031</x:v>
      </x:c>
      <x:c r="F248" s="18"/>
      <x:c r="G248" s="126">
        <x:v>0</x:v>
      </x:c>
      <x:c r="H248" s="126" t="e">
        <x:f>IF(G248="","",IF(G248&lt;参数与口径!$E$6,1,MATCH(G248,等级配置!$C$4:$C$103,1)))</x:f>
        <x:v>#NAME?</x:v>
      </x:c>
      <x:c r="I248" s="58" t="e">
        <x:f>IF(H248="","",INDEX(等级配置!$B$4:$B$103,H248))</x:f>
        <x:v>#NAME?</x:v>
      </x:c>
      <x:c r="J248" s="58" t="e">
        <x:f>IF(AND(D248="当前已婚",G248&lt;参数与口径!$E$6),"存量兼容Lv1",IF(G248&gt;=等级配置!$C$103,"Lv100溢出","正常"))</x:f>
        <x:v>#NAME?</x:v>
      </x:c>
      <x:c r="K248" s="20" t="str">
        <x:f t="shared" si="3"/>
        <x:v>当前CP亲密值为0</x:v>
      </x:c>
    </x:row>
    <x:row r="249" ht="17">
      <x:c r="A249" s="58" t="s">
        <x:v>1032</x:v>
      </x:c>
      <x:c r="B249" s="58" t="s">
        <x:v>1033</x:v>
      </x:c>
      <x:c r="C249" s="58" t="s">
        <x:v>1034</x:v>
      </x:c>
      <x:c r="D249" s="58" t="s">
        <x:v>14</x:v>
      </x:c>
      <x:c r="E249" s="18" t="s">
        <x:v>1035</x:v>
      </x:c>
      <x:c r="F249" s="18"/>
      <x:c r="G249" s="126">
        <x:v>0</x:v>
      </x:c>
      <x:c r="H249" s="126" t="e">
        <x:f>IF(G249="","",IF(G249&lt;参数与口径!$E$6,1,MATCH(G249,等级配置!$C$4:$C$103,1)))</x:f>
        <x:v>#NAME?</x:v>
      </x:c>
      <x:c r="I249" s="58" t="e">
        <x:f>IF(H249="","",INDEX(等级配置!$B$4:$B$103,H249))</x:f>
        <x:v>#NAME?</x:v>
      </x:c>
      <x:c r="J249" s="58" t="e">
        <x:f>IF(AND(D249="当前已婚",G249&lt;参数与口径!$E$6),"存量兼容Lv1",IF(G249&gt;=等级配置!$C$103,"Lv100溢出","正常"))</x:f>
        <x:v>#NAME?</x:v>
      </x:c>
      <x:c r="K249" s="20" t="str">
        <x:f t="shared" si="3"/>
        <x:v>当前CP亲密值为0</x:v>
      </x:c>
    </x:row>
    <x:row r="250" ht="17">
      <x:c r="A250" s="58" t="s">
        <x:v>1036</x:v>
      </x:c>
      <x:c r="B250" s="58" t="s">
        <x:v>1037</x:v>
      </x:c>
      <x:c r="C250" s="58" t="s">
        <x:v>1038</x:v>
      </x:c>
      <x:c r="D250" s="58" t="s">
        <x:v>14</x:v>
      </x:c>
      <x:c r="E250" s="18" t="s">
        <x:v>1039</x:v>
      </x:c>
      <x:c r="F250" s="18"/>
      <x:c r="G250" s="126">
        <x:v>0</x:v>
      </x:c>
      <x:c r="H250" s="126" t="e">
        <x:f>IF(G250="","",IF(G250&lt;参数与口径!$E$6,1,MATCH(G250,等级配置!$C$4:$C$103,1)))</x:f>
        <x:v>#NAME?</x:v>
      </x:c>
      <x:c r="I250" s="58" t="e">
        <x:f>IF(H250="","",INDEX(等级配置!$B$4:$B$103,H250))</x:f>
        <x:v>#NAME?</x:v>
      </x:c>
      <x:c r="J250" s="58" t="e">
        <x:f>IF(AND(D250="当前已婚",G250&lt;参数与口径!$E$6),"存量兼容Lv1",IF(G250&gt;=等级配置!$C$103,"Lv100溢出","正常"))</x:f>
        <x:v>#NAME?</x:v>
      </x:c>
      <x:c r="K250" s="20" t="str">
        <x:f t="shared" si="3"/>
        <x:v>当前CP亲密值为0</x:v>
      </x:c>
    </x:row>
    <x:row r="251" ht="17">
      <x:c r="A251" s="58" t="s">
        <x:v>1040</x:v>
      </x:c>
      <x:c r="B251" s="58" t="s">
        <x:v>1041</x:v>
      </x:c>
      <x:c r="C251" s="58" t="s">
        <x:v>1042</x:v>
      </x:c>
      <x:c r="D251" s="58" t="s">
        <x:v>14</x:v>
      </x:c>
      <x:c r="E251" s="18" t="s">
        <x:v>1043</x:v>
      </x:c>
      <x:c r="F251" s="18"/>
      <x:c r="G251" s="126">
        <x:v>0</x:v>
      </x:c>
      <x:c r="H251" s="126" t="e">
        <x:f>IF(G251="","",IF(G251&lt;参数与口径!$E$6,1,MATCH(G251,等级配置!$C$4:$C$103,1)))</x:f>
        <x:v>#NAME?</x:v>
      </x:c>
      <x:c r="I251" s="58" t="e">
        <x:f>IF(H251="","",INDEX(等级配置!$B$4:$B$103,H251))</x:f>
        <x:v>#NAME?</x:v>
      </x:c>
      <x:c r="J251" s="58" t="e">
        <x:f>IF(AND(D251="当前已婚",G251&lt;参数与口径!$E$6),"存量兼容Lv1",IF(G251&gt;=等级配置!$C$103,"Lv100溢出","正常"))</x:f>
        <x:v>#NAME?</x:v>
      </x:c>
      <x:c r="K251" s="20" t="str">
        <x:f t="shared" si="3"/>
        <x:v>当前CP亲密值为0</x:v>
      </x:c>
    </x:row>
    <x:row r="252" ht="17">
      <x:c r="A252" s="58" t="s">
        <x:v>1044</x:v>
      </x:c>
      <x:c r="B252" s="58" t="s">
        <x:v>1045</x:v>
      </x:c>
      <x:c r="C252" s="58" t="s">
        <x:v>1046</x:v>
      </x:c>
      <x:c r="D252" s="58" t="s">
        <x:v>14</x:v>
      </x:c>
      <x:c r="E252" s="18" t="s">
        <x:v>1047</x:v>
      </x:c>
      <x:c r="F252" s="18"/>
      <x:c r="G252" s="126">
        <x:v>0</x:v>
      </x:c>
      <x:c r="H252" s="126" t="e">
        <x:f>IF(G252="","",IF(G252&lt;参数与口径!$E$6,1,MATCH(G252,等级配置!$C$4:$C$103,1)))</x:f>
        <x:v>#NAME?</x:v>
      </x:c>
      <x:c r="I252" s="58" t="e">
        <x:f>IF(H252="","",INDEX(等级配置!$B$4:$B$103,H252))</x:f>
        <x:v>#NAME?</x:v>
      </x:c>
      <x:c r="J252" s="58" t="e">
        <x:f>IF(AND(D252="当前已婚",G252&lt;参数与口径!$E$6),"存量兼容Lv1",IF(G252&gt;=等级配置!$C$103,"Lv100溢出","正常"))</x:f>
        <x:v>#NAME?</x:v>
      </x:c>
      <x:c r="K252" s="20" t="str">
        <x:f t="shared" si="3"/>
        <x:v>当前CP亲密值为0</x:v>
      </x:c>
    </x:row>
    <x:row r="253" ht="17">
      <x:c r="A253" s="58" t="s">
        <x:v>1048</x:v>
      </x:c>
      <x:c r="B253" s="58" t="s">
        <x:v>1049</x:v>
      </x:c>
      <x:c r="C253" s="58" t="s">
        <x:v>1050</x:v>
      </x:c>
      <x:c r="D253" s="58" t="s">
        <x:v>14</x:v>
      </x:c>
      <x:c r="E253" s="18" t="s">
        <x:v>1051</x:v>
      </x:c>
      <x:c r="F253" s="18"/>
      <x:c r="G253" s="126">
        <x:v>0</x:v>
      </x:c>
      <x:c r="H253" s="126" t="e">
        <x:f>IF(G253="","",IF(G253&lt;参数与口径!$E$6,1,MATCH(G253,等级配置!$C$4:$C$103,1)))</x:f>
        <x:v>#NAME?</x:v>
      </x:c>
      <x:c r="I253" s="58" t="e">
        <x:f>IF(H253="","",INDEX(等级配置!$B$4:$B$103,H253))</x:f>
        <x:v>#NAME?</x:v>
      </x:c>
      <x:c r="J253" s="58" t="e">
        <x:f>IF(AND(D253="当前已婚",G253&lt;参数与口径!$E$6),"存量兼容Lv1",IF(G253&gt;=等级配置!$C$103,"Lv100溢出","正常"))</x:f>
        <x:v>#NAME?</x:v>
      </x:c>
      <x:c r="K253" s="20" t="str">
        <x:f t="shared" si="3"/>
        <x:v>当前CP亲密值为0</x:v>
      </x:c>
    </x:row>
    <x:row r="254" ht="17">
      <x:c r="A254" s="58" t="s">
        <x:v>1052</x:v>
      </x:c>
      <x:c r="B254" s="58" t="s">
        <x:v>1053</x:v>
      </x:c>
      <x:c r="C254" s="58" t="s">
        <x:v>1054</x:v>
      </x:c>
      <x:c r="D254" s="58" t="s">
        <x:v>14</x:v>
      </x:c>
      <x:c r="E254" s="18" t="s">
        <x:v>1055</x:v>
      </x:c>
      <x:c r="F254" s="18"/>
      <x:c r="G254" s="126">
        <x:v>0</x:v>
      </x:c>
      <x:c r="H254" s="126" t="e">
        <x:f>IF(G254="","",IF(G254&lt;参数与口径!$E$6,1,MATCH(G254,等级配置!$C$4:$C$103,1)))</x:f>
        <x:v>#NAME?</x:v>
      </x:c>
      <x:c r="I254" s="58" t="e">
        <x:f>IF(H254="","",INDEX(等级配置!$B$4:$B$103,H254))</x:f>
        <x:v>#NAME?</x:v>
      </x:c>
      <x:c r="J254" s="58" t="e">
        <x:f>IF(AND(D254="当前已婚",G254&lt;参数与口径!$E$6),"存量兼容Lv1",IF(G254&gt;=等级配置!$C$103,"Lv100溢出","正常"))</x:f>
        <x:v>#NAME?</x:v>
      </x:c>
      <x:c r="K254" s="20" t="str">
        <x:f t="shared" si="3"/>
        <x:v>当前CP亲密值为0</x:v>
      </x:c>
    </x:row>
    <x:row r="255" ht="17">
      <x:c r="A255" s="58" t="s">
        <x:v>1056</x:v>
      </x:c>
      <x:c r="B255" s="58" t="s">
        <x:v>1057</x:v>
      </x:c>
      <x:c r="C255" s="58" t="s">
        <x:v>1058</x:v>
      </x:c>
      <x:c r="D255" s="58" t="s">
        <x:v>14</x:v>
      </x:c>
      <x:c r="E255" s="18" t="s">
        <x:v>1059</x:v>
      </x:c>
      <x:c r="F255" s="18"/>
      <x:c r="G255" s="126">
        <x:v>0</x:v>
      </x:c>
      <x:c r="H255" s="126" t="e">
        <x:f>IF(G255="","",IF(G255&lt;参数与口径!$E$6,1,MATCH(G255,等级配置!$C$4:$C$103,1)))</x:f>
        <x:v>#NAME?</x:v>
      </x:c>
      <x:c r="I255" s="58" t="e">
        <x:f>IF(H255="","",INDEX(等级配置!$B$4:$B$103,H255))</x:f>
        <x:v>#NAME?</x:v>
      </x:c>
      <x:c r="J255" s="58" t="e">
        <x:f>IF(AND(D255="当前已婚",G255&lt;参数与口径!$E$6),"存量兼容Lv1",IF(G255&gt;=等级配置!$C$103,"Lv100溢出","正常"))</x:f>
        <x:v>#NAME?</x:v>
      </x:c>
      <x:c r="K255" s="20" t="str">
        <x:f t="shared" si="3"/>
        <x:v>当前CP亲密值为0</x:v>
      </x:c>
    </x:row>
    <x:row r="256" ht="17">
      <x:c r="A256" s="58" t="s">
        <x:v>1060</x:v>
      </x:c>
      <x:c r="B256" s="58" t="s">
        <x:v>1061</x:v>
      </x:c>
      <x:c r="C256" s="58" t="s">
        <x:v>1062</x:v>
      </x:c>
      <x:c r="D256" s="58" t="s">
        <x:v>14</x:v>
      </x:c>
      <x:c r="E256" s="18" t="s">
        <x:v>1063</x:v>
      </x:c>
      <x:c r="F256" s="18"/>
      <x:c r="G256" s="126">
        <x:v>0</x:v>
      </x:c>
      <x:c r="H256" s="126" t="e">
        <x:f>IF(G256="","",IF(G256&lt;参数与口径!$E$6,1,MATCH(G256,等级配置!$C$4:$C$103,1)))</x:f>
        <x:v>#NAME?</x:v>
      </x:c>
      <x:c r="I256" s="58" t="e">
        <x:f>IF(H256="","",INDEX(等级配置!$B$4:$B$103,H256))</x:f>
        <x:v>#NAME?</x:v>
      </x:c>
      <x:c r="J256" s="58" t="e">
        <x:f>IF(AND(D256="当前已婚",G256&lt;参数与口径!$E$6),"存量兼容Lv1",IF(G256&gt;=等级配置!$C$103,"Lv100溢出","正常"))</x:f>
        <x:v>#NAME?</x:v>
      </x:c>
      <x:c r="K256" s="20" t="str">
        <x:f t="shared" si="3"/>
        <x:v>当前CP亲密值为0</x:v>
      </x:c>
    </x:row>
    <x:row r="257" ht="17">
      <x:c r="A257" s="58" t="s">
        <x:v>1064</x:v>
      </x:c>
      <x:c r="B257" s="58" t="s">
        <x:v>1065</x:v>
      </x:c>
      <x:c r="C257" s="58" t="s">
        <x:v>1066</x:v>
      </x:c>
      <x:c r="D257" s="58" t="s">
        <x:v>14</x:v>
      </x:c>
      <x:c r="E257" s="18" t="s">
        <x:v>1067</x:v>
      </x:c>
      <x:c r="F257" s="18"/>
      <x:c r="G257" s="126">
        <x:v>0</x:v>
      </x:c>
      <x:c r="H257" s="126" t="e">
        <x:f>IF(G257="","",IF(G257&lt;参数与口径!$E$6,1,MATCH(G257,等级配置!$C$4:$C$103,1)))</x:f>
        <x:v>#NAME?</x:v>
      </x:c>
      <x:c r="I257" s="58" t="e">
        <x:f>IF(H257="","",INDEX(等级配置!$B$4:$B$103,H257))</x:f>
        <x:v>#NAME?</x:v>
      </x:c>
      <x:c r="J257" s="58" t="e">
        <x:f>IF(AND(D257="当前已婚",G257&lt;参数与口径!$E$6),"存量兼容Lv1",IF(G257&gt;=等级配置!$C$103,"Lv100溢出","正常"))</x:f>
        <x:v>#NAME?</x:v>
      </x:c>
      <x:c r="K257" s="20" t="str">
        <x:f t="shared" si="3"/>
        <x:v>当前CP亲密值为0</x:v>
      </x:c>
    </x:row>
    <x:row r="258" ht="17">
      <x:c r="A258" s="58" t="s">
        <x:v>1068</x:v>
      </x:c>
      <x:c r="B258" s="58" t="s">
        <x:v>1069</x:v>
      </x:c>
      <x:c r="C258" s="58" t="s">
        <x:v>1070</x:v>
      </x:c>
      <x:c r="D258" s="58" t="s">
        <x:v>14</x:v>
      </x:c>
      <x:c r="E258" s="18" t="s">
        <x:v>1071</x:v>
      </x:c>
      <x:c r="F258" s="18"/>
      <x:c r="G258" s="126">
        <x:v>0</x:v>
      </x:c>
      <x:c r="H258" s="126" t="e">
        <x:f>IF(G258="","",IF(G258&lt;参数与口径!$E$6,1,MATCH(G258,等级配置!$C$4:$C$103,1)))</x:f>
        <x:v>#NAME?</x:v>
      </x:c>
      <x:c r="I258" s="58" t="e">
        <x:f>IF(H258="","",INDEX(等级配置!$B$4:$B$103,H258))</x:f>
        <x:v>#NAME?</x:v>
      </x:c>
      <x:c r="J258" s="58" t="e">
        <x:f>IF(AND(D258="当前已婚",G258&lt;参数与口径!$E$6),"存量兼容Lv1",IF(G258&gt;=等级配置!$C$103,"Lv100溢出","正常"))</x:f>
        <x:v>#NAME?</x:v>
      </x:c>
      <x:c r="K258" s="20" t="str">
        <x:f t="shared" ref="K258:K321" si="4">IF(AND(D258="当前已婚",F258&lt;&gt;""),"当前已婚但存在离婚日期",IF(AND(D258="当前已婚",G258=0),"当前CP亲密值为0",""))</x:f>
        <x:v>当前CP亲密值为0</x:v>
      </x:c>
    </x:row>
    <x:row r="259" ht="17">
      <x:c r="A259" s="58" t="s">
        <x:v>1072</x:v>
      </x:c>
      <x:c r="B259" s="58" t="s">
        <x:v>1073</x:v>
      </x:c>
      <x:c r="C259" s="58" t="s">
        <x:v>1074</x:v>
      </x:c>
      <x:c r="D259" s="58" t="s">
        <x:v>14</x:v>
      </x:c>
      <x:c r="E259" s="18" t="s">
        <x:v>1075</x:v>
      </x:c>
      <x:c r="F259" s="18"/>
      <x:c r="G259" s="126">
        <x:v>0</x:v>
      </x:c>
      <x:c r="H259" s="126" t="e">
        <x:f>IF(G259="","",IF(G259&lt;参数与口径!$E$6,1,MATCH(G259,等级配置!$C$4:$C$103,1)))</x:f>
        <x:v>#NAME?</x:v>
      </x:c>
      <x:c r="I259" s="58" t="e">
        <x:f>IF(H259="","",INDEX(等级配置!$B$4:$B$103,H259))</x:f>
        <x:v>#NAME?</x:v>
      </x:c>
      <x:c r="J259" s="58" t="e">
        <x:f>IF(AND(D259="当前已婚",G259&lt;参数与口径!$E$6),"存量兼容Lv1",IF(G259&gt;=等级配置!$C$103,"Lv100溢出","正常"))</x:f>
        <x:v>#NAME?</x:v>
      </x:c>
      <x:c r="K259" s="20" t="str">
        <x:f t="shared" si="4"/>
        <x:v>当前CP亲密值为0</x:v>
      </x:c>
    </x:row>
    <x:row r="260" ht="17">
      <x:c r="A260" s="58" t="s">
        <x:v>1076</x:v>
      </x:c>
      <x:c r="B260" s="58" t="s">
        <x:v>1077</x:v>
      </x:c>
      <x:c r="C260" s="58" t="s">
        <x:v>1078</x:v>
      </x:c>
      <x:c r="D260" s="58" t="s">
        <x:v>14</x:v>
      </x:c>
      <x:c r="E260" s="18" t="s">
        <x:v>1079</x:v>
      </x:c>
      <x:c r="F260" s="18"/>
      <x:c r="G260" s="126">
        <x:v>0</x:v>
      </x:c>
      <x:c r="H260" s="126" t="e">
        <x:f>IF(G260="","",IF(G260&lt;参数与口径!$E$6,1,MATCH(G260,等级配置!$C$4:$C$103,1)))</x:f>
        <x:v>#NAME?</x:v>
      </x:c>
      <x:c r="I260" s="58" t="e">
        <x:f>IF(H260="","",INDEX(等级配置!$B$4:$B$103,H260))</x:f>
        <x:v>#NAME?</x:v>
      </x:c>
      <x:c r="J260" s="58" t="e">
        <x:f>IF(AND(D260="当前已婚",G260&lt;参数与口径!$E$6),"存量兼容Lv1",IF(G260&gt;=等级配置!$C$103,"Lv100溢出","正常"))</x:f>
        <x:v>#NAME?</x:v>
      </x:c>
      <x:c r="K260" s="20" t="str">
        <x:f t="shared" si="4"/>
        <x:v>当前CP亲密值为0</x:v>
      </x:c>
    </x:row>
    <x:row r="261" ht="17">
      <x:c r="A261" s="58" t="s">
        <x:v>1080</x:v>
      </x:c>
      <x:c r="B261" s="58" t="s">
        <x:v>1081</x:v>
      </x:c>
      <x:c r="C261" s="58" t="s">
        <x:v>1082</x:v>
      </x:c>
      <x:c r="D261" s="58" t="s">
        <x:v>14</x:v>
      </x:c>
      <x:c r="E261" s="18" t="s">
        <x:v>1083</x:v>
      </x:c>
      <x:c r="F261" s="18"/>
      <x:c r="G261" s="126">
        <x:v>0</x:v>
      </x:c>
      <x:c r="H261" s="126" t="e">
        <x:f>IF(G261="","",IF(G261&lt;参数与口径!$E$6,1,MATCH(G261,等级配置!$C$4:$C$103,1)))</x:f>
        <x:v>#NAME?</x:v>
      </x:c>
      <x:c r="I261" s="58" t="e">
        <x:f>IF(H261="","",INDEX(等级配置!$B$4:$B$103,H261))</x:f>
        <x:v>#NAME?</x:v>
      </x:c>
      <x:c r="J261" s="58" t="e">
        <x:f>IF(AND(D261="当前已婚",G261&lt;参数与口径!$E$6),"存量兼容Lv1",IF(G261&gt;=等级配置!$C$103,"Lv100溢出","正常"))</x:f>
        <x:v>#NAME?</x:v>
      </x:c>
      <x:c r="K261" s="20" t="str">
        <x:f t="shared" si="4"/>
        <x:v>当前CP亲密值为0</x:v>
      </x:c>
    </x:row>
    <x:row r="262" ht="17">
      <x:c r="A262" s="58" t="s">
        <x:v>1084</x:v>
      </x:c>
      <x:c r="B262" s="58" t="s">
        <x:v>1085</x:v>
      </x:c>
      <x:c r="C262" s="58" t="s">
        <x:v>1086</x:v>
      </x:c>
      <x:c r="D262" s="58" t="s">
        <x:v>14</x:v>
      </x:c>
      <x:c r="E262" s="18" t="s">
        <x:v>1087</x:v>
      </x:c>
      <x:c r="F262" s="18"/>
      <x:c r="G262" s="126">
        <x:v>0</x:v>
      </x:c>
      <x:c r="H262" s="126" t="e">
        <x:f>IF(G262="","",IF(G262&lt;参数与口径!$E$6,1,MATCH(G262,等级配置!$C$4:$C$103,1)))</x:f>
        <x:v>#NAME?</x:v>
      </x:c>
      <x:c r="I262" s="58" t="e">
        <x:f>IF(H262="","",INDEX(等级配置!$B$4:$B$103,H262))</x:f>
        <x:v>#NAME?</x:v>
      </x:c>
      <x:c r="J262" s="58" t="e">
        <x:f>IF(AND(D262="当前已婚",G262&lt;参数与口径!$E$6),"存量兼容Lv1",IF(G262&gt;=等级配置!$C$103,"Lv100溢出","正常"))</x:f>
        <x:v>#NAME?</x:v>
      </x:c>
      <x:c r="K262" s="20" t="str">
        <x:f t="shared" si="4"/>
        <x:v>当前CP亲密值为0</x:v>
      </x:c>
    </x:row>
    <x:row r="263" ht="17">
      <x:c r="A263" s="58" t="s">
        <x:v>1088</x:v>
      </x:c>
      <x:c r="B263" s="58" t="s">
        <x:v>1089</x:v>
      </x:c>
      <x:c r="C263" s="58" t="s">
        <x:v>1090</x:v>
      </x:c>
      <x:c r="D263" s="58" t="s">
        <x:v>14</x:v>
      </x:c>
      <x:c r="E263" s="18" t="s">
        <x:v>1091</x:v>
      </x:c>
      <x:c r="F263" s="18"/>
      <x:c r="G263" s="126">
        <x:v>0</x:v>
      </x:c>
      <x:c r="H263" s="126" t="e">
        <x:f>IF(G263="","",IF(G263&lt;参数与口径!$E$6,1,MATCH(G263,等级配置!$C$4:$C$103,1)))</x:f>
        <x:v>#NAME?</x:v>
      </x:c>
      <x:c r="I263" s="58" t="e">
        <x:f>IF(H263="","",INDEX(等级配置!$B$4:$B$103,H263))</x:f>
        <x:v>#NAME?</x:v>
      </x:c>
      <x:c r="J263" s="58" t="e">
        <x:f>IF(AND(D263="当前已婚",G263&lt;参数与口径!$E$6),"存量兼容Lv1",IF(G263&gt;=等级配置!$C$103,"Lv100溢出","正常"))</x:f>
        <x:v>#NAME?</x:v>
      </x:c>
      <x:c r="K263" s="20" t="str">
        <x:f t="shared" si="4"/>
        <x:v>当前CP亲密值为0</x:v>
      </x:c>
    </x:row>
    <x:row r="264" ht="17">
      <x:c r="A264" s="58" t="s">
        <x:v>1092</x:v>
      </x:c>
      <x:c r="B264" s="58" t="s">
        <x:v>1093</x:v>
      </x:c>
      <x:c r="C264" s="58" t="s">
        <x:v>1094</x:v>
      </x:c>
      <x:c r="D264" s="58" t="s">
        <x:v>14</x:v>
      </x:c>
      <x:c r="E264" s="18" t="s">
        <x:v>1095</x:v>
      </x:c>
      <x:c r="F264" s="18"/>
      <x:c r="G264" s="126">
        <x:v>0</x:v>
      </x:c>
      <x:c r="H264" s="126" t="e">
        <x:f>IF(G264="","",IF(G264&lt;参数与口径!$E$6,1,MATCH(G264,等级配置!$C$4:$C$103,1)))</x:f>
        <x:v>#NAME?</x:v>
      </x:c>
      <x:c r="I264" s="58" t="e">
        <x:f>IF(H264="","",INDEX(等级配置!$B$4:$B$103,H264))</x:f>
        <x:v>#NAME?</x:v>
      </x:c>
      <x:c r="J264" s="58" t="e">
        <x:f>IF(AND(D264="当前已婚",G264&lt;参数与口径!$E$6),"存量兼容Lv1",IF(G264&gt;=等级配置!$C$103,"Lv100溢出","正常"))</x:f>
        <x:v>#NAME?</x:v>
      </x:c>
      <x:c r="K264" s="20" t="str">
        <x:f t="shared" si="4"/>
        <x:v>当前CP亲密值为0</x:v>
      </x:c>
    </x:row>
    <x:row r="265" ht="17">
      <x:c r="A265" s="58" t="s">
        <x:v>1096</x:v>
      </x:c>
      <x:c r="B265" s="58" t="s">
        <x:v>1097</x:v>
      </x:c>
      <x:c r="C265" s="58" t="s">
        <x:v>1098</x:v>
      </x:c>
      <x:c r="D265" s="58" t="s">
        <x:v>14</x:v>
      </x:c>
      <x:c r="E265" s="18" t="s">
        <x:v>1099</x:v>
      </x:c>
      <x:c r="F265" s="18"/>
      <x:c r="G265" s="126">
        <x:v>0</x:v>
      </x:c>
      <x:c r="H265" s="126" t="e">
        <x:f>IF(G265="","",IF(G265&lt;参数与口径!$E$6,1,MATCH(G265,等级配置!$C$4:$C$103,1)))</x:f>
        <x:v>#NAME?</x:v>
      </x:c>
      <x:c r="I265" s="58" t="e">
        <x:f>IF(H265="","",INDEX(等级配置!$B$4:$B$103,H265))</x:f>
        <x:v>#NAME?</x:v>
      </x:c>
      <x:c r="J265" s="58" t="e">
        <x:f>IF(AND(D265="当前已婚",G265&lt;参数与口径!$E$6),"存量兼容Lv1",IF(G265&gt;=等级配置!$C$103,"Lv100溢出","正常"))</x:f>
        <x:v>#NAME?</x:v>
      </x:c>
      <x:c r="K265" s="20" t="str">
        <x:f t="shared" si="4"/>
        <x:v>当前CP亲密值为0</x:v>
      </x:c>
    </x:row>
    <x:row r="266" ht="17">
      <x:c r="A266" s="58" t="s">
        <x:v>1100</x:v>
      </x:c>
      <x:c r="B266" s="58" t="s">
        <x:v>1101</x:v>
      </x:c>
      <x:c r="C266" s="58" t="s">
        <x:v>1102</x:v>
      </x:c>
      <x:c r="D266" s="58" t="s">
        <x:v>14</x:v>
      </x:c>
      <x:c r="E266" s="18" t="s">
        <x:v>1103</x:v>
      </x:c>
      <x:c r="F266" s="18"/>
      <x:c r="G266" s="126">
        <x:v>0</x:v>
      </x:c>
      <x:c r="H266" s="126" t="e">
        <x:f>IF(G266="","",IF(G266&lt;参数与口径!$E$6,1,MATCH(G266,等级配置!$C$4:$C$103,1)))</x:f>
        <x:v>#NAME?</x:v>
      </x:c>
      <x:c r="I266" s="58" t="e">
        <x:f>IF(H266="","",INDEX(等级配置!$B$4:$B$103,H266))</x:f>
        <x:v>#NAME?</x:v>
      </x:c>
      <x:c r="J266" s="58" t="e">
        <x:f>IF(AND(D266="当前已婚",G266&lt;参数与口径!$E$6),"存量兼容Lv1",IF(G266&gt;=等级配置!$C$103,"Lv100溢出","正常"))</x:f>
        <x:v>#NAME?</x:v>
      </x:c>
      <x:c r="K266" s="20" t="str">
        <x:f t="shared" si="4"/>
        <x:v>当前CP亲密值为0</x:v>
      </x:c>
    </x:row>
    <x:row r="267" ht="17">
      <x:c r="A267" s="58" t="s">
        <x:v>1104</x:v>
      </x:c>
      <x:c r="B267" s="58" t="s">
        <x:v>1105</x:v>
      </x:c>
      <x:c r="C267" s="58" t="s">
        <x:v>1106</x:v>
      </x:c>
      <x:c r="D267" s="58" t="s">
        <x:v>14</x:v>
      </x:c>
      <x:c r="E267" s="18" t="s">
        <x:v>1107</x:v>
      </x:c>
      <x:c r="F267" s="18"/>
      <x:c r="G267" s="126">
        <x:v>0</x:v>
      </x:c>
      <x:c r="H267" s="126" t="e">
        <x:f>IF(G267="","",IF(G267&lt;参数与口径!$E$6,1,MATCH(G267,等级配置!$C$4:$C$103,1)))</x:f>
        <x:v>#NAME?</x:v>
      </x:c>
      <x:c r="I267" s="58" t="e">
        <x:f>IF(H267="","",INDEX(等级配置!$B$4:$B$103,H267))</x:f>
        <x:v>#NAME?</x:v>
      </x:c>
      <x:c r="J267" s="58" t="e">
        <x:f>IF(AND(D267="当前已婚",G267&lt;参数与口径!$E$6),"存量兼容Lv1",IF(G267&gt;=等级配置!$C$103,"Lv100溢出","正常"))</x:f>
        <x:v>#NAME?</x:v>
      </x:c>
      <x:c r="K267" s="20" t="str">
        <x:f t="shared" si="4"/>
        <x:v>当前CP亲密值为0</x:v>
      </x:c>
    </x:row>
    <x:row r="268" ht="17">
      <x:c r="A268" s="58" t="s">
        <x:v>1108</x:v>
      </x:c>
      <x:c r="B268" s="58" t="s">
        <x:v>1109</x:v>
      </x:c>
      <x:c r="C268" s="58" t="s">
        <x:v>1110</x:v>
      </x:c>
      <x:c r="D268" s="58" t="s">
        <x:v>14</x:v>
      </x:c>
      <x:c r="E268" s="18" t="s">
        <x:v>1111</x:v>
      </x:c>
      <x:c r="F268" s="18"/>
      <x:c r="G268" s="126">
        <x:v>0</x:v>
      </x:c>
      <x:c r="H268" s="126" t="e">
        <x:f>IF(G268="","",IF(G268&lt;参数与口径!$E$6,1,MATCH(G268,等级配置!$C$4:$C$103,1)))</x:f>
        <x:v>#NAME?</x:v>
      </x:c>
      <x:c r="I268" s="58" t="e">
        <x:f>IF(H268="","",INDEX(等级配置!$B$4:$B$103,H268))</x:f>
        <x:v>#NAME?</x:v>
      </x:c>
      <x:c r="J268" s="58" t="e">
        <x:f>IF(AND(D268="当前已婚",G268&lt;参数与口径!$E$6),"存量兼容Lv1",IF(G268&gt;=等级配置!$C$103,"Lv100溢出","正常"))</x:f>
        <x:v>#NAME?</x:v>
      </x:c>
      <x:c r="K268" s="20" t="str">
        <x:f t="shared" si="4"/>
        <x:v>当前CP亲密值为0</x:v>
      </x:c>
    </x:row>
    <x:row r="269" ht="17">
      <x:c r="A269" s="58" t="s">
        <x:v>1112</x:v>
      </x:c>
      <x:c r="B269" s="58" t="s">
        <x:v>1113</x:v>
      </x:c>
      <x:c r="C269" s="58" t="s">
        <x:v>1114</x:v>
      </x:c>
      <x:c r="D269" s="58" t="s">
        <x:v>14</x:v>
      </x:c>
      <x:c r="E269" s="18" t="s">
        <x:v>1115</x:v>
      </x:c>
      <x:c r="F269" s="18"/>
      <x:c r="G269" s="126">
        <x:v>0</x:v>
      </x:c>
      <x:c r="H269" s="126" t="e">
        <x:f>IF(G269="","",IF(G269&lt;参数与口径!$E$6,1,MATCH(G269,等级配置!$C$4:$C$103,1)))</x:f>
        <x:v>#NAME?</x:v>
      </x:c>
      <x:c r="I269" s="58" t="e">
        <x:f>IF(H269="","",INDEX(等级配置!$B$4:$B$103,H269))</x:f>
        <x:v>#NAME?</x:v>
      </x:c>
      <x:c r="J269" s="58" t="e">
        <x:f>IF(AND(D269="当前已婚",G269&lt;参数与口径!$E$6),"存量兼容Lv1",IF(G269&gt;=等级配置!$C$103,"Lv100溢出","正常"))</x:f>
        <x:v>#NAME?</x:v>
      </x:c>
      <x:c r="K269" s="20" t="str">
        <x:f t="shared" si="4"/>
        <x:v>当前CP亲密值为0</x:v>
      </x:c>
    </x:row>
    <x:row r="270" ht="17">
      <x:c r="A270" s="58" t="s">
        <x:v>1116</x:v>
      </x:c>
      <x:c r="B270" s="58" t="s">
        <x:v>1117</x:v>
      </x:c>
      <x:c r="C270" s="58" t="s">
        <x:v>1118</x:v>
      </x:c>
      <x:c r="D270" s="58" t="s">
        <x:v>14</x:v>
      </x:c>
      <x:c r="E270" s="18" t="s">
        <x:v>1119</x:v>
      </x:c>
      <x:c r="F270" s="18"/>
      <x:c r="G270" s="126">
        <x:v>0</x:v>
      </x:c>
      <x:c r="H270" s="126" t="e">
        <x:f>IF(G270="","",IF(G270&lt;参数与口径!$E$6,1,MATCH(G270,等级配置!$C$4:$C$103,1)))</x:f>
        <x:v>#NAME?</x:v>
      </x:c>
      <x:c r="I270" s="58" t="e">
        <x:f>IF(H270="","",INDEX(等级配置!$B$4:$B$103,H270))</x:f>
        <x:v>#NAME?</x:v>
      </x:c>
      <x:c r="J270" s="58" t="e">
        <x:f>IF(AND(D270="当前已婚",G270&lt;参数与口径!$E$6),"存量兼容Lv1",IF(G270&gt;=等级配置!$C$103,"Lv100溢出","正常"))</x:f>
        <x:v>#NAME?</x:v>
      </x:c>
      <x:c r="K270" s="20" t="str">
        <x:f t="shared" si="4"/>
        <x:v>当前CP亲密值为0</x:v>
      </x:c>
    </x:row>
    <x:row r="271" ht="17">
      <x:c r="A271" s="58" t="s">
        <x:v>1120</x:v>
      </x:c>
      <x:c r="B271" s="58" t="s">
        <x:v>1121</x:v>
      </x:c>
      <x:c r="C271" s="58" t="s">
        <x:v>1122</x:v>
      </x:c>
      <x:c r="D271" s="58" t="s">
        <x:v>14</x:v>
      </x:c>
      <x:c r="E271" s="18" t="s">
        <x:v>1123</x:v>
      </x:c>
      <x:c r="F271" s="18"/>
      <x:c r="G271" s="126">
        <x:v>0</x:v>
      </x:c>
      <x:c r="H271" s="126" t="e">
        <x:f>IF(G271="","",IF(G271&lt;参数与口径!$E$6,1,MATCH(G271,等级配置!$C$4:$C$103,1)))</x:f>
        <x:v>#NAME?</x:v>
      </x:c>
      <x:c r="I271" s="58" t="e">
        <x:f>IF(H271="","",INDEX(等级配置!$B$4:$B$103,H271))</x:f>
        <x:v>#NAME?</x:v>
      </x:c>
      <x:c r="J271" s="58" t="e">
        <x:f>IF(AND(D271="当前已婚",G271&lt;参数与口径!$E$6),"存量兼容Lv1",IF(G271&gt;=等级配置!$C$103,"Lv100溢出","正常"))</x:f>
        <x:v>#NAME?</x:v>
      </x:c>
      <x:c r="K271" s="20" t="str">
        <x:f t="shared" si="4"/>
        <x:v>当前CP亲密值为0</x:v>
      </x:c>
    </x:row>
    <x:row r="272" ht="17">
      <x:c r="A272" s="58" t="s">
        <x:v>1124</x:v>
      </x:c>
      <x:c r="B272" s="58" t="s">
        <x:v>1125</x:v>
      </x:c>
      <x:c r="C272" s="58" t="s">
        <x:v>1126</x:v>
      </x:c>
      <x:c r="D272" s="58" t="s">
        <x:v>14</x:v>
      </x:c>
      <x:c r="E272" s="18" t="s">
        <x:v>1127</x:v>
      </x:c>
      <x:c r="F272" s="18"/>
      <x:c r="G272" s="126">
        <x:v>0</x:v>
      </x:c>
      <x:c r="H272" s="126" t="e">
        <x:f>IF(G272="","",IF(G272&lt;参数与口径!$E$6,1,MATCH(G272,等级配置!$C$4:$C$103,1)))</x:f>
        <x:v>#NAME?</x:v>
      </x:c>
      <x:c r="I272" s="58" t="e">
        <x:f>IF(H272="","",INDEX(等级配置!$B$4:$B$103,H272))</x:f>
        <x:v>#NAME?</x:v>
      </x:c>
      <x:c r="J272" s="58" t="e">
        <x:f>IF(AND(D272="当前已婚",G272&lt;参数与口径!$E$6),"存量兼容Lv1",IF(G272&gt;=等级配置!$C$103,"Lv100溢出","正常"))</x:f>
        <x:v>#NAME?</x:v>
      </x:c>
      <x:c r="K272" s="20" t="str">
        <x:f t="shared" si="4"/>
        <x:v>当前CP亲密值为0</x:v>
      </x:c>
    </x:row>
    <x:row r="273" ht="17">
      <x:c r="A273" s="58" t="s">
        <x:v>1128</x:v>
      </x:c>
      <x:c r="B273" s="58" t="s">
        <x:v>1129</x:v>
      </x:c>
      <x:c r="C273" s="58" t="s">
        <x:v>1130</x:v>
      </x:c>
      <x:c r="D273" s="58" t="s">
        <x:v>14</x:v>
      </x:c>
      <x:c r="E273" s="18" t="s">
        <x:v>1131</x:v>
      </x:c>
      <x:c r="F273" s="18"/>
      <x:c r="G273" s="126">
        <x:v>0</x:v>
      </x:c>
      <x:c r="H273" s="126" t="e">
        <x:f>IF(G273="","",IF(G273&lt;参数与口径!$E$6,1,MATCH(G273,等级配置!$C$4:$C$103,1)))</x:f>
        <x:v>#NAME?</x:v>
      </x:c>
      <x:c r="I273" s="58" t="e">
        <x:f>IF(H273="","",INDEX(等级配置!$B$4:$B$103,H273))</x:f>
        <x:v>#NAME?</x:v>
      </x:c>
      <x:c r="J273" s="58" t="e">
        <x:f>IF(AND(D273="当前已婚",G273&lt;参数与口径!$E$6),"存量兼容Lv1",IF(G273&gt;=等级配置!$C$103,"Lv100溢出","正常"))</x:f>
        <x:v>#NAME?</x:v>
      </x:c>
      <x:c r="K273" s="20" t="str">
        <x:f t="shared" si="4"/>
        <x:v>当前CP亲密值为0</x:v>
      </x:c>
    </x:row>
    <x:row r="274" ht="17">
      <x:c r="A274" s="58" t="s">
        <x:v>1132</x:v>
      </x:c>
      <x:c r="B274" s="58" t="s">
        <x:v>1133</x:v>
      </x:c>
      <x:c r="C274" s="58" t="s">
        <x:v>1134</x:v>
      </x:c>
      <x:c r="D274" s="58" t="s">
        <x:v>14</x:v>
      </x:c>
      <x:c r="E274" s="18" t="s">
        <x:v>1135</x:v>
      </x:c>
      <x:c r="F274" s="18"/>
      <x:c r="G274" s="126">
        <x:v>0</x:v>
      </x:c>
      <x:c r="H274" s="126" t="e">
        <x:f>IF(G274="","",IF(G274&lt;参数与口径!$E$6,1,MATCH(G274,等级配置!$C$4:$C$103,1)))</x:f>
        <x:v>#NAME?</x:v>
      </x:c>
      <x:c r="I274" s="58" t="e">
        <x:f>IF(H274="","",INDEX(等级配置!$B$4:$B$103,H274))</x:f>
        <x:v>#NAME?</x:v>
      </x:c>
      <x:c r="J274" s="58" t="e">
        <x:f>IF(AND(D274="当前已婚",G274&lt;参数与口径!$E$6),"存量兼容Lv1",IF(G274&gt;=等级配置!$C$103,"Lv100溢出","正常"))</x:f>
        <x:v>#NAME?</x:v>
      </x:c>
      <x:c r="K274" s="20" t="str">
        <x:f t="shared" si="4"/>
        <x:v>当前CP亲密值为0</x:v>
      </x:c>
    </x:row>
    <x:row r="275" ht="17">
      <x:c r="A275" s="58" t="s">
        <x:v>1136</x:v>
      </x:c>
      <x:c r="B275" s="58" t="s">
        <x:v>1137</x:v>
      </x:c>
      <x:c r="C275" s="58" t="s">
        <x:v>1138</x:v>
      </x:c>
      <x:c r="D275" s="58" t="s">
        <x:v>14</x:v>
      </x:c>
      <x:c r="E275" s="18" t="s">
        <x:v>1139</x:v>
      </x:c>
      <x:c r="F275" s="18"/>
      <x:c r="G275" s="126">
        <x:v>0</x:v>
      </x:c>
      <x:c r="H275" s="126" t="e">
        <x:f>IF(G275="","",IF(G275&lt;参数与口径!$E$6,1,MATCH(G275,等级配置!$C$4:$C$103,1)))</x:f>
        <x:v>#NAME?</x:v>
      </x:c>
      <x:c r="I275" s="58" t="e">
        <x:f>IF(H275="","",INDEX(等级配置!$B$4:$B$103,H275))</x:f>
        <x:v>#NAME?</x:v>
      </x:c>
      <x:c r="J275" s="58" t="e">
        <x:f>IF(AND(D275="当前已婚",G275&lt;参数与口径!$E$6),"存量兼容Lv1",IF(G275&gt;=等级配置!$C$103,"Lv100溢出","正常"))</x:f>
        <x:v>#NAME?</x:v>
      </x:c>
      <x:c r="K275" s="20" t="str">
        <x:f t="shared" si="4"/>
        <x:v>当前CP亲密值为0</x:v>
      </x:c>
    </x:row>
    <x:row r="276" ht="17">
      <x:c r="A276" s="58" t="s">
        <x:v>1140</x:v>
      </x:c>
      <x:c r="B276" s="58" t="s">
        <x:v>1141</x:v>
      </x:c>
      <x:c r="C276" s="58" t="s">
        <x:v>1142</x:v>
      </x:c>
      <x:c r="D276" s="58" t="s">
        <x:v>14</x:v>
      </x:c>
      <x:c r="E276" s="18" t="s">
        <x:v>1143</x:v>
      </x:c>
      <x:c r="F276" s="18"/>
      <x:c r="G276" s="126">
        <x:v>0</x:v>
      </x:c>
      <x:c r="H276" s="126" t="e">
        <x:f>IF(G276="","",IF(G276&lt;参数与口径!$E$6,1,MATCH(G276,等级配置!$C$4:$C$103,1)))</x:f>
        <x:v>#NAME?</x:v>
      </x:c>
      <x:c r="I276" s="58" t="e">
        <x:f>IF(H276="","",INDEX(等级配置!$B$4:$B$103,H276))</x:f>
        <x:v>#NAME?</x:v>
      </x:c>
      <x:c r="J276" s="58" t="e">
        <x:f>IF(AND(D276="当前已婚",G276&lt;参数与口径!$E$6),"存量兼容Lv1",IF(G276&gt;=等级配置!$C$103,"Lv100溢出","正常"))</x:f>
        <x:v>#NAME?</x:v>
      </x:c>
      <x:c r="K276" s="20" t="str">
        <x:f t="shared" si="4"/>
        <x:v>当前CP亲密值为0</x:v>
      </x:c>
    </x:row>
    <x:row r="277" ht="17">
      <x:c r="A277" s="58" t="s">
        <x:v>1144</x:v>
      </x:c>
      <x:c r="B277" s="58" t="s">
        <x:v>1145</x:v>
      </x:c>
      <x:c r="C277" s="58" t="s">
        <x:v>1146</x:v>
      </x:c>
      <x:c r="D277" s="58" t="s">
        <x:v>14</x:v>
      </x:c>
      <x:c r="E277" s="18" t="s">
        <x:v>1147</x:v>
      </x:c>
      <x:c r="F277" s="18"/>
      <x:c r="G277" s="126">
        <x:v>0</x:v>
      </x:c>
      <x:c r="H277" s="126" t="e">
        <x:f>IF(G277="","",IF(G277&lt;参数与口径!$E$6,1,MATCH(G277,等级配置!$C$4:$C$103,1)))</x:f>
        <x:v>#NAME?</x:v>
      </x:c>
      <x:c r="I277" s="58" t="e">
        <x:f>IF(H277="","",INDEX(等级配置!$B$4:$B$103,H277))</x:f>
        <x:v>#NAME?</x:v>
      </x:c>
      <x:c r="J277" s="58" t="e">
        <x:f>IF(AND(D277="当前已婚",G277&lt;参数与口径!$E$6),"存量兼容Lv1",IF(G277&gt;=等级配置!$C$103,"Lv100溢出","正常"))</x:f>
        <x:v>#NAME?</x:v>
      </x:c>
      <x:c r="K277" s="20" t="str">
        <x:f t="shared" si="4"/>
        <x:v>当前CP亲密值为0</x:v>
      </x:c>
    </x:row>
    <x:row r="278" ht="17">
      <x:c r="A278" s="58" t="s">
        <x:v>1148</x:v>
      </x:c>
      <x:c r="B278" s="58" t="s">
        <x:v>1149</x:v>
      </x:c>
      <x:c r="C278" s="58" t="s">
        <x:v>1150</x:v>
      </x:c>
      <x:c r="D278" s="58" t="s">
        <x:v>14</x:v>
      </x:c>
      <x:c r="E278" s="18" t="s">
        <x:v>1151</x:v>
      </x:c>
      <x:c r="F278" s="18"/>
      <x:c r="G278" s="126">
        <x:v>0</x:v>
      </x:c>
      <x:c r="H278" s="126" t="e">
        <x:f>IF(G278="","",IF(G278&lt;参数与口径!$E$6,1,MATCH(G278,等级配置!$C$4:$C$103,1)))</x:f>
        <x:v>#NAME?</x:v>
      </x:c>
      <x:c r="I278" s="58" t="e">
        <x:f>IF(H278="","",INDEX(等级配置!$B$4:$B$103,H278))</x:f>
        <x:v>#NAME?</x:v>
      </x:c>
      <x:c r="J278" s="58" t="e">
        <x:f>IF(AND(D278="当前已婚",G278&lt;参数与口径!$E$6),"存量兼容Lv1",IF(G278&gt;=等级配置!$C$103,"Lv100溢出","正常"))</x:f>
        <x:v>#NAME?</x:v>
      </x:c>
      <x:c r="K278" s="20" t="str">
        <x:f t="shared" si="4"/>
        <x:v>当前CP亲密值为0</x:v>
      </x:c>
    </x:row>
    <x:row r="279" ht="17">
      <x:c r="A279" s="58" t="s">
        <x:v>1152</x:v>
      </x:c>
      <x:c r="B279" s="58" t="s">
        <x:v>1153</x:v>
      </x:c>
      <x:c r="C279" s="58" t="s">
        <x:v>1154</x:v>
      </x:c>
      <x:c r="D279" s="58" t="s">
        <x:v>14</x:v>
      </x:c>
      <x:c r="E279" s="18" t="s">
        <x:v>1155</x:v>
      </x:c>
      <x:c r="F279" s="18"/>
      <x:c r="G279" s="126">
        <x:v>0</x:v>
      </x:c>
      <x:c r="H279" s="126" t="e">
        <x:f>IF(G279="","",IF(G279&lt;参数与口径!$E$6,1,MATCH(G279,等级配置!$C$4:$C$103,1)))</x:f>
        <x:v>#NAME?</x:v>
      </x:c>
      <x:c r="I279" s="58" t="e">
        <x:f>IF(H279="","",INDEX(等级配置!$B$4:$B$103,H279))</x:f>
        <x:v>#NAME?</x:v>
      </x:c>
      <x:c r="J279" s="58" t="e">
        <x:f>IF(AND(D279="当前已婚",G279&lt;参数与口径!$E$6),"存量兼容Lv1",IF(G279&gt;=等级配置!$C$103,"Lv100溢出","正常"))</x:f>
        <x:v>#NAME?</x:v>
      </x:c>
      <x:c r="K279" s="20" t="str">
        <x:f t="shared" si="4"/>
        <x:v>当前CP亲密值为0</x:v>
      </x:c>
    </x:row>
    <x:row r="280" ht="17">
      <x:c r="A280" s="58" t="s">
        <x:v>1156</x:v>
      </x:c>
      <x:c r="B280" s="58" t="s">
        <x:v>1157</x:v>
      </x:c>
      <x:c r="C280" s="58" t="s">
        <x:v>1158</x:v>
      </x:c>
      <x:c r="D280" s="58" t="s">
        <x:v>14</x:v>
      </x:c>
      <x:c r="E280" s="18" t="s">
        <x:v>1159</x:v>
      </x:c>
      <x:c r="F280" s="18"/>
      <x:c r="G280" s="126">
        <x:v>0</x:v>
      </x:c>
      <x:c r="H280" s="126" t="e">
        <x:f>IF(G280="","",IF(G280&lt;参数与口径!$E$6,1,MATCH(G280,等级配置!$C$4:$C$103,1)))</x:f>
        <x:v>#NAME?</x:v>
      </x:c>
      <x:c r="I280" s="58" t="e">
        <x:f>IF(H280="","",INDEX(等级配置!$B$4:$B$103,H280))</x:f>
        <x:v>#NAME?</x:v>
      </x:c>
      <x:c r="J280" s="58" t="e">
        <x:f>IF(AND(D280="当前已婚",G280&lt;参数与口径!$E$6),"存量兼容Lv1",IF(G280&gt;=等级配置!$C$103,"Lv100溢出","正常"))</x:f>
        <x:v>#NAME?</x:v>
      </x:c>
      <x:c r="K280" s="20" t="str">
        <x:f t="shared" si="4"/>
        <x:v>当前CP亲密值为0</x:v>
      </x:c>
    </x:row>
    <x:row r="281" ht="17">
      <x:c r="A281" s="58" t="s">
        <x:v>1160</x:v>
      </x:c>
      <x:c r="B281" s="58" t="s">
        <x:v>1161</x:v>
      </x:c>
      <x:c r="C281" s="58" t="s">
        <x:v>1162</x:v>
      </x:c>
      <x:c r="D281" s="58" t="s">
        <x:v>14</x:v>
      </x:c>
      <x:c r="E281" s="18" t="s">
        <x:v>1163</x:v>
      </x:c>
      <x:c r="F281" s="18"/>
      <x:c r="G281" s="126">
        <x:v>0</x:v>
      </x:c>
      <x:c r="H281" s="126" t="e">
        <x:f>IF(G281="","",IF(G281&lt;参数与口径!$E$6,1,MATCH(G281,等级配置!$C$4:$C$103,1)))</x:f>
        <x:v>#NAME?</x:v>
      </x:c>
      <x:c r="I281" s="58" t="e">
        <x:f>IF(H281="","",INDEX(等级配置!$B$4:$B$103,H281))</x:f>
        <x:v>#NAME?</x:v>
      </x:c>
      <x:c r="J281" s="58" t="e">
        <x:f>IF(AND(D281="当前已婚",G281&lt;参数与口径!$E$6),"存量兼容Lv1",IF(G281&gt;=等级配置!$C$103,"Lv100溢出","正常"))</x:f>
        <x:v>#NAME?</x:v>
      </x:c>
      <x:c r="K281" s="20" t="str">
        <x:f t="shared" si="4"/>
        <x:v>当前CP亲密值为0</x:v>
      </x:c>
    </x:row>
    <x:row r="282" ht="17">
      <x:c r="A282" s="58" t="s">
        <x:v>1164</x:v>
      </x:c>
      <x:c r="B282" s="58" t="s">
        <x:v>1165</x:v>
      </x:c>
      <x:c r="C282" s="58" t="s">
        <x:v>1166</x:v>
      </x:c>
      <x:c r="D282" s="58" t="s">
        <x:v>14</x:v>
      </x:c>
      <x:c r="E282" s="18" t="s">
        <x:v>1167</x:v>
      </x:c>
      <x:c r="F282" s="18"/>
      <x:c r="G282" s="126">
        <x:v>0</x:v>
      </x:c>
      <x:c r="H282" s="126" t="e">
        <x:f>IF(G282="","",IF(G282&lt;参数与口径!$E$6,1,MATCH(G282,等级配置!$C$4:$C$103,1)))</x:f>
        <x:v>#NAME?</x:v>
      </x:c>
      <x:c r="I282" s="58" t="e">
        <x:f>IF(H282="","",INDEX(等级配置!$B$4:$B$103,H282))</x:f>
        <x:v>#NAME?</x:v>
      </x:c>
      <x:c r="J282" s="58" t="e">
        <x:f>IF(AND(D282="当前已婚",G282&lt;参数与口径!$E$6),"存量兼容Lv1",IF(G282&gt;=等级配置!$C$103,"Lv100溢出","正常"))</x:f>
        <x:v>#NAME?</x:v>
      </x:c>
      <x:c r="K282" s="20" t="str">
        <x:f t="shared" si="4"/>
        <x:v>当前CP亲密值为0</x:v>
      </x:c>
    </x:row>
    <x:row r="283" ht="17">
      <x:c r="A283" s="58" t="s">
        <x:v>1168</x:v>
      </x:c>
      <x:c r="B283" s="58" t="s">
        <x:v>1169</x:v>
      </x:c>
      <x:c r="C283" s="58" t="s">
        <x:v>1170</x:v>
      </x:c>
      <x:c r="D283" s="58" t="s">
        <x:v>14</x:v>
      </x:c>
      <x:c r="E283" s="18" t="s">
        <x:v>1171</x:v>
      </x:c>
      <x:c r="F283" s="18"/>
      <x:c r="G283" s="126">
        <x:v>0</x:v>
      </x:c>
      <x:c r="H283" s="126" t="e">
        <x:f>IF(G283="","",IF(G283&lt;参数与口径!$E$6,1,MATCH(G283,等级配置!$C$4:$C$103,1)))</x:f>
        <x:v>#NAME?</x:v>
      </x:c>
      <x:c r="I283" s="58" t="e">
        <x:f>IF(H283="","",INDEX(等级配置!$B$4:$B$103,H283))</x:f>
        <x:v>#NAME?</x:v>
      </x:c>
      <x:c r="J283" s="58" t="e">
        <x:f>IF(AND(D283="当前已婚",G283&lt;参数与口径!$E$6),"存量兼容Lv1",IF(G283&gt;=等级配置!$C$103,"Lv100溢出","正常"))</x:f>
        <x:v>#NAME?</x:v>
      </x:c>
      <x:c r="K283" s="20" t="str">
        <x:f t="shared" si="4"/>
        <x:v>当前CP亲密值为0</x:v>
      </x:c>
    </x:row>
    <x:row r="284" ht="17">
      <x:c r="A284" s="58" t="s">
        <x:v>1172</x:v>
      </x:c>
      <x:c r="B284" s="58" t="s">
        <x:v>1173</x:v>
      </x:c>
      <x:c r="C284" s="58" t="s">
        <x:v>1174</x:v>
      </x:c>
      <x:c r="D284" s="58" t="s">
        <x:v>14</x:v>
      </x:c>
      <x:c r="E284" s="18" t="s">
        <x:v>1175</x:v>
      </x:c>
      <x:c r="F284" s="18"/>
      <x:c r="G284" s="126">
        <x:v>0</x:v>
      </x:c>
      <x:c r="H284" s="126" t="e">
        <x:f>IF(G284="","",IF(G284&lt;参数与口径!$E$6,1,MATCH(G284,等级配置!$C$4:$C$103,1)))</x:f>
        <x:v>#NAME?</x:v>
      </x:c>
      <x:c r="I284" s="58" t="e">
        <x:f>IF(H284="","",INDEX(等级配置!$B$4:$B$103,H284))</x:f>
        <x:v>#NAME?</x:v>
      </x:c>
      <x:c r="J284" s="58" t="e">
        <x:f>IF(AND(D284="当前已婚",G284&lt;参数与口径!$E$6),"存量兼容Lv1",IF(G284&gt;=等级配置!$C$103,"Lv100溢出","正常"))</x:f>
        <x:v>#NAME?</x:v>
      </x:c>
      <x:c r="K284" s="20" t="str">
        <x:f t="shared" si="4"/>
        <x:v>当前CP亲密值为0</x:v>
      </x:c>
    </x:row>
    <x:row r="285" ht="17">
      <x:c r="A285" s="58" t="s">
        <x:v>1176</x:v>
      </x:c>
      <x:c r="B285" s="58" t="s">
        <x:v>1177</x:v>
      </x:c>
      <x:c r="C285" s="58" t="s">
        <x:v>1178</x:v>
      </x:c>
      <x:c r="D285" s="58" t="s">
        <x:v>14</x:v>
      </x:c>
      <x:c r="E285" s="18" t="s">
        <x:v>1179</x:v>
      </x:c>
      <x:c r="F285" s="18"/>
      <x:c r="G285" s="126">
        <x:v>0</x:v>
      </x:c>
      <x:c r="H285" s="126" t="e">
        <x:f>IF(G285="","",IF(G285&lt;参数与口径!$E$6,1,MATCH(G285,等级配置!$C$4:$C$103,1)))</x:f>
        <x:v>#NAME?</x:v>
      </x:c>
      <x:c r="I285" s="58" t="e">
        <x:f>IF(H285="","",INDEX(等级配置!$B$4:$B$103,H285))</x:f>
        <x:v>#NAME?</x:v>
      </x:c>
      <x:c r="J285" s="58" t="e">
        <x:f>IF(AND(D285="当前已婚",G285&lt;参数与口径!$E$6),"存量兼容Lv1",IF(G285&gt;=等级配置!$C$103,"Lv100溢出","正常"))</x:f>
        <x:v>#NAME?</x:v>
      </x:c>
      <x:c r="K285" s="20" t="str">
        <x:f t="shared" si="4"/>
        <x:v>当前CP亲密值为0</x:v>
      </x:c>
    </x:row>
    <x:row r="286" ht="17">
      <x:c r="A286" s="58" t="s">
        <x:v>1180</x:v>
      </x:c>
      <x:c r="B286" s="58" t="s">
        <x:v>1181</x:v>
      </x:c>
      <x:c r="C286" s="58" t="s">
        <x:v>1182</x:v>
      </x:c>
      <x:c r="D286" s="58" t="s">
        <x:v>14</x:v>
      </x:c>
      <x:c r="E286" s="18" t="s">
        <x:v>1183</x:v>
      </x:c>
      <x:c r="F286" s="18"/>
      <x:c r="G286" s="126">
        <x:v>0</x:v>
      </x:c>
      <x:c r="H286" s="126" t="e">
        <x:f>IF(G286="","",IF(G286&lt;参数与口径!$E$6,1,MATCH(G286,等级配置!$C$4:$C$103,1)))</x:f>
        <x:v>#NAME?</x:v>
      </x:c>
      <x:c r="I286" s="58" t="e">
        <x:f>IF(H286="","",INDEX(等级配置!$B$4:$B$103,H286))</x:f>
        <x:v>#NAME?</x:v>
      </x:c>
      <x:c r="J286" s="58" t="e">
        <x:f>IF(AND(D286="当前已婚",G286&lt;参数与口径!$E$6),"存量兼容Lv1",IF(G286&gt;=等级配置!$C$103,"Lv100溢出","正常"))</x:f>
        <x:v>#NAME?</x:v>
      </x:c>
      <x:c r="K286" s="20" t="str">
        <x:f t="shared" si="4"/>
        <x:v>当前CP亲密值为0</x:v>
      </x:c>
    </x:row>
    <x:row r="287" ht="17">
      <x:c r="A287" s="58" t="s">
        <x:v>1184</x:v>
      </x:c>
      <x:c r="B287" s="58" t="s">
        <x:v>1185</x:v>
      </x:c>
      <x:c r="C287" s="58" t="s">
        <x:v>1186</x:v>
      </x:c>
      <x:c r="D287" s="58" t="s">
        <x:v>14</x:v>
      </x:c>
      <x:c r="E287" s="18" t="s">
        <x:v>1187</x:v>
      </x:c>
      <x:c r="F287" s="18"/>
      <x:c r="G287" s="126">
        <x:v>0</x:v>
      </x:c>
      <x:c r="H287" s="126" t="e">
        <x:f>IF(G287="","",IF(G287&lt;参数与口径!$E$6,1,MATCH(G287,等级配置!$C$4:$C$103,1)))</x:f>
        <x:v>#NAME?</x:v>
      </x:c>
      <x:c r="I287" s="58" t="e">
        <x:f>IF(H287="","",INDEX(等级配置!$B$4:$B$103,H287))</x:f>
        <x:v>#NAME?</x:v>
      </x:c>
      <x:c r="J287" s="58" t="e">
        <x:f>IF(AND(D287="当前已婚",G287&lt;参数与口径!$E$6),"存量兼容Lv1",IF(G287&gt;=等级配置!$C$103,"Lv100溢出","正常"))</x:f>
        <x:v>#NAME?</x:v>
      </x:c>
      <x:c r="K287" s="20" t="str">
        <x:f t="shared" si="4"/>
        <x:v>当前CP亲密值为0</x:v>
      </x:c>
    </x:row>
    <x:row r="288" ht="17">
      <x:c r="A288" s="58" t="s">
        <x:v>1188</x:v>
      </x:c>
      <x:c r="B288" s="58" t="s">
        <x:v>1189</x:v>
      </x:c>
      <x:c r="C288" s="58" t="s">
        <x:v>1190</x:v>
      </x:c>
      <x:c r="D288" s="58" t="s">
        <x:v>14</x:v>
      </x:c>
      <x:c r="E288" s="18" t="s">
        <x:v>1191</x:v>
      </x:c>
      <x:c r="F288" s="18"/>
      <x:c r="G288" s="126">
        <x:v>0</x:v>
      </x:c>
      <x:c r="H288" s="126" t="e">
        <x:f>IF(G288="","",IF(G288&lt;参数与口径!$E$6,1,MATCH(G288,等级配置!$C$4:$C$103,1)))</x:f>
        <x:v>#NAME?</x:v>
      </x:c>
      <x:c r="I288" s="58" t="e">
        <x:f>IF(H288="","",INDEX(等级配置!$B$4:$B$103,H288))</x:f>
        <x:v>#NAME?</x:v>
      </x:c>
      <x:c r="J288" s="58" t="e">
        <x:f>IF(AND(D288="当前已婚",G288&lt;参数与口径!$E$6),"存量兼容Lv1",IF(G288&gt;=等级配置!$C$103,"Lv100溢出","正常"))</x:f>
        <x:v>#NAME?</x:v>
      </x:c>
      <x:c r="K288" s="20" t="str">
        <x:f t="shared" si="4"/>
        <x:v>当前CP亲密值为0</x:v>
      </x:c>
    </x:row>
    <x:row r="289" ht="17">
      <x:c r="A289" s="58" t="s">
        <x:v>1192</x:v>
      </x:c>
      <x:c r="B289" s="58" t="s">
        <x:v>1193</x:v>
      </x:c>
      <x:c r="C289" s="58" t="s">
        <x:v>1194</x:v>
      </x:c>
      <x:c r="D289" s="58" t="s">
        <x:v>14</x:v>
      </x:c>
      <x:c r="E289" s="18" t="s">
        <x:v>1195</x:v>
      </x:c>
      <x:c r="F289" s="18"/>
      <x:c r="G289" s="126">
        <x:v>0</x:v>
      </x:c>
      <x:c r="H289" s="126" t="e">
        <x:f>IF(G289="","",IF(G289&lt;参数与口径!$E$6,1,MATCH(G289,等级配置!$C$4:$C$103,1)))</x:f>
        <x:v>#NAME?</x:v>
      </x:c>
      <x:c r="I289" s="58" t="e">
        <x:f>IF(H289="","",INDEX(等级配置!$B$4:$B$103,H289))</x:f>
        <x:v>#NAME?</x:v>
      </x:c>
      <x:c r="J289" s="58" t="e">
        <x:f>IF(AND(D289="当前已婚",G289&lt;参数与口径!$E$6),"存量兼容Lv1",IF(G289&gt;=等级配置!$C$103,"Lv100溢出","正常"))</x:f>
        <x:v>#NAME?</x:v>
      </x:c>
      <x:c r="K289" s="20" t="str">
        <x:f t="shared" si="4"/>
        <x:v>当前CP亲密值为0</x:v>
      </x:c>
    </x:row>
    <x:row r="290" ht="17">
      <x:c r="A290" s="58" t="s">
        <x:v>1196</x:v>
      </x:c>
      <x:c r="B290" s="58" t="s">
        <x:v>1197</x:v>
      </x:c>
      <x:c r="C290" s="58" t="s">
        <x:v>1198</x:v>
      </x:c>
      <x:c r="D290" s="58" t="s">
        <x:v>14</x:v>
      </x:c>
      <x:c r="E290" s="18" t="s">
        <x:v>1199</x:v>
      </x:c>
      <x:c r="F290" s="18"/>
      <x:c r="G290" s="126">
        <x:v>0</x:v>
      </x:c>
      <x:c r="H290" s="126" t="e">
        <x:f>IF(G290="","",IF(G290&lt;参数与口径!$E$6,1,MATCH(G290,等级配置!$C$4:$C$103,1)))</x:f>
        <x:v>#NAME?</x:v>
      </x:c>
      <x:c r="I290" s="58" t="e">
        <x:f>IF(H290="","",INDEX(等级配置!$B$4:$B$103,H290))</x:f>
        <x:v>#NAME?</x:v>
      </x:c>
      <x:c r="J290" s="58" t="e">
        <x:f>IF(AND(D290="当前已婚",G290&lt;参数与口径!$E$6),"存量兼容Lv1",IF(G290&gt;=等级配置!$C$103,"Lv100溢出","正常"))</x:f>
        <x:v>#NAME?</x:v>
      </x:c>
      <x:c r="K290" s="20" t="str">
        <x:f t="shared" si="4"/>
        <x:v>当前CP亲密值为0</x:v>
      </x:c>
    </x:row>
    <x:row r="291" ht="17">
      <x:c r="A291" s="58" t="s">
        <x:v>1200</x:v>
      </x:c>
      <x:c r="B291" s="58" t="s">
        <x:v>1201</x:v>
      </x:c>
      <x:c r="C291" s="58" t="s">
        <x:v>1202</x:v>
      </x:c>
      <x:c r="D291" s="58" t="s">
        <x:v>14</x:v>
      </x:c>
      <x:c r="E291" s="18" t="s">
        <x:v>1203</x:v>
      </x:c>
      <x:c r="F291" s="18"/>
      <x:c r="G291" s="126">
        <x:v>0</x:v>
      </x:c>
      <x:c r="H291" s="126" t="e">
        <x:f>IF(G291="","",IF(G291&lt;参数与口径!$E$6,1,MATCH(G291,等级配置!$C$4:$C$103,1)))</x:f>
        <x:v>#NAME?</x:v>
      </x:c>
      <x:c r="I291" s="58" t="e">
        <x:f>IF(H291="","",INDEX(等级配置!$B$4:$B$103,H291))</x:f>
        <x:v>#NAME?</x:v>
      </x:c>
      <x:c r="J291" s="58" t="e">
        <x:f>IF(AND(D291="当前已婚",G291&lt;参数与口径!$E$6),"存量兼容Lv1",IF(G291&gt;=等级配置!$C$103,"Lv100溢出","正常"))</x:f>
        <x:v>#NAME?</x:v>
      </x:c>
      <x:c r="K291" s="20" t="str">
        <x:f t="shared" si="4"/>
        <x:v>当前CP亲密值为0</x:v>
      </x:c>
    </x:row>
    <x:row r="292" ht="17">
      <x:c r="A292" s="58" t="s">
        <x:v>1204</x:v>
      </x:c>
      <x:c r="B292" s="58" t="s">
        <x:v>1205</x:v>
      </x:c>
      <x:c r="C292" s="58" t="s">
        <x:v>1206</x:v>
      </x:c>
      <x:c r="D292" s="58" t="s">
        <x:v>14</x:v>
      </x:c>
      <x:c r="E292" s="18" t="s">
        <x:v>1207</x:v>
      </x:c>
      <x:c r="F292" s="18"/>
      <x:c r="G292" s="126">
        <x:v>0</x:v>
      </x:c>
      <x:c r="H292" s="126" t="e">
        <x:f>IF(G292="","",IF(G292&lt;参数与口径!$E$6,1,MATCH(G292,等级配置!$C$4:$C$103,1)))</x:f>
        <x:v>#NAME?</x:v>
      </x:c>
      <x:c r="I292" s="58" t="e">
        <x:f>IF(H292="","",INDEX(等级配置!$B$4:$B$103,H292))</x:f>
        <x:v>#NAME?</x:v>
      </x:c>
      <x:c r="J292" s="58" t="e">
        <x:f>IF(AND(D292="当前已婚",G292&lt;参数与口径!$E$6),"存量兼容Lv1",IF(G292&gt;=等级配置!$C$103,"Lv100溢出","正常"))</x:f>
        <x:v>#NAME?</x:v>
      </x:c>
      <x:c r="K292" s="20" t="str">
        <x:f t="shared" si="4"/>
        <x:v>当前CP亲密值为0</x:v>
      </x:c>
    </x:row>
    <x:row r="293" ht="17">
      <x:c r="A293" s="58" t="s">
        <x:v>1208</x:v>
      </x:c>
      <x:c r="B293" s="58" t="s">
        <x:v>1209</x:v>
      </x:c>
      <x:c r="C293" s="58" t="s">
        <x:v>1210</x:v>
      </x:c>
      <x:c r="D293" s="58" t="s">
        <x:v>14</x:v>
      </x:c>
      <x:c r="E293" s="18" t="s">
        <x:v>1211</x:v>
      </x:c>
      <x:c r="F293" s="18"/>
      <x:c r="G293" s="126">
        <x:v>0</x:v>
      </x:c>
      <x:c r="H293" s="126" t="e">
        <x:f>IF(G293="","",IF(G293&lt;参数与口径!$E$6,1,MATCH(G293,等级配置!$C$4:$C$103,1)))</x:f>
        <x:v>#NAME?</x:v>
      </x:c>
      <x:c r="I293" s="58" t="e">
        <x:f>IF(H293="","",INDEX(等级配置!$B$4:$B$103,H293))</x:f>
        <x:v>#NAME?</x:v>
      </x:c>
      <x:c r="J293" s="58" t="e">
        <x:f>IF(AND(D293="当前已婚",G293&lt;参数与口径!$E$6),"存量兼容Lv1",IF(G293&gt;=等级配置!$C$103,"Lv100溢出","正常"))</x:f>
        <x:v>#NAME?</x:v>
      </x:c>
      <x:c r="K293" s="20" t="str">
        <x:f t="shared" si="4"/>
        <x:v>当前CP亲密值为0</x:v>
      </x:c>
    </x:row>
    <x:row r="294" ht="17">
      <x:c r="A294" s="58" t="s">
        <x:v>1212</x:v>
      </x:c>
      <x:c r="B294" s="58" t="s">
        <x:v>1213</x:v>
      </x:c>
      <x:c r="C294" s="58" t="s">
        <x:v>1214</x:v>
      </x:c>
      <x:c r="D294" s="58" t="s">
        <x:v>14</x:v>
      </x:c>
      <x:c r="E294" s="18" t="s">
        <x:v>1215</x:v>
      </x:c>
      <x:c r="F294" s="18"/>
      <x:c r="G294" s="126">
        <x:v>0</x:v>
      </x:c>
      <x:c r="H294" s="126" t="e">
        <x:f>IF(G294="","",IF(G294&lt;参数与口径!$E$6,1,MATCH(G294,等级配置!$C$4:$C$103,1)))</x:f>
        <x:v>#NAME?</x:v>
      </x:c>
      <x:c r="I294" s="58" t="e">
        <x:f>IF(H294="","",INDEX(等级配置!$B$4:$B$103,H294))</x:f>
        <x:v>#NAME?</x:v>
      </x:c>
      <x:c r="J294" s="58" t="e">
        <x:f>IF(AND(D294="当前已婚",G294&lt;参数与口径!$E$6),"存量兼容Lv1",IF(G294&gt;=等级配置!$C$103,"Lv100溢出","正常"))</x:f>
        <x:v>#NAME?</x:v>
      </x:c>
      <x:c r="K294" s="20" t="str">
        <x:f t="shared" si="4"/>
        <x:v>当前CP亲密值为0</x:v>
      </x:c>
    </x:row>
    <x:row r="295" ht="17">
      <x:c r="A295" s="58" t="s">
        <x:v>1216</x:v>
      </x:c>
      <x:c r="B295" s="58" t="s">
        <x:v>1217</x:v>
      </x:c>
      <x:c r="C295" s="58" t="s">
        <x:v>1218</x:v>
      </x:c>
      <x:c r="D295" s="58" t="s">
        <x:v>14</x:v>
      </x:c>
      <x:c r="E295" s="18" t="s">
        <x:v>1219</x:v>
      </x:c>
      <x:c r="F295" s="18"/>
      <x:c r="G295" s="126">
        <x:v>0</x:v>
      </x:c>
      <x:c r="H295" s="126" t="e">
        <x:f>IF(G295="","",IF(G295&lt;参数与口径!$E$6,1,MATCH(G295,等级配置!$C$4:$C$103,1)))</x:f>
        <x:v>#NAME?</x:v>
      </x:c>
      <x:c r="I295" s="58" t="e">
        <x:f>IF(H295="","",INDEX(等级配置!$B$4:$B$103,H295))</x:f>
        <x:v>#NAME?</x:v>
      </x:c>
      <x:c r="J295" s="58" t="e">
        <x:f>IF(AND(D295="当前已婚",G295&lt;参数与口径!$E$6),"存量兼容Lv1",IF(G295&gt;=等级配置!$C$103,"Lv100溢出","正常"))</x:f>
        <x:v>#NAME?</x:v>
      </x:c>
      <x:c r="K295" s="20" t="str">
        <x:f t="shared" si="4"/>
        <x:v>当前CP亲密值为0</x:v>
      </x:c>
    </x:row>
    <x:row r="296" ht="17">
      <x:c r="A296" s="58" t="s">
        <x:v>1220</x:v>
      </x:c>
      <x:c r="B296" s="58" t="s">
        <x:v>1221</x:v>
      </x:c>
      <x:c r="C296" s="58" t="s">
        <x:v>1222</x:v>
      </x:c>
      <x:c r="D296" s="58" t="s">
        <x:v>14</x:v>
      </x:c>
      <x:c r="E296" s="18" t="s">
        <x:v>1223</x:v>
      </x:c>
      <x:c r="F296" s="18"/>
      <x:c r="G296" s="126">
        <x:v>0</x:v>
      </x:c>
      <x:c r="H296" s="126" t="e">
        <x:f>IF(G296="","",IF(G296&lt;参数与口径!$E$6,1,MATCH(G296,等级配置!$C$4:$C$103,1)))</x:f>
        <x:v>#NAME?</x:v>
      </x:c>
      <x:c r="I296" s="58" t="e">
        <x:f>IF(H296="","",INDEX(等级配置!$B$4:$B$103,H296))</x:f>
        <x:v>#NAME?</x:v>
      </x:c>
      <x:c r="J296" s="58" t="e">
        <x:f>IF(AND(D296="当前已婚",G296&lt;参数与口径!$E$6),"存量兼容Lv1",IF(G296&gt;=等级配置!$C$103,"Lv100溢出","正常"))</x:f>
        <x:v>#NAME?</x:v>
      </x:c>
      <x:c r="K296" s="20" t="str">
        <x:f t="shared" si="4"/>
        <x:v>当前CP亲密值为0</x:v>
      </x:c>
    </x:row>
    <x:row r="297" ht="17">
      <x:c r="A297" s="58" t="s">
        <x:v>1224</x:v>
      </x:c>
      <x:c r="B297" s="58" t="s">
        <x:v>1225</x:v>
      </x:c>
      <x:c r="C297" s="58" t="s">
        <x:v>1226</x:v>
      </x:c>
      <x:c r="D297" s="58" t="s">
        <x:v>14</x:v>
      </x:c>
      <x:c r="E297" s="18" t="s">
        <x:v>1227</x:v>
      </x:c>
      <x:c r="F297" s="18"/>
      <x:c r="G297" s="126">
        <x:v>0</x:v>
      </x:c>
      <x:c r="H297" s="126" t="e">
        <x:f>IF(G297="","",IF(G297&lt;参数与口径!$E$6,1,MATCH(G297,等级配置!$C$4:$C$103,1)))</x:f>
        <x:v>#NAME?</x:v>
      </x:c>
      <x:c r="I297" s="58" t="e">
        <x:f>IF(H297="","",INDEX(等级配置!$B$4:$B$103,H297))</x:f>
        <x:v>#NAME?</x:v>
      </x:c>
      <x:c r="J297" s="58" t="e">
        <x:f>IF(AND(D297="当前已婚",G297&lt;参数与口径!$E$6),"存量兼容Lv1",IF(G297&gt;=等级配置!$C$103,"Lv100溢出","正常"))</x:f>
        <x:v>#NAME?</x:v>
      </x:c>
      <x:c r="K297" s="20" t="str">
        <x:f t="shared" si="4"/>
        <x:v>当前CP亲密值为0</x:v>
      </x:c>
    </x:row>
    <x:row r="298" ht="17">
      <x:c r="A298" s="58" t="s">
        <x:v>1228</x:v>
      </x:c>
      <x:c r="B298" s="58" t="s">
        <x:v>1229</x:v>
      </x:c>
      <x:c r="C298" s="58" t="s">
        <x:v>1230</x:v>
      </x:c>
      <x:c r="D298" s="58" t="s">
        <x:v>14</x:v>
      </x:c>
      <x:c r="E298" s="18" t="s">
        <x:v>1231</x:v>
      </x:c>
      <x:c r="F298" s="18"/>
      <x:c r="G298" s="126">
        <x:v>0</x:v>
      </x:c>
      <x:c r="H298" s="126" t="e">
        <x:f>IF(G298="","",IF(G298&lt;参数与口径!$E$6,1,MATCH(G298,等级配置!$C$4:$C$103,1)))</x:f>
        <x:v>#NAME?</x:v>
      </x:c>
      <x:c r="I298" s="58" t="e">
        <x:f>IF(H298="","",INDEX(等级配置!$B$4:$B$103,H298))</x:f>
        <x:v>#NAME?</x:v>
      </x:c>
      <x:c r="J298" s="58" t="e">
        <x:f>IF(AND(D298="当前已婚",G298&lt;参数与口径!$E$6),"存量兼容Lv1",IF(G298&gt;=等级配置!$C$103,"Lv100溢出","正常"))</x:f>
        <x:v>#NAME?</x:v>
      </x:c>
      <x:c r="K298" s="20" t="str">
        <x:f t="shared" si="4"/>
        <x:v>当前CP亲密值为0</x:v>
      </x:c>
    </x:row>
    <x:row r="299" ht="17">
      <x:c r="A299" s="58" t="s">
        <x:v>1232</x:v>
      </x:c>
      <x:c r="B299" s="58" t="s">
        <x:v>1233</x:v>
      </x:c>
      <x:c r="C299" s="58" t="s">
        <x:v>1234</x:v>
      </x:c>
      <x:c r="D299" s="58" t="s">
        <x:v>14</x:v>
      </x:c>
      <x:c r="E299" s="18" t="s">
        <x:v>1235</x:v>
      </x:c>
      <x:c r="F299" s="18"/>
      <x:c r="G299" s="126">
        <x:v>0</x:v>
      </x:c>
      <x:c r="H299" s="126" t="e">
        <x:f>IF(G299="","",IF(G299&lt;参数与口径!$E$6,1,MATCH(G299,等级配置!$C$4:$C$103,1)))</x:f>
        <x:v>#NAME?</x:v>
      </x:c>
      <x:c r="I299" s="58" t="e">
        <x:f>IF(H299="","",INDEX(等级配置!$B$4:$B$103,H299))</x:f>
        <x:v>#NAME?</x:v>
      </x:c>
      <x:c r="J299" s="58" t="e">
        <x:f>IF(AND(D299="当前已婚",G299&lt;参数与口径!$E$6),"存量兼容Lv1",IF(G299&gt;=等级配置!$C$103,"Lv100溢出","正常"))</x:f>
        <x:v>#NAME?</x:v>
      </x:c>
      <x:c r="K299" s="20" t="str">
        <x:f t="shared" si="4"/>
        <x:v>当前CP亲密值为0</x:v>
      </x:c>
    </x:row>
    <x:row r="300" ht="17">
      <x:c r="A300" s="58" t="s">
        <x:v>1236</x:v>
      </x:c>
      <x:c r="B300" s="58" t="s">
        <x:v>1237</x:v>
      </x:c>
      <x:c r="C300" s="58" t="s">
        <x:v>1238</x:v>
      </x:c>
      <x:c r="D300" s="58" t="s">
        <x:v>14</x:v>
      </x:c>
      <x:c r="E300" s="18" t="s">
        <x:v>1239</x:v>
      </x:c>
      <x:c r="F300" s="18"/>
      <x:c r="G300" s="126">
        <x:v>0</x:v>
      </x:c>
      <x:c r="H300" s="126" t="e">
        <x:f>IF(G300="","",IF(G300&lt;参数与口径!$E$6,1,MATCH(G300,等级配置!$C$4:$C$103,1)))</x:f>
        <x:v>#NAME?</x:v>
      </x:c>
      <x:c r="I300" s="58" t="e">
        <x:f>IF(H300="","",INDEX(等级配置!$B$4:$B$103,H300))</x:f>
        <x:v>#NAME?</x:v>
      </x:c>
      <x:c r="J300" s="58" t="e">
        <x:f>IF(AND(D300="当前已婚",G300&lt;参数与口径!$E$6),"存量兼容Lv1",IF(G300&gt;=等级配置!$C$103,"Lv100溢出","正常"))</x:f>
        <x:v>#NAME?</x:v>
      </x:c>
      <x:c r="K300" s="20" t="str">
        <x:f t="shared" si="4"/>
        <x:v>当前CP亲密值为0</x:v>
      </x:c>
    </x:row>
    <x:row r="301" ht="17">
      <x:c r="A301" s="58" t="s">
        <x:v>1240</x:v>
      </x:c>
      <x:c r="B301" s="58" t="s">
        <x:v>1241</x:v>
      </x:c>
      <x:c r="C301" s="58" t="s">
        <x:v>1242</x:v>
      </x:c>
      <x:c r="D301" s="58" t="s">
        <x:v>14</x:v>
      </x:c>
      <x:c r="E301" s="18" t="s">
        <x:v>1243</x:v>
      </x:c>
      <x:c r="F301" s="18"/>
      <x:c r="G301" s="126">
        <x:v>0</x:v>
      </x:c>
      <x:c r="H301" s="126" t="e">
        <x:f>IF(G301="","",IF(G301&lt;参数与口径!$E$6,1,MATCH(G301,等级配置!$C$4:$C$103,1)))</x:f>
        <x:v>#NAME?</x:v>
      </x:c>
      <x:c r="I301" s="58" t="e">
        <x:f>IF(H301="","",INDEX(等级配置!$B$4:$B$103,H301))</x:f>
        <x:v>#NAME?</x:v>
      </x:c>
      <x:c r="J301" s="58" t="e">
        <x:f>IF(AND(D301="当前已婚",G301&lt;参数与口径!$E$6),"存量兼容Lv1",IF(G301&gt;=等级配置!$C$103,"Lv100溢出","正常"))</x:f>
        <x:v>#NAME?</x:v>
      </x:c>
      <x:c r="K301" s="20" t="str">
        <x:f t="shared" si="4"/>
        <x:v>当前CP亲密值为0</x:v>
      </x:c>
    </x:row>
    <x:row r="302" ht="17">
      <x:c r="A302" s="58" t="s">
        <x:v>1244</x:v>
      </x:c>
      <x:c r="B302" s="58" t="s">
        <x:v>1245</x:v>
      </x:c>
      <x:c r="C302" s="58" t="s">
        <x:v>1246</x:v>
      </x:c>
      <x:c r="D302" s="58" t="s">
        <x:v>14</x:v>
      </x:c>
      <x:c r="E302" s="18" t="s">
        <x:v>1247</x:v>
      </x:c>
      <x:c r="F302" s="18"/>
      <x:c r="G302" s="126">
        <x:v>0</x:v>
      </x:c>
      <x:c r="H302" s="126" t="e">
        <x:f>IF(G302="","",IF(G302&lt;参数与口径!$E$6,1,MATCH(G302,等级配置!$C$4:$C$103,1)))</x:f>
        <x:v>#NAME?</x:v>
      </x:c>
      <x:c r="I302" s="58" t="e">
        <x:f>IF(H302="","",INDEX(等级配置!$B$4:$B$103,H302))</x:f>
        <x:v>#NAME?</x:v>
      </x:c>
      <x:c r="J302" s="58" t="e">
        <x:f>IF(AND(D302="当前已婚",G302&lt;参数与口径!$E$6),"存量兼容Lv1",IF(G302&gt;=等级配置!$C$103,"Lv100溢出","正常"))</x:f>
        <x:v>#NAME?</x:v>
      </x:c>
      <x:c r="K302" s="20" t="str">
        <x:f t="shared" si="4"/>
        <x:v>当前CP亲密值为0</x:v>
      </x:c>
    </x:row>
    <x:row r="303" ht="17">
      <x:c r="A303" s="58" t="s">
        <x:v>1248</x:v>
      </x:c>
      <x:c r="B303" s="58" t="s">
        <x:v>1249</x:v>
      </x:c>
      <x:c r="C303" s="58" t="s">
        <x:v>1250</x:v>
      </x:c>
      <x:c r="D303" s="58" t="s">
        <x:v>14</x:v>
      </x:c>
      <x:c r="E303" s="18" t="s">
        <x:v>1251</x:v>
      </x:c>
      <x:c r="F303" s="18"/>
      <x:c r="G303" s="126">
        <x:v>0</x:v>
      </x:c>
      <x:c r="H303" s="126" t="e">
        <x:f>IF(G303="","",IF(G303&lt;参数与口径!$E$6,1,MATCH(G303,等级配置!$C$4:$C$103,1)))</x:f>
        <x:v>#NAME?</x:v>
      </x:c>
      <x:c r="I303" s="58" t="e">
        <x:f>IF(H303="","",INDEX(等级配置!$B$4:$B$103,H303))</x:f>
        <x:v>#NAME?</x:v>
      </x:c>
      <x:c r="J303" s="58" t="e">
        <x:f>IF(AND(D303="当前已婚",G303&lt;参数与口径!$E$6),"存量兼容Lv1",IF(G303&gt;=等级配置!$C$103,"Lv100溢出","正常"))</x:f>
        <x:v>#NAME?</x:v>
      </x:c>
      <x:c r="K303" s="20" t="str">
        <x:f t="shared" si="4"/>
        <x:v>当前CP亲密值为0</x:v>
      </x:c>
    </x:row>
    <x:row r="304" ht="17">
      <x:c r="A304" s="58" t="s">
        <x:v>1252</x:v>
      </x:c>
      <x:c r="B304" s="58" t="s">
        <x:v>1253</x:v>
      </x:c>
      <x:c r="C304" s="58" t="s">
        <x:v>1254</x:v>
      </x:c>
      <x:c r="D304" s="58" t="s">
        <x:v>14</x:v>
      </x:c>
      <x:c r="E304" s="18" t="s">
        <x:v>1255</x:v>
      </x:c>
      <x:c r="F304" s="18"/>
      <x:c r="G304" s="126">
        <x:v>0</x:v>
      </x:c>
      <x:c r="H304" s="126" t="e">
        <x:f>IF(G304="","",IF(G304&lt;参数与口径!$E$6,1,MATCH(G304,等级配置!$C$4:$C$103,1)))</x:f>
        <x:v>#NAME?</x:v>
      </x:c>
      <x:c r="I304" s="58" t="e">
        <x:f>IF(H304="","",INDEX(等级配置!$B$4:$B$103,H304))</x:f>
        <x:v>#NAME?</x:v>
      </x:c>
      <x:c r="J304" s="58" t="e">
        <x:f>IF(AND(D304="当前已婚",G304&lt;参数与口径!$E$6),"存量兼容Lv1",IF(G304&gt;=等级配置!$C$103,"Lv100溢出","正常"))</x:f>
        <x:v>#NAME?</x:v>
      </x:c>
      <x:c r="K304" s="20" t="str">
        <x:f t="shared" si="4"/>
        <x:v>当前CP亲密值为0</x:v>
      </x:c>
    </x:row>
    <x:row r="305" ht="17">
      <x:c r="A305" s="58" t="s">
        <x:v>1256</x:v>
      </x:c>
      <x:c r="B305" s="58" t="s">
        <x:v>1257</x:v>
      </x:c>
      <x:c r="C305" s="58" t="s">
        <x:v>1258</x:v>
      </x:c>
      <x:c r="D305" s="58" t="s">
        <x:v>14</x:v>
      </x:c>
      <x:c r="E305" s="18" t="s">
        <x:v>1259</x:v>
      </x:c>
      <x:c r="F305" s="18"/>
      <x:c r="G305" s="126">
        <x:v>0</x:v>
      </x:c>
      <x:c r="H305" s="126" t="e">
        <x:f>IF(G305="","",IF(G305&lt;参数与口径!$E$6,1,MATCH(G305,等级配置!$C$4:$C$103,1)))</x:f>
        <x:v>#NAME?</x:v>
      </x:c>
      <x:c r="I305" s="58" t="e">
        <x:f>IF(H305="","",INDEX(等级配置!$B$4:$B$103,H305))</x:f>
        <x:v>#NAME?</x:v>
      </x:c>
      <x:c r="J305" s="58" t="e">
        <x:f>IF(AND(D305="当前已婚",G305&lt;参数与口径!$E$6),"存量兼容Lv1",IF(G305&gt;=等级配置!$C$103,"Lv100溢出","正常"))</x:f>
        <x:v>#NAME?</x:v>
      </x:c>
      <x:c r="K305" s="20" t="str">
        <x:f t="shared" si="4"/>
        <x:v>当前CP亲密值为0</x:v>
      </x:c>
    </x:row>
    <x:row r="306" ht="17">
      <x:c r="A306" s="58" t="s">
        <x:v>1260</x:v>
      </x:c>
      <x:c r="B306" s="58" t="s">
        <x:v>1261</x:v>
      </x:c>
      <x:c r="C306" s="58" t="s">
        <x:v>1262</x:v>
      </x:c>
      <x:c r="D306" s="58" t="s">
        <x:v>14</x:v>
      </x:c>
      <x:c r="E306" s="18" t="s">
        <x:v>1263</x:v>
      </x:c>
      <x:c r="F306" s="18"/>
      <x:c r="G306" s="126">
        <x:v>0</x:v>
      </x:c>
      <x:c r="H306" s="126" t="e">
        <x:f>IF(G306="","",IF(G306&lt;参数与口径!$E$6,1,MATCH(G306,等级配置!$C$4:$C$103,1)))</x:f>
        <x:v>#NAME?</x:v>
      </x:c>
      <x:c r="I306" s="58" t="e">
        <x:f>IF(H306="","",INDEX(等级配置!$B$4:$B$103,H306))</x:f>
        <x:v>#NAME?</x:v>
      </x:c>
      <x:c r="J306" s="58" t="e">
        <x:f>IF(AND(D306="当前已婚",G306&lt;参数与口径!$E$6),"存量兼容Lv1",IF(G306&gt;=等级配置!$C$103,"Lv100溢出","正常"))</x:f>
        <x:v>#NAME?</x:v>
      </x:c>
      <x:c r="K306" s="20" t="str">
        <x:f t="shared" si="4"/>
        <x:v>当前CP亲密值为0</x:v>
      </x:c>
    </x:row>
    <x:row r="307" ht="17">
      <x:c r="A307" s="58" t="s">
        <x:v>1264</x:v>
      </x:c>
      <x:c r="B307" s="58" t="s">
        <x:v>1265</x:v>
      </x:c>
      <x:c r="C307" s="58" t="s">
        <x:v>1266</x:v>
      </x:c>
      <x:c r="D307" s="58" t="s">
        <x:v>14</x:v>
      </x:c>
      <x:c r="E307" s="18" t="s">
        <x:v>1267</x:v>
      </x:c>
      <x:c r="F307" s="18"/>
      <x:c r="G307" s="126">
        <x:v>0</x:v>
      </x:c>
      <x:c r="H307" s="126" t="e">
        <x:f>IF(G307="","",IF(G307&lt;参数与口径!$E$6,1,MATCH(G307,等级配置!$C$4:$C$103,1)))</x:f>
        <x:v>#NAME?</x:v>
      </x:c>
      <x:c r="I307" s="58" t="e">
        <x:f>IF(H307="","",INDEX(等级配置!$B$4:$B$103,H307))</x:f>
        <x:v>#NAME?</x:v>
      </x:c>
      <x:c r="J307" s="58" t="e">
        <x:f>IF(AND(D307="当前已婚",G307&lt;参数与口径!$E$6),"存量兼容Lv1",IF(G307&gt;=等级配置!$C$103,"Lv100溢出","正常"))</x:f>
        <x:v>#NAME?</x:v>
      </x:c>
      <x:c r="K307" s="20" t="str">
        <x:f t="shared" si="4"/>
        <x:v>当前CP亲密值为0</x:v>
      </x:c>
    </x:row>
    <x:row r="308" ht="17">
      <x:c r="A308" s="58" t="s">
        <x:v>1268</x:v>
      </x:c>
      <x:c r="B308" s="58" t="s">
        <x:v>1269</x:v>
      </x:c>
      <x:c r="C308" s="58" t="s">
        <x:v>1270</x:v>
      </x:c>
      <x:c r="D308" s="58" t="s">
        <x:v>14</x:v>
      </x:c>
      <x:c r="E308" s="18" t="s">
        <x:v>1271</x:v>
      </x:c>
      <x:c r="F308" s="18"/>
      <x:c r="G308" s="126">
        <x:v>0</x:v>
      </x:c>
      <x:c r="H308" s="126" t="e">
        <x:f>IF(G308="","",IF(G308&lt;参数与口径!$E$6,1,MATCH(G308,等级配置!$C$4:$C$103,1)))</x:f>
        <x:v>#NAME?</x:v>
      </x:c>
      <x:c r="I308" s="58" t="e">
        <x:f>IF(H308="","",INDEX(等级配置!$B$4:$B$103,H308))</x:f>
        <x:v>#NAME?</x:v>
      </x:c>
      <x:c r="J308" s="58" t="e">
        <x:f>IF(AND(D308="当前已婚",G308&lt;参数与口径!$E$6),"存量兼容Lv1",IF(G308&gt;=等级配置!$C$103,"Lv100溢出","正常"))</x:f>
        <x:v>#NAME?</x:v>
      </x:c>
      <x:c r="K308" s="20" t="str">
        <x:f t="shared" si="4"/>
        <x:v>当前CP亲密值为0</x:v>
      </x:c>
    </x:row>
    <x:row r="309" ht="17">
      <x:c r="A309" s="58" t="s">
        <x:v>1272</x:v>
      </x:c>
      <x:c r="B309" s="58" t="s">
        <x:v>1273</x:v>
      </x:c>
      <x:c r="C309" s="58" t="s">
        <x:v>1274</x:v>
      </x:c>
      <x:c r="D309" s="58" t="s">
        <x:v>14</x:v>
      </x:c>
      <x:c r="E309" s="18" t="s">
        <x:v>1275</x:v>
      </x:c>
      <x:c r="F309" s="18"/>
      <x:c r="G309" s="126">
        <x:v>0</x:v>
      </x:c>
      <x:c r="H309" s="126" t="e">
        <x:f>IF(G309="","",IF(G309&lt;参数与口径!$E$6,1,MATCH(G309,等级配置!$C$4:$C$103,1)))</x:f>
        <x:v>#NAME?</x:v>
      </x:c>
      <x:c r="I309" s="58" t="e">
        <x:f>IF(H309="","",INDEX(等级配置!$B$4:$B$103,H309))</x:f>
        <x:v>#NAME?</x:v>
      </x:c>
      <x:c r="J309" s="58" t="e">
        <x:f>IF(AND(D309="当前已婚",G309&lt;参数与口径!$E$6),"存量兼容Lv1",IF(G309&gt;=等级配置!$C$103,"Lv100溢出","正常"))</x:f>
        <x:v>#NAME?</x:v>
      </x:c>
      <x:c r="K309" s="20" t="str">
        <x:f t="shared" si="4"/>
        <x:v>当前CP亲密值为0</x:v>
      </x:c>
    </x:row>
    <x:row r="310" ht="17">
      <x:c r="A310" s="58" t="s">
        <x:v>1276</x:v>
      </x:c>
      <x:c r="B310" s="58" t="s">
        <x:v>1277</x:v>
      </x:c>
      <x:c r="C310" s="58" t="s">
        <x:v>1278</x:v>
      </x:c>
      <x:c r="D310" s="58" t="s">
        <x:v>14</x:v>
      </x:c>
      <x:c r="E310" s="18" t="s">
        <x:v>1279</x:v>
      </x:c>
      <x:c r="F310" s="18"/>
      <x:c r="G310" s="126">
        <x:v>0</x:v>
      </x:c>
      <x:c r="H310" s="126" t="e">
        <x:f>IF(G310="","",IF(G310&lt;参数与口径!$E$6,1,MATCH(G310,等级配置!$C$4:$C$103,1)))</x:f>
        <x:v>#NAME?</x:v>
      </x:c>
      <x:c r="I310" s="58" t="e">
        <x:f>IF(H310="","",INDEX(等级配置!$B$4:$B$103,H310))</x:f>
        <x:v>#NAME?</x:v>
      </x:c>
      <x:c r="J310" s="58" t="e">
        <x:f>IF(AND(D310="当前已婚",G310&lt;参数与口径!$E$6),"存量兼容Lv1",IF(G310&gt;=等级配置!$C$103,"Lv100溢出","正常"))</x:f>
        <x:v>#NAME?</x:v>
      </x:c>
      <x:c r="K310" s="20" t="str">
        <x:f t="shared" si="4"/>
        <x:v>当前CP亲密值为0</x:v>
      </x:c>
    </x:row>
    <x:row r="311" ht="17">
      <x:c r="A311" s="58" t="s">
        <x:v>1280</x:v>
      </x:c>
      <x:c r="B311" s="58" t="s">
        <x:v>1281</x:v>
      </x:c>
      <x:c r="C311" s="58" t="s">
        <x:v>1282</x:v>
      </x:c>
      <x:c r="D311" s="58" t="s">
        <x:v>14</x:v>
      </x:c>
      <x:c r="E311" s="18" t="s">
        <x:v>1283</x:v>
      </x:c>
      <x:c r="F311" s="18"/>
      <x:c r="G311" s="126">
        <x:v>0</x:v>
      </x:c>
      <x:c r="H311" s="126" t="e">
        <x:f>IF(G311="","",IF(G311&lt;参数与口径!$E$6,1,MATCH(G311,等级配置!$C$4:$C$103,1)))</x:f>
        <x:v>#NAME?</x:v>
      </x:c>
      <x:c r="I311" s="58" t="e">
        <x:f>IF(H311="","",INDEX(等级配置!$B$4:$B$103,H311))</x:f>
        <x:v>#NAME?</x:v>
      </x:c>
      <x:c r="J311" s="58" t="e">
        <x:f>IF(AND(D311="当前已婚",G311&lt;参数与口径!$E$6),"存量兼容Lv1",IF(G311&gt;=等级配置!$C$103,"Lv100溢出","正常"))</x:f>
        <x:v>#NAME?</x:v>
      </x:c>
      <x:c r="K311" s="20" t="str">
        <x:f t="shared" si="4"/>
        <x:v>当前CP亲密值为0</x:v>
      </x:c>
    </x:row>
    <x:row r="312" ht="17">
      <x:c r="A312" s="58" t="s">
        <x:v>1284</x:v>
      </x:c>
      <x:c r="B312" s="58" t="s">
        <x:v>1285</x:v>
      </x:c>
      <x:c r="C312" s="58" t="s">
        <x:v>1286</x:v>
      </x:c>
      <x:c r="D312" s="58" t="s">
        <x:v>14</x:v>
      </x:c>
      <x:c r="E312" s="18" t="s">
        <x:v>1287</x:v>
      </x:c>
      <x:c r="F312" s="18"/>
      <x:c r="G312" s="126">
        <x:v>0</x:v>
      </x:c>
      <x:c r="H312" s="126" t="e">
        <x:f>IF(G312="","",IF(G312&lt;参数与口径!$E$6,1,MATCH(G312,等级配置!$C$4:$C$103,1)))</x:f>
        <x:v>#NAME?</x:v>
      </x:c>
      <x:c r="I312" s="58" t="e">
        <x:f>IF(H312="","",INDEX(等级配置!$B$4:$B$103,H312))</x:f>
        <x:v>#NAME?</x:v>
      </x:c>
      <x:c r="J312" s="58" t="e">
        <x:f>IF(AND(D312="当前已婚",G312&lt;参数与口径!$E$6),"存量兼容Lv1",IF(G312&gt;=等级配置!$C$103,"Lv100溢出","正常"))</x:f>
        <x:v>#NAME?</x:v>
      </x:c>
      <x:c r="K312" s="20" t="str">
        <x:f t="shared" si="4"/>
        <x:v>当前CP亲密值为0</x:v>
      </x:c>
    </x:row>
    <x:row r="313" ht="17">
      <x:c r="A313" s="58" t="s">
        <x:v>1288</x:v>
      </x:c>
      <x:c r="B313" s="58" t="s">
        <x:v>1289</x:v>
      </x:c>
      <x:c r="C313" s="58" t="s">
        <x:v>1290</x:v>
      </x:c>
      <x:c r="D313" s="58" t="s">
        <x:v>14</x:v>
      </x:c>
      <x:c r="E313" s="18" t="s">
        <x:v>1291</x:v>
      </x:c>
      <x:c r="F313" s="18"/>
      <x:c r="G313" s="126">
        <x:v>0</x:v>
      </x:c>
      <x:c r="H313" s="126" t="e">
        <x:f>IF(G313="","",IF(G313&lt;参数与口径!$E$6,1,MATCH(G313,等级配置!$C$4:$C$103,1)))</x:f>
        <x:v>#NAME?</x:v>
      </x:c>
      <x:c r="I313" s="58" t="e">
        <x:f>IF(H313="","",INDEX(等级配置!$B$4:$B$103,H313))</x:f>
        <x:v>#NAME?</x:v>
      </x:c>
      <x:c r="J313" s="58" t="e">
        <x:f>IF(AND(D313="当前已婚",G313&lt;参数与口径!$E$6),"存量兼容Lv1",IF(G313&gt;=等级配置!$C$103,"Lv100溢出","正常"))</x:f>
        <x:v>#NAME?</x:v>
      </x:c>
      <x:c r="K313" s="20" t="str">
        <x:f t="shared" si="4"/>
        <x:v>当前CP亲密值为0</x:v>
      </x:c>
    </x:row>
    <x:row r="314" ht="17">
      <x:c r="A314" s="58" t="s">
        <x:v>1292</x:v>
      </x:c>
      <x:c r="B314" s="58" t="s">
        <x:v>1293</x:v>
      </x:c>
      <x:c r="C314" s="58" t="s">
        <x:v>1294</x:v>
      </x:c>
      <x:c r="D314" s="58" t="s">
        <x:v>1295</x:v>
      </x:c>
      <x:c r="E314" s="18" t="s">
        <x:v>1296</x:v>
      </x:c>
      <x:c r="F314" s="18" t="s">
        <x:v>1297</x:v>
      </x:c>
      <x:c r="G314" s="126">
        <x:v>1776406</x:v>
      </x:c>
      <x:c r="H314" s="126" t="e">
        <x:f>IF(G314="","",IF(G314&lt;参数与口径!$E$6,1,MATCH(G314,等级配置!$C$4:$C$103,1)))</x:f>
        <x:v>#NAME?</x:v>
      </x:c>
      <x:c r="I314" s="58" t="e">
        <x:f>IF(H314="","",INDEX(等级配置!$B$4:$B$103,H314))</x:f>
        <x:v>#NAME?</x:v>
      </x:c>
      <x:c r="J314" s="58" t="e">
        <x:f>IF(AND(D314="当前已婚",G314&lt;参数与口径!$E$6),"存量兼容Lv1",IF(G314&gt;=等级配置!$C$103,"Lv100溢出","正常"))</x:f>
        <x:v>#NAME?</x:v>
      </x:c>
      <x:c r="K314" s="20" t="str">
        <x:f t="shared" si="4"/>
      </x:c>
    </x:row>
    <x:row r="315" ht="17">
      <x:c r="A315" s="58" t="s">
        <x:v>1298</x:v>
      </x:c>
      <x:c r="B315" s="58" t="s">
        <x:v>1299</x:v>
      </x:c>
      <x:c r="C315" s="58" t="s">
        <x:v>1300</x:v>
      </x:c>
      <x:c r="D315" s="58" t="s">
        <x:v>1295</x:v>
      </x:c>
      <x:c r="E315" s="18" t="s">
        <x:v>1301</x:v>
      </x:c>
      <x:c r="F315" s="18" t="s">
        <x:v>1302</x:v>
      </x:c>
      <x:c r="G315" s="126">
        <x:v>1016154</x:v>
      </x:c>
      <x:c r="H315" s="126" t="e">
        <x:f>IF(G315="","",IF(G315&lt;参数与口径!$E$6,1,MATCH(G315,等级配置!$C$4:$C$103,1)))</x:f>
        <x:v>#NAME?</x:v>
      </x:c>
      <x:c r="I315" s="58" t="e">
        <x:f>IF(H315="","",INDEX(等级配置!$B$4:$B$103,H315))</x:f>
        <x:v>#NAME?</x:v>
      </x:c>
      <x:c r="J315" s="58" t="e">
        <x:f>IF(AND(D315="当前已婚",G315&lt;参数与口径!$E$6),"存量兼容Lv1",IF(G315&gt;=等级配置!$C$103,"Lv100溢出","正常"))</x:f>
        <x:v>#NAME?</x:v>
      </x:c>
      <x:c r="K315" s="20" t="str">
        <x:f t="shared" si="4"/>
      </x:c>
    </x:row>
    <x:row r="316" ht="17">
      <x:c r="A316" s="58" t="s">
        <x:v>1303</x:v>
      </x:c>
      <x:c r="B316" s="58" t="s">
        <x:v>1304</x:v>
      </x:c>
      <x:c r="C316" s="58" t="s">
        <x:v>38</x:v>
      </x:c>
      <x:c r="D316" s="58" t="s">
        <x:v>1295</x:v>
      </x:c>
      <x:c r="E316" s="18" t="s">
        <x:v>1305</x:v>
      </x:c>
      <x:c r="F316" s="18" t="s">
        <x:v>1306</x:v>
      </x:c>
      <x:c r="G316" s="126">
        <x:v>697151</x:v>
      </x:c>
      <x:c r="H316" s="126" t="e">
        <x:f>IF(G316="","",IF(G316&lt;参数与口径!$E$6,1,MATCH(G316,等级配置!$C$4:$C$103,1)))</x:f>
        <x:v>#NAME?</x:v>
      </x:c>
      <x:c r="I316" s="58" t="e">
        <x:f>IF(H316="","",INDEX(等级配置!$B$4:$B$103,H316))</x:f>
        <x:v>#NAME?</x:v>
      </x:c>
      <x:c r="J316" s="58" t="e">
        <x:f>IF(AND(D316="当前已婚",G316&lt;参数与口径!$E$6),"存量兼容Lv1",IF(G316&gt;=等级配置!$C$103,"Lv100溢出","正常"))</x:f>
        <x:v>#NAME?</x:v>
      </x:c>
      <x:c r="K316" s="20" t="str">
        <x:f t="shared" si="4"/>
      </x:c>
    </x:row>
    <x:row r="317" ht="17">
      <x:c r="A317" s="58" t="s">
        <x:v>1307</x:v>
      </x:c>
      <x:c r="B317" s="58" t="s">
        <x:v>1308</x:v>
      </x:c>
      <x:c r="C317" s="58" t="s">
        <x:v>1309</x:v>
      </x:c>
      <x:c r="D317" s="58" t="s">
        <x:v>1295</x:v>
      </x:c>
      <x:c r="E317" s="18" t="s">
        <x:v>1310</x:v>
      </x:c>
      <x:c r="F317" s="18" t="s">
        <x:v>1311</x:v>
      </x:c>
      <x:c r="G317" s="126">
        <x:v>679546</x:v>
      </x:c>
      <x:c r="H317" s="126" t="e">
        <x:f>IF(G317="","",IF(G317&lt;参数与口径!$E$6,1,MATCH(G317,等级配置!$C$4:$C$103,1)))</x:f>
        <x:v>#NAME?</x:v>
      </x:c>
      <x:c r="I317" s="58" t="e">
        <x:f>IF(H317="","",INDEX(等级配置!$B$4:$B$103,H317))</x:f>
        <x:v>#NAME?</x:v>
      </x:c>
      <x:c r="J317" s="58" t="e">
        <x:f>IF(AND(D317="当前已婚",G317&lt;参数与口径!$E$6),"存量兼容Lv1",IF(G317&gt;=等级配置!$C$103,"Lv100溢出","正常"))</x:f>
        <x:v>#NAME?</x:v>
      </x:c>
      <x:c r="K317" s="20" t="str">
        <x:f t="shared" si="4"/>
      </x:c>
    </x:row>
    <x:row r="318" ht="17">
      <x:c r="A318" s="58" t="s">
        <x:v>1312</x:v>
      </x:c>
      <x:c r="B318" s="58" t="s">
        <x:v>1313</x:v>
      </x:c>
      <x:c r="C318" s="58" t="s">
        <x:v>1314</x:v>
      </x:c>
      <x:c r="D318" s="58" t="s">
        <x:v>1295</x:v>
      </x:c>
      <x:c r="E318" s="18" t="s">
        <x:v>1315</x:v>
      </x:c>
      <x:c r="F318" s="18" t="s">
        <x:v>1316</x:v>
      </x:c>
      <x:c r="G318" s="126">
        <x:v>674521</x:v>
      </x:c>
      <x:c r="H318" s="126" t="e">
        <x:f>IF(G318="","",IF(G318&lt;参数与口径!$E$6,1,MATCH(G318,等级配置!$C$4:$C$103,1)))</x:f>
        <x:v>#NAME?</x:v>
      </x:c>
      <x:c r="I318" s="58" t="e">
        <x:f>IF(H318="","",INDEX(等级配置!$B$4:$B$103,H318))</x:f>
        <x:v>#NAME?</x:v>
      </x:c>
      <x:c r="J318" s="58" t="e">
        <x:f>IF(AND(D318="当前已婚",G318&lt;参数与口径!$E$6),"存量兼容Lv1",IF(G318&gt;=等级配置!$C$103,"Lv100溢出","正常"))</x:f>
        <x:v>#NAME?</x:v>
      </x:c>
      <x:c r="K318" s="20" t="str">
        <x:f t="shared" si="4"/>
      </x:c>
    </x:row>
    <x:row r="319" ht="17">
      <x:c r="A319" s="58" t="s">
        <x:v>1317</x:v>
      </x:c>
      <x:c r="B319" s="58" t="s">
        <x:v>755</x:v>
      </x:c>
      <x:c r="C319" s="58" t="s">
        <x:v>1309</x:v>
      </x:c>
      <x:c r="D319" s="58" t="s">
        <x:v>1295</x:v>
      </x:c>
      <x:c r="E319" s="18" t="s">
        <x:v>1318</x:v>
      </x:c>
      <x:c r="F319" s="18" t="s">
        <x:v>1319</x:v>
      </x:c>
      <x:c r="G319" s="126">
        <x:v>670522</x:v>
      </x:c>
      <x:c r="H319" s="126" t="e">
        <x:f>IF(G319="","",IF(G319&lt;参数与口径!$E$6,1,MATCH(G319,等级配置!$C$4:$C$103,1)))</x:f>
        <x:v>#NAME?</x:v>
      </x:c>
      <x:c r="I319" s="58" t="e">
        <x:f>IF(H319="","",INDEX(等级配置!$B$4:$B$103,H319))</x:f>
        <x:v>#NAME?</x:v>
      </x:c>
      <x:c r="J319" s="58" t="e">
        <x:f>IF(AND(D319="当前已婚",G319&lt;参数与口径!$E$6),"存量兼容Lv1",IF(G319&gt;=等级配置!$C$103,"Lv100溢出","正常"))</x:f>
        <x:v>#NAME?</x:v>
      </x:c>
      <x:c r="K319" s="20" t="str">
        <x:f t="shared" si="4"/>
      </x:c>
    </x:row>
    <x:row r="320" ht="17">
      <x:c r="A320" s="58" t="s">
        <x:v>1320</x:v>
      </x:c>
      <x:c r="B320" s="58" t="s">
        <x:v>1321</x:v>
      </x:c>
      <x:c r="C320" s="58" t="s">
        <x:v>1322</x:v>
      </x:c>
      <x:c r="D320" s="58" t="s">
        <x:v>1295</x:v>
      </x:c>
      <x:c r="E320" s="18" t="s">
        <x:v>1323</x:v>
      </x:c>
      <x:c r="F320" s="18" t="s">
        <x:v>1324</x:v>
      </x:c>
      <x:c r="G320" s="126">
        <x:v>524506</x:v>
      </x:c>
      <x:c r="H320" s="126" t="e">
        <x:f>IF(G320="","",IF(G320&lt;参数与口径!$E$6,1,MATCH(G320,等级配置!$C$4:$C$103,1)))</x:f>
        <x:v>#NAME?</x:v>
      </x:c>
      <x:c r="I320" s="58" t="e">
        <x:f>IF(H320="","",INDEX(等级配置!$B$4:$B$103,H320))</x:f>
        <x:v>#NAME?</x:v>
      </x:c>
      <x:c r="J320" s="58" t="e">
        <x:f>IF(AND(D320="当前已婚",G320&lt;参数与口径!$E$6),"存量兼容Lv1",IF(G320&gt;=等级配置!$C$103,"Lv100溢出","正常"))</x:f>
        <x:v>#NAME?</x:v>
      </x:c>
      <x:c r="K320" s="20" t="str">
        <x:f t="shared" si="4"/>
      </x:c>
    </x:row>
    <x:row r="321" ht="17">
      <x:c r="A321" s="58" t="s">
        <x:v>1325</x:v>
      </x:c>
      <x:c r="B321" s="58" t="s">
        <x:v>1326</x:v>
      </x:c>
      <x:c r="C321" s="58" t="s">
        <x:v>1327</x:v>
      </x:c>
      <x:c r="D321" s="58" t="s">
        <x:v>1295</x:v>
      </x:c>
      <x:c r="E321" s="18" t="s">
        <x:v>1328</x:v>
      </x:c>
      <x:c r="F321" s="18" t="s">
        <x:v>1329</x:v>
      </x:c>
      <x:c r="G321" s="126">
        <x:v>523907</x:v>
      </x:c>
      <x:c r="H321" s="126" t="e">
        <x:f>IF(G321="","",IF(G321&lt;参数与口径!$E$6,1,MATCH(G321,等级配置!$C$4:$C$103,1)))</x:f>
        <x:v>#NAME?</x:v>
      </x:c>
      <x:c r="I321" s="58" t="e">
        <x:f>IF(H321="","",INDEX(等级配置!$B$4:$B$103,H321))</x:f>
        <x:v>#NAME?</x:v>
      </x:c>
      <x:c r="J321" s="58" t="e">
        <x:f>IF(AND(D321="当前已婚",G321&lt;参数与口径!$E$6),"存量兼容Lv1",IF(G321&gt;=等级配置!$C$103,"Lv100溢出","正常"))</x:f>
        <x:v>#NAME?</x:v>
      </x:c>
      <x:c r="K321" s="20" t="str">
        <x:f t="shared" si="4"/>
      </x:c>
    </x:row>
    <x:row r="322" ht="17">
      <x:c r="A322" s="58" t="s">
        <x:v>1330</x:v>
      </x:c>
      <x:c r="B322" s="58" t="s">
        <x:v>1331</x:v>
      </x:c>
      <x:c r="C322" s="58" t="s">
        <x:v>1332</x:v>
      </x:c>
      <x:c r="D322" s="58" t="s">
        <x:v>1295</x:v>
      </x:c>
      <x:c r="E322" s="18" t="s">
        <x:v>1333</x:v>
      </x:c>
      <x:c r="F322" s="18" t="s">
        <x:v>1334</x:v>
      </x:c>
      <x:c r="G322" s="126">
        <x:v>493259</x:v>
      </x:c>
      <x:c r="H322" s="126" t="e">
        <x:f>IF(G322="","",IF(G322&lt;参数与口径!$E$6,1,MATCH(G322,等级配置!$C$4:$C$103,1)))</x:f>
        <x:v>#NAME?</x:v>
      </x:c>
      <x:c r="I322" s="58" t="e">
        <x:f>IF(H322="","",INDEX(等级配置!$B$4:$B$103,H322))</x:f>
        <x:v>#NAME?</x:v>
      </x:c>
      <x:c r="J322" s="58" t="e">
        <x:f>IF(AND(D322="当前已婚",G322&lt;参数与口径!$E$6),"存量兼容Lv1",IF(G322&gt;=等级配置!$C$103,"Lv100溢出","正常"))</x:f>
        <x:v>#NAME?</x:v>
      </x:c>
      <x:c r="K322" s="20" t="str">
        <x:f t="shared" ref="K322:K385" si="5">IF(AND(D322="当前已婚",F322&lt;&gt;""),"当前已婚但存在离婚日期",IF(AND(D322="当前已婚",G322=0),"当前CP亲密值为0",""))</x:f>
      </x:c>
    </x:row>
    <x:row r="323" ht="17">
      <x:c r="A323" s="58" t="s">
        <x:v>1335</x:v>
      </x:c>
      <x:c r="B323" s="58" t="s">
        <x:v>1336</x:v>
      </x:c>
      <x:c r="C323" s="58" t="s">
        <x:v>1337</x:v>
      </x:c>
      <x:c r="D323" s="58" t="s">
        <x:v>1295</x:v>
      </x:c>
      <x:c r="E323" s="18" t="s">
        <x:v>1338</x:v>
      </x:c>
      <x:c r="F323" s="18" t="s">
        <x:v>1339</x:v>
      </x:c>
      <x:c r="G323" s="126">
        <x:v>418599</x:v>
      </x:c>
      <x:c r="H323" s="126" t="e">
        <x:f>IF(G323="","",IF(G323&lt;参数与口径!$E$6,1,MATCH(G323,等级配置!$C$4:$C$103,1)))</x:f>
        <x:v>#NAME?</x:v>
      </x:c>
      <x:c r="I323" s="58" t="e">
        <x:f>IF(H323="","",INDEX(等级配置!$B$4:$B$103,H323))</x:f>
        <x:v>#NAME?</x:v>
      </x:c>
      <x:c r="J323" s="58" t="e">
        <x:f>IF(AND(D323="当前已婚",G323&lt;参数与口径!$E$6),"存量兼容Lv1",IF(G323&gt;=等级配置!$C$103,"Lv100溢出","正常"))</x:f>
        <x:v>#NAME?</x:v>
      </x:c>
      <x:c r="K323" s="20" t="str">
        <x:f t="shared" si="5"/>
      </x:c>
    </x:row>
    <x:row r="324" ht="17">
      <x:c r="A324" s="58" t="s">
        <x:v>1340</x:v>
      </x:c>
      <x:c r="B324" s="58" t="s">
        <x:v>128</x:v>
      </x:c>
      <x:c r="C324" s="58" t="s">
        <x:v>1341</x:v>
      </x:c>
      <x:c r="D324" s="58" t="s">
        <x:v>1295</x:v>
      </x:c>
      <x:c r="E324" s="18" t="s">
        <x:v>1342</x:v>
      </x:c>
      <x:c r="F324" s="18" t="s">
        <x:v>1343</x:v>
      </x:c>
      <x:c r="G324" s="126">
        <x:v>386062</x:v>
      </x:c>
      <x:c r="H324" s="126" t="e">
        <x:f>IF(G324="","",IF(G324&lt;参数与口径!$E$6,1,MATCH(G324,等级配置!$C$4:$C$103,1)))</x:f>
        <x:v>#NAME?</x:v>
      </x:c>
      <x:c r="I324" s="58" t="e">
        <x:f>IF(H324="","",INDEX(等级配置!$B$4:$B$103,H324))</x:f>
        <x:v>#NAME?</x:v>
      </x:c>
      <x:c r="J324" s="58" t="e">
        <x:f>IF(AND(D324="当前已婚",G324&lt;参数与口径!$E$6),"存量兼容Lv1",IF(G324&gt;=等级配置!$C$103,"Lv100溢出","正常"))</x:f>
        <x:v>#NAME?</x:v>
      </x:c>
      <x:c r="K324" s="20" t="str">
        <x:f t="shared" si="5"/>
      </x:c>
    </x:row>
    <x:row r="325" ht="17">
      <x:c r="A325" s="58" t="s">
        <x:v>1344</x:v>
      </x:c>
      <x:c r="B325" s="58" t="s">
        <x:v>1345</x:v>
      </x:c>
      <x:c r="C325" s="58" t="s">
        <x:v>1346</x:v>
      </x:c>
      <x:c r="D325" s="58" t="s">
        <x:v>1295</x:v>
      </x:c>
      <x:c r="E325" s="18" t="s">
        <x:v>1347</x:v>
      </x:c>
      <x:c r="F325" s="18" t="s">
        <x:v>1348</x:v>
      </x:c>
      <x:c r="G325" s="126">
        <x:v>372983</x:v>
      </x:c>
      <x:c r="H325" s="126" t="e">
        <x:f>IF(G325="","",IF(G325&lt;参数与口径!$E$6,1,MATCH(G325,等级配置!$C$4:$C$103,1)))</x:f>
        <x:v>#NAME?</x:v>
      </x:c>
      <x:c r="I325" s="58" t="e">
        <x:f>IF(H325="","",INDEX(等级配置!$B$4:$B$103,H325))</x:f>
        <x:v>#NAME?</x:v>
      </x:c>
      <x:c r="J325" s="58" t="e">
        <x:f>IF(AND(D325="当前已婚",G325&lt;参数与口径!$E$6),"存量兼容Lv1",IF(G325&gt;=等级配置!$C$103,"Lv100溢出","正常"))</x:f>
        <x:v>#NAME?</x:v>
      </x:c>
      <x:c r="K325" s="20" t="str">
        <x:f t="shared" si="5"/>
      </x:c>
    </x:row>
    <x:row r="326" ht="17">
      <x:c r="A326" s="58" t="s">
        <x:v>1349</x:v>
      </x:c>
      <x:c r="B326" s="58" t="s">
        <x:v>781</x:v>
      </x:c>
      <x:c r="C326" s="58" t="s">
        <x:v>1350</x:v>
      </x:c>
      <x:c r="D326" s="58" t="s">
        <x:v>1295</x:v>
      </x:c>
      <x:c r="E326" s="18" t="s">
        <x:v>1351</x:v>
      </x:c>
      <x:c r="F326" s="18" t="s">
        <x:v>1352</x:v>
      </x:c>
      <x:c r="G326" s="126">
        <x:v>332810</x:v>
      </x:c>
      <x:c r="H326" s="126" t="e">
        <x:f>IF(G326="","",IF(G326&lt;参数与口径!$E$6,1,MATCH(G326,等级配置!$C$4:$C$103,1)))</x:f>
        <x:v>#NAME?</x:v>
      </x:c>
      <x:c r="I326" s="58" t="e">
        <x:f>IF(H326="","",INDEX(等级配置!$B$4:$B$103,H326))</x:f>
        <x:v>#NAME?</x:v>
      </x:c>
      <x:c r="J326" s="58" t="e">
        <x:f>IF(AND(D326="当前已婚",G326&lt;参数与口径!$E$6),"存量兼容Lv1",IF(G326&gt;=等级配置!$C$103,"Lv100溢出","正常"))</x:f>
        <x:v>#NAME?</x:v>
      </x:c>
      <x:c r="K326" s="20" t="str">
        <x:f t="shared" si="5"/>
      </x:c>
    </x:row>
    <x:row r="327" ht="17">
      <x:c r="A327" s="58" t="s">
        <x:v>1353</x:v>
      </x:c>
      <x:c r="B327" s="58" t="s">
        <x:v>1354</x:v>
      </x:c>
      <x:c r="C327" s="58" t="s">
        <x:v>89</x:v>
      </x:c>
      <x:c r="D327" s="58" t="s">
        <x:v>1295</x:v>
      </x:c>
      <x:c r="E327" s="18" t="s">
        <x:v>1355</x:v>
      </x:c>
      <x:c r="F327" s="18" t="s">
        <x:v>1356</x:v>
      </x:c>
      <x:c r="G327" s="126">
        <x:v>329618</x:v>
      </x:c>
      <x:c r="H327" s="126" t="e">
        <x:f>IF(G327="","",IF(G327&lt;参数与口径!$E$6,1,MATCH(G327,等级配置!$C$4:$C$103,1)))</x:f>
        <x:v>#NAME?</x:v>
      </x:c>
      <x:c r="I327" s="58" t="e">
        <x:f>IF(H327="","",INDEX(等级配置!$B$4:$B$103,H327))</x:f>
        <x:v>#NAME?</x:v>
      </x:c>
      <x:c r="J327" s="58" t="e">
        <x:f>IF(AND(D327="当前已婚",G327&lt;参数与口径!$E$6),"存量兼容Lv1",IF(G327&gt;=等级配置!$C$103,"Lv100溢出","正常"))</x:f>
        <x:v>#NAME?</x:v>
      </x:c>
      <x:c r="K327" s="20" t="str">
        <x:f t="shared" si="5"/>
      </x:c>
    </x:row>
    <x:row r="328" ht="17">
      <x:c r="A328" s="58" t="s">
        <x:v>1357</x:v>
      </x:c>
      <x:c r="B328" s="58" t="s">
        <x:v>1358</x:v>
      </x:c>
      <x:c r="C328" s="58" t="s">
        <x:v>1359</x:v>
      </x:c>
      <x:c r="D328" s="58" t="s">
        <x:v>1295</x:v>
      </x:c>
      <x:c r="E328" s="18" t="s">
        <x:v>1360</x:v>
      </x:c>
      <x:c r="F328" s="18" t="s">
        <x:v>1361</x:v>
      </x:c>
      <x:c r="G328" s="126">
        <x:v>319106</x:v>
      </x:c>
      <x:c r="H328" s="126" t="e">
        <x:f>IF(G328="","",IF(G328&lt;参数与口径!$E$6,1,MATCH(G328,等级配置!$C$4:$C$103,1)))</x:f>
        <x:v>#NAME?</x:v>
      </x:c>
      <x:c r="I328" s="58" t="e">
        <x:f>IF(H328="","",INDEX(等级配置!$B$4:$B$103,H328))</x:f>
        <x:v>#NAME?</x:v>
      </x:c>
      <x:c r="J328" s="58" t="e">
        <x:f>IF(AND(D328="当前已婚",G328&lt;参数与口径!$E$6),"存量兼容Lv1",IF(G328&gt;=等级配置!$C$103,"Lv100溢出","正常"))</x:f>
        <x:v>#NAME?</x:v>
      </x:c>
      <x:c r="K328" s="20" t="str">
        <x:f t="shared" si="5"/>
      </x:c>
    </x:row>
    <x:row r="329" ht="17">
      <x:c r="A329" s="58" t="s">
        <x:v>1362</x:v>
      </x:c>
      <x:c r="B329" s="58" t="s">
        <x:v>1363</x:v>
      </x:c>
      <x:c r="C329" s="58" t="s">
        <x:v>1364</x:v>
      </x:c>
      <x:c r="D329" s="58" t="s">
        <x:v>1295</x:v>
      </x:c>
      <x:c r="E329" s="18" t="s">
        <x:v>1365</x:v>
      </x:c>
      <x:c r="F329" s="18" t="s">
        <x:v>1366</x:v>
      </x:c>
      <x:c r="G329" s="126">
        <x:v>314352</x:v>
      </x:c>
      <x:c r="H329" s="126" t="e">
        <x:f>IF(G329="","",IF(G329&lt;参数与口径!$E$6,1,MATCH(G329,等级配置!$C$4:$C$103,1)))</x:f>
        <x:v>#NAME?</x:v>
      </x:c>
      <x:c r="I329" s="58" t="e">
        <x:f>IF(H329="","",INDEX(等级配置!$B$4:$B$103,H329))</x:f>
        <x:v>#NAME?</x:v>
      </x:c>
      <x:c r="J329" s="58" t="e">
        <x:f>IF(AND(D329="当前已婚",G329&lt;参数与口径!$E$6),"存量兼容Lv1",IF(G329&gt;=等级配置!$C$103,"Lv100溢出","正常"))</x:f>
        <x:v>#NAME?</x:v>
      </x:c>
      <x:c r="K329" s="20" t="str">
        <x:f t="shared" si="5"/>
      </x:c>
    </x:row>
    <x:row r="330" ht="17">
      <x:c r="A330" s="58" t="s">
        <x:v>1367</x:v>
      </x:c>
      <x:c r="B330" s="58" t="s">
        <x:v>1368</x:v>
      </x:c>
      <x:c r="C330" s="58" t="s">
        <x:v>1369</x:v>
      </x:c>
      <x:c r="D330" s="58" t="s">
        <x:v>1295</x:v>
      </x:c>
      <x:c r="E330" s="18" t="s">
        <x:v>1370</x:v>
      </x:c>
      <x:c r="F330" s="18" t="s">
        <x:v>1371</x:v>
      </x:c>
      <x:c r="G330" s="126">
        <x:v>313908</x:v>
      </x:c>
      <x:c r="H330" s="126" t="e">
        <x:f>IF(G330="","",IF(G330&lt;参数与口径!$E$6,1,MATCH(G330,等级配置!$C$4:$C$103,1)))</x:f>
        <x:v>#NAME?</x:v>
      </x:c>
      <x:c r="I330" s="58" t="e">
        <x:f>IF(H330="","",INDEX(等级配置!$B$4:$B$103,H330))</x:f>
        <x:v>#NAME?</x:v>
      </x:c>
      <x:c r="J330" s="58" t="e">
        <x:f>IF(AND(D330="当前已婚",G330&lt;参数与口径!$E$6),"存量兼容Lv1",IF(G330&gt;=等级配置!$C$103,"Lv100溢出","正常"))</x:f>
        <x:v>#NAME?</x:v>
      </x:c>
      <x:c r="K330" s="20" t="str">
        <x:f t="shared" si="5"/>
      </x:c>
    </x:row>
    <x:row r="331" ht="17">
      <x:c r="A331" s="58" t="s">
        <x:v>1372</x:v>
      </x:c>
      <x:c r="B331" s="58" t="s">
        <x:v>1373</x:v>
      </x:c>
      <x:c r="C331" s="58" t="s">
        <x:v>1322</x:v>
      </x:c>
      <x:c r="D331" s="58" t="s">
        <x:v>1295</x:v>
      </x:c>
      <x:c r="E331" s="18" t="s">
        <x:v>1374</x:v>
      </x:c>
      <x:c r="F331" s="18" t="s">
        <x:v>1375</x:v>
      </x:c>
      <x:c r="G331" s="126">
        <x:v>308675</x:v>
      </x:c>
      <x:c r="H331" s="126" t="e">
        <x:f>IF(G331="","",IF(G331&lt;参数与口径!$E$6,1,MATCH(G331,等级配置!$C$4:$C$103,1)))</x:f>
        <x:v>#NAME?</x:v>
      </x:c>
      <x:c r="I331" s="58" t="e">
        <x:f>IF(H331="","",INDEX(等级配置!$B$4:$B$103,H331))</x:f>
        <x:v>#NAME?</x:v>
      </x:c>
      <x:c r="J331" s="58" t="e">
        <x:f>IF(AND(D331="当前已婚",G331&lt;参数与口径!$E$6),"存量兼容Lv1",IF(G331&gt;=等级配置!$C$103,"Lv100溢出","正常"))</x:f>
        <x:v>#NAME?</x:v>
      </x:c>
      <x:c r="K331" s="20" t="str">
        <x:f t="shared" si="5"/>
      </x:c>
    </x:row>
    <x:row r="332" ht="17">
      <x:c r="A332" s="58" t="s">
        <x:v>1376</x:v>
      </x:c>
      <x:c r="B332" s="58" t="s">
        <x:v>37</x:v>
      </x:c>
      <x:c r="C332" s="58" t="s">
        <x:v>1377</x:v>
      </x:c>
      <x:c r="D332" s="58" t="s">
        <x:v>1295</x:v>
      </x:c>
      <x:c r="E332" s="18" t="s">
        <x:v>1378</x:v>
      </x:c>
      <x:c r="F332" s="18" t="s">
        <x:v>1379</x:v>
      </x:c>
      <x:c r="G332" s="126">
        <x:v>296412</x:v>
      </x:c>
      <x:c r="H332" s="126" t="e">
        <x:f>IF(G332="","",IF(G332&lt;参数与口径!$E$6,1,MATCH(G332,等级配置!$C$4:$C$103,1)))</x:f>
        <x:v>#NAME?</x:v>
      </x:c>
      <x:c r="I332" s="58" t="e">
        <x:f>IF(H332="","",INDEX(等级配置!$B$4:$B$103,H332))</x:f>
        <x:v>#NAME?</x:v>
      </x:c>
      <x:c r="J332" s="58" t="e">
        <x:f>IF(AND(D332="当前已婚",G332&lt;参数与口径!$E$6),"存量兼容Lv1",IF(G332&gt;=等级配置!$C$103,"Lv100溢出","正常"))</x:f>
        <x:v>#NAME?</x:v>
      </x:c>
      <x:c r="K332" s="20" t="str">
        <x:f t="shared" si="5"/>
      </x:c>
    </x:row>
    <x:row r="333" ht="17">
      <x:c r="A333" s="58" t="s">
        <x:v>1380</x:v>
      </x:c>
      <x:c r="B333" s="58" t="s">
        <x:v>1381</x:v>
      </x:c>
      <x:c r="C333" s="58" t="s">
        <x:v>1382</x:v>
      </x:c>
      <x:c r="D333" s="58" t="s">
        <x:v>1295</x:v>
      </x:c>
      <x:c r="E333" s="18" t="s">
        <x:v>1383</x:v>
      </x:c>
      <x:c r="F333" s="18" t="s">
        <x:v>1384</x:v>
      </x:c>
      <x:c r="G333" s="126">
        <x:v>291382</x:v>
      </x:c>
      <x:c r="H333" s="126" t="e">
        <x:f>IF(G333="","",IF(G333&lt;参数与口径!$E$6,1,MATCH(G333,等级配置!$C$4:$C$103,1)))</x:f>
        <x:v>#NAME?</x:v>
      </x:c>
      <x:c r="I333" s="58" t="e">
        <x:f>IF(H333="","",INDEX(等级配置!$B$4:$B$103,H333))</x:f>
        <x:v>#NAME?</x:v>
      </x:c>
      <x:c r="J333" s="58" t="e">
        <x:f>IF(AND(D333="当前已婚",G333&lt;参数与口径!$E$6),"存量兼容Lv1",IF(G333&gt;=等级配置!$C$103,"Lv100溢出","正常"))</x:f>
        <x:v>#NAME?</x:v>
      </x:c>
      <x:c r="K333" s="20" t="str">
        <x:f t="shared" si="5"/>
      </x:c>
    </x:row>
    <x:row r="334" ht="17">
      <x:c r="A334" s="58" t="s">
        <x:v>1385</x:v>
      </x:c>
      <x:c r="B334" s="58" t="s">
        <x:v>1386</x:v>
      </x:c>
      <x:c r="C334" s="58" t="s">
        <x:v>1387</x:v>
      </x:c>
      <x:c r="D334" s="58" t="s">
        <x:v>1295</x:v>
      </x:c>
      <x:c r="E334" s="18" t="s">
        <x:v>1388</x:v>
      </x:c>
      <x:c r="F334" s="18" t="s">
        <x:v>1389</x:v>
      </x:c>
      <x:c r="G334" s="126">
        <x:v>271333</x:v>
      </x:c>
      <x:c r="H334" s="126" t="e">
        <x:f>IF(G334="","",IF(G334&lt;参数与口径!$E$6,1,MATCH(G334,等级配置!$C$4:$C$103,1)))</x:f>
        <x:v>#NAME?</x:v>
      </x:c>
      <x:c r="I334" s="58" t="e">
        <x:f>IF(H334="","",INDEX(等级配置!$B$4:$B$103,H334))</x:f>
        <x:v>#NAME?</x:v>
      </x:c>
      <x:c r="J334" s="58" t="e">
        <x:f>IF(AND(D334="当前已婚",G334&lt;参数与口径!$E$6),"存量兼容Lv1",IF(G334&gt;=等级配置!$C$103,"Lv100溢出","正常"))</x:f>
        <x:v>#NAME?</x:v>
      </x:c>
      <x:c r="K334" s="20" t="str">
        <x:f t="shared" si="5"/>
      </x:c>
    </x:row>
    <x:row r="335" ht="17">
      <x:c r="A335" s="58" t="s">
        <x:v>1390</x:v>
      </x:c>
      <x:c r="B335" s="58" t="s">
        <x:v>1391</x:v>
      </x:c>
      <x:c r="C335" s="58" t="s">
        <x:v>1392</x:v>
      </x:c>
      <x:c r="D335" s="58" t="s">
        <x:v>1295</x:v>
      </x:c>
      <x:c r="E335" s="18" t="s">
        <x:v>1393</x:v>
      </x:c>
      <x:c r="F335" s="18" t="s">
        <x:v>1394</x:v>
      </x:c>
      <x:c r="G335" s="126">
        <x:v>238999</x:v>
      </x:c>
      <x:c r="H335" s="126" t="e">
        <x:f>IF(G335="","",IF(G335&lt;参数与口径!$E$6,1,MATCH(G335,等级配置!$C$4:$C$103,1)))</x:f>
        <x:v>#NAME?</x:v>
      </x:c>
      <x:c r="I335" s="58" t="e">
        <x:f>IF(H335="","",INDEX(等级配置!$B$4:$B$103,H335))</x:f>
        <x:v>#NAME?</x:v>
      </x:c>
      <x:c r="J335" s="58" t="e">
        <x:f>IF(AND(D335="当前已婚",G335&lt;参数与口径!$E$6),"存量兼容Lv1",IF(G335&gt;=等级配置!$C$103,"Lv100溢出","正常"))</x:f>
        <x:v>#NAME?</x:v>
      </x:c>
      <x:c r="K335" s="20" t="str">
        <x:f t="shared" si="5"/>
      </x:c>
    </x:row>
    <x:row r="336" ht="17">
      <x:c r="A336" s="58" t="s">
        <x:v>1395</x:v>
      </x:c>
      <x:c r="B336" s="58" t="s">
        <x:v>1185</x:v>
      </x:c>
      <x:c r="C336" s="58" t="s">
        <x:v>54</x:v>
      </x:c>
      <x:c r="D336" s="58" t="s">
        <x:v>1295</x:v>
      </x:c>
      <x:c r="E336" s="18" t="s">
        <x:v>1396</x:v>
      </x:c>
      <x:c r="F336" s="18" t="s">
        <x:v>1397</x:v>
      </x:c>
      <x:c r="G336" s="126">
        <x:v>234316</x:v>
      </x:c>
      <x:c r="H336" s="126" t="e">
        <x:f>IF(G336="","",IF(G336&lt;参数与口径!$E$6,1,MATCH(G336,等级配置!$C$4:$C$103,1)))</x:f>
        <x:v>#NAME?</x:v>
      </x:c>
      <x:c r="I336" s="58" t="e">
        <x:f>IF(H336="","",INDEX(等级配置!$B$4:$B$103,H336))</x:f>
        <x:v>#NAME?</x:v>
      </x:c>
      <x:c r="J336" s="58" t="e">
        <x:f>IF(AND(D336="当前已婚",G336&lt;参数与口径!$E$6),"存量兼容Lv1",IF(G336&gt;=等级配置!$C$103,"Lv100溢出","正常"))</x:f>
        <x:v>#NAME?</x:v>
      </x:c>
      <x:c r="K336" s="20" t="str">
        <x:f t="shared" si="5"/>
      </x:c>
    </x:row>
    <x:row r="337" ht="17">
      <x:c r="A337" s="58" t="s">
        <x:v>1398</x:v>
      </x:c>
      <x:c r="B337" s="58" t="s">
        <x:v>1313</x:v>
      </x:c>
      <x:c r="C337" s="58" t="s">
        <x:v>1399</x:v>
      </x:c>
      <x:c r="D337" s="58" t="s">
        <x:v>1295</x:v>
      </x:c>
      <x:c r="E337" s="18" t="s">
        <x:v>1400</x:v>
      </x:c>
      <x:c r="F337" s="18" t="s">
        <x:v>1401</x:v>
      </x:c>
      <x:c r="G337" s="126">
        <x:v>224971</x:v>
      </x:c>
      <x:c r="H337" s="126" t="e">
        <x:f>IF(G337="","",IF(G337&lt;参数与口径!$E$6,1,MATCH(G337,等级配置!$C$4:$C$103,1)))</x:f>
        <x:v>#NAME?</x:v>
      </x:c>
      <x:c r="I337" s="58" t="e">
        <x:f>IF(H337="","",INDEX(等级配置!$B$4:$B$103,H337))</x:f>
        <x:v>#NAME?</x:v>
      </x:c>
      <x:c r="J337" s="58" t="e">
        <x:f>IF(AND(D337="当前已婚",G337&lt;参数与口径!$E$6),"存量兼容Lv1",IF(G337&gt;=等级配置!$C$103,"Lv100溢出","正常"))</x:f>
        <x:v>#NAME?</x:v>
      </x:c>
      <x:c r="K337" s="20" t="str">
        <x:f t="shared" si="5"/>
      </x:c>
    </x:row>
    <x:row r="338" ht="17">
      <x:c r="A338" s="58" t="s">
        <x:v>1402</x:v>
      </x:c>
      <x:c r="B338" s="58" t="s">
        <x:v>1403</x:v>
      </x:c>
      <x:c r="C338" s="58" t="s">
        <x:v>1404</x:v>
      </x:c>
      <x:c r="D338" s="58" t="s">
        <x:v>1295</x:v>
      </x:c>
      <x:c r="E338" s="18" t="s">
        <x:v>1405</x:v>
      </x:c>
      <x:c r="F338" s="18" t="s">
        <x:v>1406</x:v>
      </x:c>
      <x:c r="G338" s="126">
        <x:v>218123</x:v>
      </x:c>
      <x:c r="H338" s="126" t="e">
        <x:f>IF(G338="","",IF(G338&lt;参数与口径!$E$6,1,MATCH(G338,等级配置!$C$4:$C$103,1)))</x:f>
        <x:v>#NAME?</x:v>
      </x:c>
      <x:c r="I338" s="58" t="e">
        <x:f>IF(H338="","",INDEX(等级配置!$B$4:$B$103,H338))</x:f>
        <x:v>#NAME?</x:v>
      </x:c>
      <x:c r="J338" s="58" t="e">
        <x:f>IF(AND(D338="当前已婚",G338&lt;参数与口径!$E$6),"存量兼容Lv1",IF(G338&gt;=等级配置!$C$103,"Lv100溢出","正常"))</x:f>
        <x:v>#NAME?</x:v>
      </x:c>
      <x:c r="K338" s="20" t="str">
        <x:f t="shared" si="5"/>
      </x:c>
    </x:row>
    <x:row r="339" ht="17">
      <x:c r="A339" s="58" t="s">
        <x:v>1407</x:v>
      </x:c>
      <x:c r="B339" s="58" t="s">
        <x:v>1408</x:v>
      </x:c>
      <x:c r="C339" s="58" t="s">
        <x:v>425</x:v>
      </x:c>
      <x:c r="D339" s="58" t="s">
        <x:v>1295</x:v>
      </x:c>
      <x:c r="E339" s="18" t="s">
        <x:v>1409</x:v>
      </x:c>
      <x:c r="F339" s="18" t="s">
        <x:v>1410</x:v>
      </x:c>
      <x:c r="G339" s="126">
        <x:v>205699</x:v>
      </x:c>
      <x:c r="H339" s="126" t="e">
        <x:f>IF(G339="","",IF(G339&lt;参数与口径!$E$6,1,MATCH(G339,等级配置!$C$4:$C$103,1)))</x:f>
        <x:v>#NAME?</x:v>
      </x:c>
      <x:c r="I339" s="58" t="e">
        <x:f>IF(H339="","",INDEX(等级配置!$B$4:$B$103,H339))</x:f>
        <x:v>#NAME?</x:v>
      </x:c>
      <x:c r="J339" s="58" t="e">
        <x:f>IF(AND(D339="当前已婚",G339&lt;参数与口径!$E$6),"存量兼容Lv1",IF(G339&gt;=等级配置!$C$103,"Lv100溢出","正常"))</x:f>
        <x:v>#NAME?</x:v>
      </x:c>
      <x:c r="K339" s="20" t="str">
        <x:f t="shared" si="5"/>
      </x:c>
    </x:row>
    <x:row r="340" ht="17">
      <x:c r="A340" s="58" t="s">
        <x:v>1411</x:v>
      </x:c>
      <x:c r="B340" s="58" t="s">
        <x:v>1412</x:v>
      </x:c>
      <x:c r="C340" s="58" t="s">
        <x:v>1413</x:v>
      </x:c>
      <x:c r="D340" s="58" t="s">
        <x:v>1295</x:v>
      </x:c>
      <x:c r="E340" s="18" t="s">
        <x:v>1414</x:v>
      </x:c>
      <x:c r="F340" s="18" t="s">
        <x:v>1415</x:v>
      </x:c>
      <x:c r="G340" s="126">
        <x:v>202644</x:v>
      </x:c>
      <x:c r="H340" s="126" t="e">
        <x:f>IF(G340="","",IF(G340&lt;参数与口径!$E$6,1,MATCH(G340,等级配置!$C$4:$C$103,1)))</x:f>
        <x:v>#NAME?</x:v>
      </x:c>
      <x:c r="I340" s="58" t="e">
        <x:f>IF(H340="","",INDEX(等级配置!$B$4:$B$103,H340))</x:f>
        <x:v>#NAME?</x:v>
      </x:c>
      <x:c r="J340" s="58" t="e">
        <x:f>IF(AND(D340="当前已婚",G340&lt;参数与口径!$E$6),"存量兼容Lv1",IF(G340&gt;=等级配置!$C$103,"Lv100溢出","正常"))</x:f>
        <x:v>#NAME?</x:v>
      </x:c>
      <x:c r="K340" s="20" t="str">
        <x:f t="shared" si="5"/>
      </x:c>
    </x:row>
    <x:row r="341" ht="17">
      <x:c r="A341" s="58" t="s">
        <x:v>1416</x:v>
      </x:c>
      <x:c r="B341" s="58" t="s">
        <x:v>577</x:v>
      </x:c>
      <x:c r="C341" s="58" t="s">
        <x:v>113</x:v>
      </x:c>
      <x:c r="D341" s="58" t="s">
        <x:v>1295</x:v>
      </x:c>
      <x:c r="E341" s="18" t="s">
        <x:v>1417</x:v>
      </x:c>
      <x:c r="F341" s="18" t="s">
        <x:v>1418</x:v>
      </x:c>
      <x:c r="G341" s="126">
        <x:v>189744</x:v>
      </x:c>
      <x:c r="H341" s="126" t="e">
        <x:f>IF(G341="","",IF(G341&lt;参数与口径!$E$6,1,MATCH(G341,等级配置!$C$4:$C$103,1)))</x:f>
        <x:v>#NAME?</x:v>
      </x:c>
      <x:c r="I341" s="58" t="e">
        <x:f>IF(H341="","",INDEX(等级配置!$B$4:$B$103,H341))</x:f>
        <x:v>#NAME?</x:v>
      </x:c>
      <x:c r="J341" s="58" t="e">
        <x:f>IF(AND(D341="当前已婚",G341&lt;参数与口径!$E$6),"存量兼容Lv1",IF(G341&gt;=等级配置!$C$103,"Lv100溢出","正常"))</x:f>
        <x:v>#NAME?</x:v>
      </x:c>
      <x:c r="K341" s="20" t="str">
        <x:f t="shared" si="5"/>
      </x:c>
    </x:row>
    <x:row r="342" ht="17">
      <x:c r="A342" s="58" t="s">
        <x:v>1419</x:v>
      </x:c>
      <x:c r="B342" s="58" t="s">
        <x:v>1420</x:v>
      </x:c>
      <x:c r="C342" s="58" t="s">
        <x:v>1421</x:v>
      </x:c>
      <x:c r="D342" s="58" t="s">
        <x:v>1295</x:v>
      </x:c>
      <x:c r="E342" s="18" t="s">
        <x:v>1422</x:v>
      </x:c>
      <x:c r="F342" s="18" t="s">
        <x:v>1423</x:v>
      </x:c>
      <x:c r="G342" s="126">
        <x:v>183844</x:v>
      </x:c>
      <x:c r="H342" s="126" t="e">
        <x:f>IF(G342="","",IF(G342&lt;参数与口径!$E$6,1,MATCH(G342,等级配置!$C$4:$C$103,1)))</x:f>
        <x:v>#NAME?</x:v>
      </x:c>
      <x:c r="I342" s="58" t="e">
        <x:f>IF(H342="","",INDEX(等级配置!$B$4:$B$103,H342))</x:f>
        <x:v>#NAME?</x:v>
      </x:c>
      <x:c r="J342" s="58" t="e">
        <x:f>IF(AND(D342="当前已婚",G342&lt;参数与口径!$E$6),"存量兼容Lv1",IF(G342&gt;=等级配置!$C$103,"Lv100溢出","正常"))</x:f>
        <x:v>#NAME?</x:v>
      </x:c>
      <x:c r="K342" s="20" t="str">
        <x:f t="shared" si="5"/>
      </x:c>
    </x:row>
    <x:row r="343" ht="17">
      <x:c r="A343" s="58" t="s">
        <x:v>1424</x:v>
      </x:c>
      <x:c r="B343" s="58" t="s">
        <x:v>1425</x:v>
      </x:c>
      <x:c r="C343" s="58" t="s">
        <x:v>1426</x:v>
      </x:c>
      <x:c r="D343" s="58" t="s">
        <x:v>1295</x:v>
      </x:c>
      <x:c r="E343" s="18" t="s">
        <x:v>1427</x:v>
      </x:c>
      <x:c r="F343" s="18" t="s">
        <x:v>1428</x:v>
      </x:c>
      <x:c r="G343" s="126">
        <x:v>181432</x:v>
      </x:c>
      <x:c r="H343" s="126" t="e">
        <x:f>IF(G343="","",IF(G343&lt;参数与口径!$E$6,1,MATCH(G343,等级配置!$C$4:$C$103,1)))</x:f>
        <x:v>#NAME?</x:v>
      </x:c>
      <x:c r="I343" s="58" t="e">
        <x:f>IF(H343="","",INDEX(等级配置!$B$4:$B$103,H343))</x:f>
        <x:v>#NAME?</x:v>
      </x:c>
      <x:c r="J343" s="58" t="e">
        <x:f>IF(AND(D343="当前已婚",G343&lt;参数与口径!$E$6),"存量兼容Lv1",IF(G343&gt;=等级配置!$C$103,"Lv100溢出","正常"))</x:f>
        <x:v>#NAME?</x:v>
      </x:c>
      <x:c r="K343" s="20" t="str">
        <x:f t="shared" si="5"/>
      </x:c>
    </x:row>
    <x:row r="344" ht="17">
      <x:c r="A344" s="58" t="s">
        <x:v>1429</x:v>
      </x:c>
      <x:c r="B344" s="58" t="s">
        <x:v>1430</x:v>
      </x:c>
      <x:c r="C344" s="58" t="s">
        <x:v>1431</x:v>
      </x:c>
      <x:c r="D344" s="58" t="s">
        <x:v>1295</x:v>
      </x:c>
      <x:c r="E344" s="18" t="s">
        <x:v>1432</x:v>
      </x:c>
      <x:c r="F344" s="18" t="s">
        <x:v>1433</x:v>
      </x:c>
      <x:c r="G344" s="126">
        <x:v>179089</x:v>
      </x:c>
      <x:c r="H344" s="126" t="e">
        <x:f>IF(G344="","",IF(G344&lt;参数与口径!$E$6,1,MATCH(G344,等级配置!$C$4:$C$103,1)))</x:f>
        <x:v>#NAME?</x:v>
      </x:c>
      <x:c r="I344" s="58" t="e">
        <x:f>IF(H344="","",INDEX(等级配置!$B$4:$B$103,H344))</x:f>
        <x:v>#NAME?</x:v>
      </x:c>
      <x:c r="J344" s="58" t="e">
        <x:f>IF(AND(D344="当前已婚",G344&lt;参数与口径!$E$6),"存量兼容Lv1",IF(G344&gt;=等级配置!$C$103,"Lv100溢出","正常"))</x:f>
        <x:v>#NAME?</x:v>
      </x:c>
      <x:c r="K344" s="20" t="str">
        <x:f t="shared" si="5"/>
      </x:c>
    </x:row>
    <x:row r="345" ht="17">
      <x:c r="A345" s="58" t="s">
        <x:v>1434</x:v>
      </x:c>
      <x:c r="B345" s="58" t="s">
        <x:v>1435</x:v>
      </x:c>
      <x:c r="C345" s="58" t="s">
        <x:v>1436</x:v>
      </x:c>
      <x:c r="D345" s="58" t="s">
        <x:v>1295</x:v>
      </x:c>
      <x:c r="E345" s="18" t="s">
        <x:v>1437</x:v>
      </x:c>
      <x:c r="F345" s="18" t="s">
        <x:v>1438</x:v>
      </x:c>
      <x:c r="G345" s="126">
        <x:v>172795</x:v>
      </x:c>
      <x:c r="H345" s="126" t="e">
        <x:f>IF(G345="","",IF(G345&lt;参数与口径!$E$6,1,MATCH(G345,等级配置!$C$4:$C$103,1)))</x:f>
        <x:v>#NAME?</x:v>
      </x:c>
      <x:c r="I345" s="58" t="e">
        <x:f>IF(H345="","",INDEX(等级配置!$B$4:$B$103,H345))</x:f>
        <x:v>#NAME?</x:v>
      </x:c>
      <x:c r="J345" s="58" t="e">
        <x:f>IF(AND(D345="当前已婚",G345&lt;参数与口径!$E$6),"存量兼容Lv1",IF(G345&gt;=等级配置!$C$103,"Lv100溢出","正常"))</x:f>
        <x:v>#NAME?</x:v>
      </x:c>
      <x:c r="K345" s="20" t="str">
        <x:f t="shared" si="5"/>
      </x:c>
    </x:row>
    <x:row r="346" ht="17">
      <x:c r="A346" s="58" t="s">
        <x:v>1439</x:v>
      </x:c>
      <x:c r="B346" s="58" t="s">
        <x:v>88</x:v>
      </x:c>
      <x:c r="C346" s="58" t="s">
        <x:v>1440</x:v>
      </x:c>
      <x:c r="D346" s="58" t="s">
        <x:v>1295</x:v>
      </x:c>
      <x:c r="E346" s="18" t="s">
        <x:v>1441</x:v>
      </x:c>
      <x:c r="F346" s="18" t="s">
        <x:v>1442</x:v>
      </x:c>
      <x:c r="G346" s="126">
        <x:v>165463</x:v>
      </x:c>
      <x:c r="H346" s="126" t="e">
        <x:f>IF(G346="","",IF(G346&lt;参数与口径!$E$6,1,MATCH(G346,等级配置!$C$4:$C$103,1)))</x:f>
        <x:v>#NAME?</x:v>
      </x:c>
      <x:c r="I346" s="58" t="e">
        <x:f>IF(H346="","",INDEX(等级配置!$B$4:$B$103,H346))</x:f>
        <x:v>#NAME?</x:v>
      </x:c>
      <x:c r="J346" s="58" t="e">
        <x:f>IF(AND(D346="当前已婚",G346&lt;参数与口径!$E$6),"存量兼容Lv1",IF(G346&gt;=等级配置!$C$103,"Lv100溢出","正常"))</x:f>
        <x:v>#NAME?</x:v>
      </x:c>
      <x:c r="K346" s="20" t="str">
        <x:f t="shared" si="5"/>
      </x:c>
    </x:row>
    <x:row r="347" ht="17">
      <x:c r="A347" s="58" t="s">
        <x:v>1443</x:v>
      </x:c>
      <x:c r="B347" s="58" t="s">
        <x:v>1444</x:v>
      </x:c>
      <x:c r="C347" s="58" t="s">
        <x:v>1445</x:v>
      </x:c>
      <x:c r="D347" s="58" t="s">
        <x:v>1295</x:v>
      </x:c>
      <x:c r="E347" s="18" t="s">
        <x:v>1446</x:v>
      </x:c>
      <x:c r="F347" s="18" t="s">
        <x:v>1447</x:v>
      </x:c>
      <x:c r="G347" s="126">
        <x:v>163792</x:v>
      </x:c>
      <x:c r="H347" s="126" t="e">
        <x:f>IF(G347="","",IF(G347&lt;参数与口径!$E$6,1,MATCH(G347,等级配置!$C$4:$C$103,1)))</x:f>
        <x:v>#NAME?</x:v>
      </x:c>
      <x:c r="I347" s="58" t="e">
        <x:f>IF(H347="","",INDEX(等级配置!$B$4:$B$103,H347))</x:f>
        <x:v>#NAME?</x:v>
      </x:c>
      <x:c r="J347" s="58" t="e">
        <x:f>IF(AND(D347="当前已婚",G347&lt;参数与口径!$E$6),"存量兼容Lv1",IF(G347&gt;=等级配置!$C$103,"Lv100溢出","正常"))</x:f>
        <x:v>#NAME?</x:v>
      </x:c>
      <x:c r="K347" s="20" t="str">
        <x:f t="shared" si="5"/>
      </x:c>
    </x:row>
    <x:row r="348" ht="17">
      <x:c r="A348" s="58" t="s">
        <x:v>1448</x:v>
      </x:c>
      <x:c r="B348" s="58" t="s">
        <x:v>1449</x:v>
      </x:c>
      <x:c r="C348" s="58" t="s">
        <x:v>1450</x:v>
      </x:c>
      <x:c r="D348" s="58" t="s">
        <x:v>1295</x:v>
      </x:c>
      <x:c r="E348" s="18" t="s">
        <x:v>1451</x:v>
      </x:c>
      <x:c r="F348" s="18" t="s">
        <x:v>1452</x:v>
      </x:c>
      <x:c r="G348" s="126">
        <x:v>156705</x:v>
      </x:c>
      <x:c r="H348" s="126" t="e">
        <x:f>IF(G348="","",IF(G348&lt;参数与口径!$E$6,1,MATCH(G348,等级配置!$C$4:$C$103,1)))</x:f>
        <x:v>#NAME?</x:v>
      </x:c>
      <x:c r="I348" s="58" t="e">
        <x:f>IF(H348="","",INDEX(等级配置!$B$4:$B$103,H348))</x:f>
        <x:v>#NAME?</x:v>
      </x:c>
      <x:c r="J348" s="58" t="e">
        <x:f>IF(AND(D348="当前已婚",G348&lt;参数与口径!$E$6),"存量兼容Lv1",IF(G348&gt;=等级配置!$C$103,"Lv100溢出","正常"))</x:f>
        <x:v>#NAME?</x:v>
      </x:c>
      <x:c r="K348" s="20" t="str">
        <x:f t="shared" si="5"/>
      </x:c>
    </x:row>
    <x:row r="349" ht="17">
      <x:c r="A349" s="58" t="s">
        <x:v>1453</x:v>
      </x:c>
      <x:c r="B349" s="58" t="s">
        <x:v>1454</x:v>
      </x:c>
      <x:c r="C349" s="58" t="s">
        <x:v>1455</x:v>
      </x:c>
      <x:c r="D349" s="58" t="s">
        <x:v>1295</x:v>
      </x:c>
      <x:c r="E349" s="18" t="s">
        <x:v>1456</x:v>
      </x:c>
      <x:c r="F349" s="18" t="s">
        <x:v>1457</x:v>
      </x:c>
      <x:c r="G349" s="126">
        <x:v>152804</x:v>
      </x:c>
      <x:c r="H349" s="126" t="e">
        <x:f>IF(G349="","",IF(G349&lt;参数与口径!$E$6,1,MATCH(G349,等级配置!$C$4:$C$103,1)))</x:f>
        <x:v>#NAME?</x:v>
      </x:c>
      <x:c r="I349" s="58" t="e">
        <x:f>IF(H349="","",INDEX(等级配置!$B$4:$B$103,H349))</x:f>
        <x:v>#NAME?</x:v>
      </x:c>
      <x:c r="J349" s="58" t="e">
        <x:f>IF(AND(D349="当前已婚",G349&lt;参数与口径!$E$6),"存量兼容Lv1",IF(G349&gt;=等级配置!$C$103,"Lv100溢出","正常"))</x:f>
        <x:v>#NAME?</x:v>
      </x:c>
      <x:c r="K349" s="20" t="str">
        <x:f t="shared" si="5"/>
      </x:c>
    </x:row>
    <x:row r="350" ht="17">
      <x:c r="A350" s="58" t="s">
        <x:v>1458</x:v>
      </x:c>
      <x:c r="B350" s="58" t="s">
        <x:v>1459</x:v>
      </x:c>
      <x:c r="C350" s="58" t="s">
        <x:v>1460</x:v>
      </x:c>
      <x:c r="D350" s="58" t="s">
        <x:v>1295</x:v>
      </x:c>
      <x:c r="E350" s="18" t="s">
        <x:v>1461</x:v>
      </x:c>
      <x:c r="F350" s="18" t="s">
        <x:v>1462</x:v>
      </x:c>
      <x:c r="G350" s="126">
        <x:v>143858</x:v>
      </x:c>
      <x:c r="H350" s="126" t="e">
        <x:f>IF(G350="","",IF(G350&lt;参数与口径!$E$6,1,MATCH(G350,等级配置!$C$4:$C$103,1)))</x:f>
        <x:v>#NAME?</x:v>
      </x:c>
      <x:c r="I350" s="58" t="e">
        <x:f>IF(H350="","",INDEX(等级配置!$B$4:$B$103,H350))</x:f>
        <x:v>#NAME?</x:v>
      </x:c>
      <x:c r="J350" s="58" t="e">
        <x:f>IF(AND(D350="当前已婚",G350&lt;参数与口径!$E$6),"存量兼容Lv1",IF(G350&gt;=等级配置!$C$103,"Lv100溢出","正常"))</x:f>
        <x:v>#NAME?</x:v>
      </x:c>
      <x:c r="K350" s="20" t="str">
        <x:f t="shared" si="5"/>
      </x:c>
    </x:row>
    <x:row r="351" ht="17">
      <x:c r="A351" s="58" t="s">
        <x:v>1463</x:v>
      </x:c>
      <x:c r="B351" s="58" t="s">
        <x:v>1464</x:v>
      </x:c>
      <x:c r="C351" s="58" t="s">
        <x:v>1465</x:v>
      </x:c>
      <x:c r="D351" s="58" t="s">
        <x:v>1295</x:v>
      </x:c>
      <x:c r="E351" s="18" t="s">
        <x:v>1466</x:v>
      </x:c>
      <x:c r="F351" s="18" t="s">
        <x:v>1467</x:v>
      </x:c>
      <x:c r="G351" s="126">
        <x:v>141620</x:v>
      </x:c>
      <x:c r="H351" s="126" t="e">
        <x:f>IF(G351="","",IF(G351&lt;参数与口径!$E$6,1,MATCH(G351,等级配置!$C$4:$C$103,1)))</x:f>
        <x:v>#NAME?</x:v>
      </x:c>
      <x:c r="I351" s="58" t="e">
        <x:f>IF(H351="","",INDEX(等级配置!$B$4:$B$103,H351))</x:f>
        <x:v>#NAME?</x:v>
      </x:c>
      <x:c r="J351" s="58" t="e">
        <x:f>IF(AND(D351="当前已婚",G351&lt;参数与口径!$E$6),"存量兼容Lv1",IF(G351&gt;=等级配置!$C$103,"Lv100溢出","正常"))</x:f>
        <x:v>#NAME?</x:v>
      </x:c>
      <x:c r="K351" s="20" t="str">
        <x:f t="shared" si="5"/>
      </x:c>
    </x:row>
    <x:row r="352" ht="17">
      <x:c r="A352" s="58" t="s">
        <x:v>1468</x:v>
      </x:c>
      <x:c r="B352" s="58" t="s">
        <x:v>1469</x:v>
      </x:c>
      <x:c r="C352" s="58" t="s">
        <x:v>1470</x:v>
      </x:c>
      <x:c r="D352" s="58" t="s">
        <x:v>1295</x:v>
      </x:c>
      <x:c r="E352" s="18" t="s">
        <x:v>1471</x:v>
      </x:c>
      <x:c r="F352" s="18" t="s">
        <x:v>1472</x:v>
      </x:c>
      <x:c r="G352" s="126">
        <x:v>139929</x:v>
      </x:c>
      <x:c r="H352" s="126" t="e">
        <x:f>IF(G352="","",IF(G352&lt;参数与口径!$E$6,1,MATCH(G352,等级配置!$C$4:$C$103,1)))</x:f>
        <x:v>#NAME?</x:v>
      </x:c>
      <x:c r="I352" s="58" t="e">
        <x:f>IF(H352="","",INDEX(等级配置!$B$4:$B$103,H352))</x:f>
        <x:v>#NAME?</x:v>
      </x:c>
      <x:c r="J352" s="58" t="e">
        <x:f>IF(AND(D352="当前已婚",G352&lt;参数与口径!$E$6),"存量兼容Lv1",IF(G352&gt;=等级配置!$C$103,"Lv100溢出","正常"))</x:f>
        <x:v>#NAME?</x:v>
      </x:c>
      <x:c r="K352" s="20" t="str">
        <x:f t="shared" si="5"/>
      </x:c>
    </x:row>
    <x:row r="353" ht="17">
      <x:c r="A353" s="58" t="s">
        <x:v>1473</x:v>
      </x:c>
      <x:c r="B353" s="58" t="s">
        <x:v>1474</x:v>
      </x:c>
      <x:c r="C353" s="58" t="s">
        <x:v>1475</x:v>
      </x:c>
      <x:c r="D353" s="58" t="s">
        <x:v>1295</x:v>
      </x:c>
      <x:c r="E353" s="18" t="s">
        <x:v>1476</x:v>
      </x:c>
      <x:c r="F353" s="18" t="s">
        <x:v>1477</x:v>
      </x:c>
      <x:c r="G353" s="126">
        <x:v>139481</x:v>
      </x:c>
      <x:c r="H353" s="126" t="e">
        <x:f>IF(G353="","",IF(G353&lt;参数与口径!$E$6,1,MATCH(G353,等级配置!$C$4:$C$103,1)))</x:f>
        <x:v>#NAME?</x:v>
      </x:c>
      <x:c r="I353" s="58" t="e">
        <x:f>IF(H353="","",INDEX(等级配置!$B$4:$B$103,H353))</x:f>
        <x:v>#NAME?</x:v>
      </x:c>
      <x:c r="J353" s="58" t="e">
        <x:f>IF(AND(D353="当前已婚",G353&lt;参数与口径!$E$6),"存量兼容Lv1",IF(G353&gt;=等级配置!$C$103,"Lv100溢出","正常"))</x:f>
        <x:v>#NAME?</x:v>
      </x:c>
      <x:c r="K353" s="20" t="str">
        <x:f t="shared" si="5"/>
      </x:c>
    </x:row>
    <x:row r="354" ht="17">
      <x:c r="A354" s="58" t="s">
        <x:v>1478</x:v>
      </x:c>
      <x:c r="B354" s="58" t="s">
        <x:v>1479</x:v>
      </x:c>
      <x:c r="C354" s="58" t="s">
        <x:v>1480</x:v>
      </x:c>
      <x:c r="D354" s="58" t="s">
        <x:v>1295</x:v>
      </x:c>
      <x:c r="E354" s="18" t="s">
        <x:v>1481</x:v>
      </x:c>
      <x:c r="F354" s="18" t="s">
        <x:v>1482</x:v>
      </x:c>
      <x:c r="G354" s="126">
        <x:v>125566</x:v>
      </x:c>
      <x:c r="H354" s="126" t="e">
        <x:f>IF(G354="","",IF(G354&lt;参数与口径!$E$6,1,MATCH(G354,等级配置!$C$4:$C$103,1)))</x:f>
        <x:v>#NAME?</x:v>
      </x:c>
      <x:c r="I354" s="58" t="e">
        <x:f>IF(H354="","",INDEX(等级配置!$B$4:$B$103,H354))</x:f>
        <x:v>#NAME?</x:v>
      </x:c>
      <x:c r="J354" s="58" t="e">
        <x:f>IF(AND(D354="当前已婚",G354&lt;参数与口径!$E$6),"存量兼容Lv1",IF(G354&gt;=等级配置!$C$103,"Lv100溢出","正常"))</x:f>
        <x:v>#NAME?</x:v>
      </x:c>
      <x:c r="K354" s="20" t="str">
        <x:f t="shared" si="5"/>
      </x:c>
    </x:row>
    <x:row r="355" ht="17">
      <x:c r="A355" s="58" t="s">
        <x:v>1483</x:v>
      </x:c>
      <x:c r="B355" s="58" t="s">
        <x:v>1484</x:v>
      </x:c>
      <x:c r="C355" s="58" t="s">
        <x:v>1404</x:v>
      </x:c>
      <x:c r="D355" s="58" t="s">
        <x:v>1295</x:v>
      </x:c>
      <x:c r="E355" s="18" t="s">
        <x:v>1485</x:v>
      </x:c>
      <x:c r="F355" s="18" t="s">
        <x:v>1486</x:v>
      </x:c>
      <x:c r="G355" s="126">
        <x:v>117339</x:v>
      </x:c>
      <x:c r="H355" s="126" t="e">
        <x:f>IF(G355="","",IF(G355&lt;参数与口径!$E$6,1,MATCH(G355,等级配置!$C$4:$C$103,1)))</x:f>
        <x:v>#NAME?</x:v>
      </x:c>
      <x:c r="I355" s="58" t="e">
        <x:f>IF(H355="","",INDEX(等级配置!$B$4:$B$103,H355))</x:f>
        <x:v>#NAME?</x:v>
      </x:c>
      <x:c r="J355" s="58" t="e">
        <x:f>IF(AND(D355="当前已婚",G355&lt;参数与口径!$E$6),"存量兼容Lv1",IF(G355&gt;=等级配置!$C$103,"Lv100溢出","正常"))</x:f>
        <x:v>#NAME?</x:v>
      </x:c>
      <x:c r="K355" s="20" t="str">
        <x:f t="shared" si="5"/>
      </x:c>
    </x:row>
    <x:row r="356" ht="17">
      <x:c r="A356" s="58" t="s">
        <x:v>1487</x:v>
      </x:c>
      <x:c r="B356" s="58" t="s">
        <x:v>1488</x:v>
      </x:c>
      <x:c r="C356" s="58" t="s">
        <x:v>1489</x:v>
      </x:c>
      <x:c r="D356" s="58" t="s">
        <x:v>1295</x:v>
      </x:c>
      <x:c r="E356" s="18" t="s">
        <x:v>1490</x:v>
      </x:c>
      <x:c r="F356" s="18" t="s">
        <x:v>1491</x:v>
      </x:c>
      <x:c r="G356" s="126">
        <x:v>115978</x:v>
      </x:c>
      <x:c r="H356" s="126" t="e">
        <x:f>IF(G356="","",IF(G356&lt;参数与口径!$E$6,1,MATCH(G356,等级配置!$C$4:$C$103,1)))</x:f>
        <x:v>#NAME?</x:v>
      </x:c>
      <x:c r="I356" s="58" t="e">
        <x:f>IF(H356="","",INDEX(等级配置!$B$4:$B$103,H356))</x:f>
        <x:v>#NAME?</x:v>
      </x:c>
      <x:c r="J356" s="58" t="e">
        <x:f>IF(AND(D356="当前已婚",G356&lt;参数与口径!$E$6),"存量兼容Lv1",IF(G356&gt;=等级配置!$C$103,"Lv100溢出","正常"))</x:f>
        <x:v>#NAME?</x:v>
      </x:c>
      <x:c r="K356" s="20" t="str">
        <x:f t="shared" si="5"/>
      </x:c>
    </x:row>
    <x:row r="357" ht="17">
      <x:c r="A357" s="58" t="s">
        <x:v>1492</x:v>
      </x:c>
      <x:c r="B357" s="58" t="s">
        <x:v>1493</x:v>
      </x:c>
      <x:c r="C357" s="58" t="s">
        <x:v>1494</x:v>
      </x:c>
      <x:c r="D357" s="58" t="s">
        <x:v>1295</x:v>
      </x:c>
      <x:c r="E357" s="18" t="s">
        <x:v>1495</x:v>
      </x:c>
      <x:c r="F357" s="18" t="s">
        <x:v>1496</x:v>
      </x:c>
      <x:c r="G357" s="126">
        <x:v>108984</x:v>
      </x:c>
      <x:c r="H357" s="126" t="e">
        <x:f>IF(G357="","",IF(G357&lt;参数与口径!$E$6,1,MATCH(G357,等级配置!$C$4:$C$103,1)))</x:f>
        <x:v>#NAME?</x:v>
      </x:c>
      <x:c r="I357" s="58" t="e">
        <x:f>IF(H357="","",INDEX(等级配置!$B$4:$B$103,H357))</x:f>
        <x:v>#NAME?</x:v>
      </x:c>
      <x:c r="J357" s="58" t="e">
        <x:f>IF(AND(D357="当前已婚",G357&lt;参数与口径!$E$6),"存量兼容Lv1",IF(G357&gt;=等级配置!$C$103,"Lv100溢出","正常"))</x:f>
        <x:v>#NAME?</x:v>
      </x:c>
      <x:c r="K357" s="20" t="str">
        <x:f t="shared" si="5"/>
      </x:c>
    </x:row>
    <x:row r="358" ht="17">
      <x:c r="A358" s="58" t="s">
        <x:v>1497</x:v>
      </x:c>
      <x:c r="B358" s="58" t="s">
        <x:v>1498</x:v>
      </x:c>
      <x:c r="C358" s="58" t="s">
        <x:v>1499</x:v>
      </x:c>
      <x:c r="D358" s="58" t="s">
        <x:v>1295</x:v>
      </x:c>
      <x:c r="E358" s="18" t="s">
        <x:v>1500</x:v>
      </x:c>
      <x:c r="F358" s="18" t="s">
        <x:v>1501</x:v>
      </x:c>
      <x:c r="G358" s="126">
        <x:v>105177</x:v>
      </x:c>
      <x:c r="H358" s="126" t="e">
        <x:f>IF(G358="","",IF(G358&lt;参数与口径!$E$6,1,MATCH(G358,等级配置!$C$4:$C$103,1)))</x:f>
        <x:v>#NAME?</x:v>
      </x:c>
      <x:c r="I358" s="58" t="e">
        <x:f>IF(H358="","",INDEX(等级配置!$B$4:$B$103,H358))</x:f>
        <x:v>#NAME?</x:v>
      </x:c>
      <x:c r="J358" s="58" t="e">
        <x:f>IF(AND(D358="当前已婚",G358&lt;参数与口径!$E$6),"存量兼容Lv1",IF(G358&gt;=等级配置!$C$103,"Lv100溢出","正常"))</x:f>
        <x:v>#NAME?</x:v>
      </x:c>
      <x:c r="K358" s="20" t="str">
        <x:f t="shared" si="5"/>
      </x:c>
    </x:row>
    <x:row r="359" ht="17">
      <x:c r="A359" s="58" t="s">
        <x:v>1502</x:v>
      </x:c>
      <x:c r="B359" s="58" t="s">
        <x:v>1503</x:v>
      </x:c>
      <x:c r="C359" s="58" t="s">
        <x:v>1504</x:v>
      </x:c>
      <x:c r="D359" s="58" t="s">
        <x:v>1295</x:v>
      </x:c>
      <x:c r="E359" s="18" t="s">
        <x:v>1505</x:v>
      </x:c>
      <x:c r="F359" s="18" t="s">
        <x:v>1506</x:v>
      </x:c>
      <x:c r="G359" s="126">
        <x:v>103046</x:v>
      </x:c>
      <x:c r="H359" s="126" t="e">
        <x:f>IF(G359="","",IF(G359&lt;参数与口径!$E$6,1,MATCH(G359,等级配置!$C$4:$C$103,1)))</x:f>
        <x:v>#NAME?</x:v>
      </x:c>
      <x:c r="I359" s="58" t="e">
        <x:f>IF(H359="","",INDEX(等级配置!$B$4:$B$103,H359))</x:f>
        <x:v>#NAME?</x:v>
      </x:c>
      <x:c r="J359" s="58" t="e">
        <x:f>IF(AND(D359="当前已婚",G359&lt;参数与口径!$E$6),"存量兼容Lv1",IF(G359&gt;=等级配置!$C$103,"Lv100溢出","正常"))</x:f>
        <x:v>#NAME?</x:v>
      </x:c>
      <x:c r="K359" s="20" t="str">
        <x:f t="shared" si="5"/>
      </x:c>
    </x:row>
    <x:row r="360" ht="17">
      <x:c r="A360" s="58" t="s">
        <x:v>1507</x:v>
      </x:c>
      <x:c r="B360" s="58" t="s">
        <x:v>1508</x:v>
      </x:c>
      <x:c r="C360" s="58" t="s">
        <x:v>1509</x:v>
      </x:c>
      <x:c r="D360" s="58" t="s">
        <x:v>1295</x:v>
      </x:c>
      <x:c r="E360" s="18" t="s">
        <x:v>1510</x:v>
      </x:c>
      <x:c r="F360" s="18" t="s">
        <x:v>1511</x:v>
      </x:c>
      <x:c r="G360" s="126">
        <x:v>102978</x:v>
      </x:c>
      <x:c r="H360" s="126" t="e">
        <x:f>IF(G360="","",IF(G360&lt;参数与口径!$E$6,1,MATCH(G360,等级配置!$C$4:$C$103,1)))</x:f>
        <x:v>#NAME?</x:v>
      </x:c>
      <x:c r="I360" s="58" t="e">
        <x:f>IF(H360="","",INDEX(等级配置!$B$4:$B$103,H360))</x:f>
        <x:v>#NAME?</x:v>
      </x:c>
      <x:c r="J360" s="58" t="e">
        <x:f>IF(AND(D360="当前已婚",G360&lt;参数与口径!$E$6),"存量兼容Lv1",IF(G360&gt;=等级配置!$C$103,"Lv100溢出","正常"))</x:f>
        <x:v>#NAME?</x:v>
      </x:c>
      <x:c r="K360" s="20" t="str">
        <x:f t="shared" si="5"/>
      </x:c>
    </x:row>
    <x:row r="361" ht="17">
      <x:c r="A361" s="58" t="s">
        <x:v>1512</x:v>
      </x:c>
      <x:c r="B361" s="58" t="s">
        <x:v>1513</x:v>
      </x:c>
      <x:c r="C361" s="58" t="s">
        <x:v>1514</x:v>
      </x:c>
      <x:c r="D361" s="58" t="s">
        <x:v>1295</x:v>
      </x:c>
      <x:c r="E361" s="18" t="s">
        <x:v>1515</x:v>
      </x:c>
      <x:c r="F361" s="18" t="s">
        <x:v>1516</x:v>
      </x:c>
      <x:c r="G361" s="126">
        <x:v>99730</x:v>
      </x:c>
      <x:c r="H361" s="126" t="e">
        <x:f>IF(G361="","",IF(G361&lt;参数与口径!$E$6,1,MATCH(G361,等级配置!$C$4:$C$103,1)))</x:f>
        <x:v>#NAME?</x:v>
      </x:c>
      <x:c r="I361" s="58" t="e">
        <x:f>IF(H361="","",INDEX(等级配置!$B$4:$B$103,H361))</x:f>
        <x:v>#NAME?</x:v>
      </x:c>
      <x:c r="J361" s="58" t="e">
        <x:f>IF(AND(D361="当前已婚",G361&lt;参数与口径!$E$6),"存量兼容Lv1",IF(G361&gt;=等级配置!$C$103,"Lv100溢出","正常"))</x:f>
        <x:v>#NAME?</x:v>
      </x:c>
      <x:c r="K361" s="20" t="str">
        <x:f t="shared" si="5"/>
      </x:c>
    </x:row>
    <x:row r="362" ht="17">
      <x:c r="A362" s="58" t="s">
        <x:v>1517</x:v>
      </x:c>
      <x:c r="B362" s="58" t="s">
        <x:v>1412</x:v>
      </x:c>
      <x:c r="C362" s="58" t="s">
        <x:v>1518</x:v>
      </x:c>
      <x:c r="D362" s="58" t="s">
        <x:v>1295</x:v>
      </x:c>
      <x:c r="E362" s="18" t="s">
        <x:v>1519</x:v>
      </x:c>
      <x:c r="F362" s="18" t="s">
        <x:v>1520</x:v>
      </x:c>
      <x:c r="G362" s="126">
        <x:v>98966</x:v>
      </x:c>
      <x:c r="H362" s="126" t="e">
        <x:f>IF(G362="","",IF(G362&lt;参数与口径!$E$6,1,MATCH(G362,等级配置!$C$4:$C$103,1)))</x:f>
        <x:v>#NAME?</x:v>
      </x:c>
      <x:c r="I362" s="58" t="e">
        <x:f>IF(H362="","",INDEX(等级配置!$B$4:$B$103,H362))</x:f>
        <x:v>#NAME?</x:v>
      </x:c>
      <x:c r="J362" s="58" t="e">
        <x:f>IF(AND(D362="当前已婚",G362&lt;参数与口径!$E$6),"存量兼容Lv1",IF(G362&gt;=等级配置!$C$103,"Lv100溢出","正常"))</x:f>
        <x:v>#NAME?</x:v>
      </x:c>
      <x:c r="K362" s="20" t="str">
        <x:f t="shared" si="5"/>
      </x:c>
    </x:row>
    <x:row r="363" ht="17">
      <x:c r="A363" s="58" t="s">
        <x:v>1521</x:v>
      </x:c>
      <x:c r="B363" s="58" t="s">
        <x:v>1381</x:v>
      </x:c>
      <x:c r="C363" s="58" t="s">
        <x:v>1522</x:v>
      </x:c>
      <x:c r="D363" s="58" t="s">
        <x:v>1295</x:v>
      </x:c>
      <x:c r="E363" s="18" t="s">
        <x:v>1523</x:v>
      </x:c>
      <x:c r="F363" s="18" t="s">
        <x:v>1524</x:v>
      </x:c>
      <x:c r="G363" s="126">
        <x:v>98778</x:v>
      </x:c>
      <x:c r="H363" s="126" t="e">
        <x:f>IF(G363="","",IF(G363&lt;参数与口径!$E$6,1,MATCH(G363,等级配置!$C$4:$C$103,1)))</x:f>
        <x:v>#NAME?</x:v>
      </x:c>
      <x:c r="I363" s="58" t="e">
        <x:f>IF(H363="","",INDEX(等级配置!$B$4:$B$103,H363))</x:f>
        <x:v>#NAME?</x:v>
      </x:c>
      <x:c r="J363" s="58" t="e">
        <x:f>IF(AND(D363="当前已婚",G363&lt;参数与口径!$E$6),"存量兼容Lv1",IF(G363&gt;=等级配置!$C$103,"Lv100溢出","正常"))</x:f>
        <x:v>#NAME?</x:v>
      </x:c>
      <x:c r="K363" s="20" t="str">
        <x:f t="shared" si="5"/>
      </x:c>
    </x:row>
    <x:row r="364" ht="17">
      <x:c r="A364" s="58" t="s">
        <x:v>1525</x:v>
      </x:c>
      <x:c r="B364" s="58" t="s">
        <x:v>1526</x:v>
      </x:c>
      <x:c r="C364" s="58" t="s">
        <x:v>1527</x:v>
      </x:c>
      <x:c r="D364" s="58" t="s">
        <x:v>1295</x:v>
      </x:c>
      <x:c r="E364" s="18" t="s">
        <x:v>1528</x:v>
      </x:c>
      <x:c r="F364" s="18" t="s">
        <x:v>1529</x:v>
      </x:c>
      <x:c r="G364" s="126">
        <x:v>98502</x:v>
      </x:c>
      <x:c r="H364" s="126" t="e">
        <x:f>IF(G364="","",IF(G364&lt;参数与口径!$E$6,1,MATCH(G364,等级配置!$C$4:$C$103,1)))</x:f>
        <x:v>#NAME?</x:v>
      </x:c>
      <x:c r="I364" s="58" t="e">
        <x:f>IF(H364="","",INDEX(等级配置!$B$4:$B$103,H364))</x:f>
        <x:v>#NAME?</x:v>
      </x:c>
      <x:c r="J364" s="58" t="e">
        <x:f>IF(AND(D364="当前已婚",G364&lt;参数与口径!$E$6),"存量兼容Lv1",IF(G364&gt;=等级配置!$C$103,"Lv100溢出","正常"))</x:f>
        <x:v>#NAME?</x:v>
      </x:c>
      <x:c r="K364" s="20" t="str">
        <x:f t="shared" si="5"/>
      </x:c>
    </x:row>
    <x:row r="365" ht="17">
      <x:c r="A365" s="58" t="s">
        <x:v>1530</x:v>
      </x:c>
      <x:c r="B365" s="58" t="s">
        <x:v>1531</x:v>
      </x:c>
      <x:c r="C365" s="58" t="s">
        <x:v>1532</x:v>
      </x:c>
      <x:c r="D365" s="58" t="s">
        <x:v>1295</x:v>
      </x:c>
      <x:c r="E365" s="18" t="s">
        <x:v>1533</x:v>
      </x:c>
      <x:c r="F365" s="18" t="s">
        <x:v>1534</x:v>
      </x:c>
      <x:c r="G365" s="126">
        <x:v>96081</x:v>
      </x:c>
      <x:c r="H365" s="126" t="e">
        <x:f>IF(G365="","",IF(G365&lt;参数与口径!$E$6,1,MATCH(G365,等级配置!$C$4:$C$103,1)))</x:f>
        <x:v>#NAME?</x:v>
      </x:c>
      <x:c r="I365" s="58" t="e">
        <x:f>IF(H365="","",INDEX(等级配置!$B$4:$B$103,H365))</x:f>
        <x:v>#NAME?</x:v>
      </x:c>
      <x:c r="J365" s="58" t="e">
        <x:f>IF(AND(D365="当前已婚",G365&lt;参数与口径!$E$6),"存量兼容Lv1",IF(G365&gt;=等级配置!$C$103,"Lv100溢出","正常"))</x:f>
        <x:v>#NAME?</x:v>
      </x:c>
      <x:c r="K365" s="20" t="str">
        <x:f t="shared" si="5"/>
      </x:c>
    </x:row>
    <x:row r="366" ht="17">
      <x:c r="A366" s="58" t="s">
        <x:v>1535</x:v>
      </x:c>
      <x:c r="B366" s="58" t="s">
        <x:v>1536</x:v>
      </x:c>
      <x:c r="C366" s="58" t="s">
        <x:v>1537</x:v>
      </x:c>
      <x:c r="D366" s="58" t="s">
        <x:v>1295</x:v>
      </x:c>
      <x:c r="E366" s="18" t="s">
        <x:v>1538</x:v>
      </x:c>
      <x:c r="F366" s="18" t="s">
        <x:v>1539</x:v>
      </x:c>
      <x:c r="G366" s="126">
        <x:v>93629</x:v>
      </x:c>
      <x:c r="H366" s="126" t="e">
        <x:f>IF(G366="","",IF(G366&lt;参数与口径!$E$6,1,MATCH(G366,等级配置!$C$4:$C$103,1)))</x:f>
        <x:v>#NAME?</x:v>
      </x:c>
      <x:c r="I366" s="58" t="e">
        <x:f>IF(H366="","",INDEX(等级配置!$B$4:$B$103,H366))</x:f>
        <x:v>#NAME?</x:v>
      </x:c>
      <x:c r="J366" s="58" t="e">
        <x:f>IF(AND(D366="当前已婚",G366&lt;参数与口径!$E$6),"存量兼容Lv1",IF(G366&gt;=等级配置!$C$103,"Lv100溢出","正常"))</x:f>
        <x:v>#NAME?</x:v>
      </x:c>
      <x:c r="K366" s="20" t="str">
        <x:f t="shared" si="5"/>
      </x:c>
    </x:row>
    <x:row r="367" ht="17">
      <x:c r="A367" s="58" t="s">
        <x:v>1540</x:v>
      </x:c>
      <x:c r="B367" s="58" t="s">
        <x:v>1541</x:v>
      </x:c>
      <x:c r="C367" s="58" t="s">
        <x:v>1542</x:v>
      </x:c>
      <x:c r="D367" s="58" t="s">
        <x:v>1295</x:v>
      </x:c>
      <x:c r="E367" s="18" t="s">
        <x:v>1543</x:v>
      </x:c>
      <x:c r="F367" s="18" t="s">
        <x:v>1544</x:v>
      </x:c>
      <x:c r="G367" s="126">
        <x:v>93559</x:v>
      </x:c>
      <x:c r="H367" s="126" t="e">
        <x:f>IF(G367="","",IF(G367&lt;参数与口径!$E$6,1,MATCH(G367,等级配置!$C$4:$C$103,1)))</x:f>
        <x:v>#NAME?</x:v>
      </x:c>
      <x:c r="I367" s="58" t="e">
        <x:f>IF(H367="","",INDEX(等级配置!$B$4:$B$103,H367))</x:f>
        <x:v>#NAME?</x:v>
      </x:c>
      <x:c r="J367" s="58" t="e">
        <x:f>IF(AND(D367="当前已婚",G367&lt;参数与口径!$E$6),"存量兼容Lv1",IF(G367&gt;=等级配置!$C$103,"Lv100溢出","正常"))</x:f>
        <x:v>#NAME?</x:v>
      </x:c>
      <x:c r="K367" s="20" t="str">
        <x:f t="shared" si="5"/>
      </x:c>
    </x:row>
    <x:row r="368" ht="17">
      <x:c r="A368" s="58" t="s">
        <x:v>1545</x:v>
      </x:c>
      <x:c r="B368" s="58" t="s">
        <x:v>1546</x:v>
      </x:c>
      <x:c r="C368" s="58" t="s">
        <x:v>1547</x:v>
      </x:c>
      <x:c r="D368" s="58" t="s">
        <x:v>1295</x:v>
      </x:c>
      <x:c r="E368" s="18" t="s">
        <x:v>1548</x:v>
      </x:c>
      <x:c r="F368" s="18" t="s">
        <x:v>1549</x:v>
      </x:c>
      <x:c r="G368" s="126">
        <x:v>89584</x:v>
      </x:c>
      <x:c r="H368" s="126" t="e">
        <x:f>IF(G368="","",IF(G368&lt;参数与口径!$E$6,1,MATCH(G368,等级配置!$C$4:$C$103,1)))</x:f>
        <x:v>#NAME?</x:v>
      </x:c>
      <x:c r="I368" s="58" t="e">
        <x:f>IF(H368="","",INDEX(等级配置!$B$4:$B$103,H368))</x:f>
        <x:v>#NAME?</x:v>
      </x:c>
      <x:c r="J368" s="58" t="e">
        <x:f>IF(AND(D368="当前已婚",G368&lt;参数与口径!$E$6),"存量兼容Lv1",IF(G368&gt;=等级配置!$C$103,"Lv100溢出","正常"))</x:f>
        <x:v>#NAME?</x:v>
      </x:c>
      <x:c r="K368" s="20" t="str">
        <x:f t="shared" si="5"/>
      </x:c>
    </x:row>
    <x:row r="369" ht="17">
      <x:c r="A369" s="58" t="s">
        <x:v>1550</x:v>
      </x:c>
      <x:c r="B369" s="58" t="s">
        <x:v>1551</x:v>
      </x:c>
      <x:c r="C369" s="58" t="s">
        <x:v>1552</x:v>
      </x:c>
      <x:c r="D369" s="58" t="s">
        <x:v>1295</x:v>
      </x:c>
      <x:c r="E369" s="18" t="s">
        <x:v>1553</x:v>
      </x:c>
      <x:c r="F369" s="18" t="s">
        <x:v>1554</x:v>
      </x:c>
      <x:c r="G369" s="126">
        <x:v>87895</x:v>
      </x:c>
      <x:c r="H369" s="126" t="e">
        <x:f>IF(G369="","",IF(G369&lt;参数与口径!$E$6,1,MATCH(G369,等级配置!$C$4:$C$103,1)))</x:f>
        <x:v>#NAME?</x:v>
      </x:c>
      <x:c r="I369" s="58" t="e">
        <x:f>IF(H369="","",INDEX(等级配置!$B$4:$B$103,H369))</x:f>
        <x:v>#NAME?</x:v>
      </x:c>
      <x:c r="J369" s="58" t="e">
        <x:f>IF(AND(D369="当前已婚",G369&lt;参数与口径!$E$6),"存量兼容Lv1",IF(G369&gt;=等级配置!$C$103,"Lv100溢出","正常"))</x:f>
        <x:v>#NAME?</x:v>
      </x:c>
      <x:c r="K369" s="20" t="str">
        <x:f t="shared" si="5"/>
      </x:c>
    </x:row>
    <x:row r="370" ht="17">
      <x:c r="A370" s="58" t="s">
        <x:v>1555</x:v>
      </x:c>
      <x:c r="B370" s="58" t="s">
        <x:v>1556</x:v>
      </x:c>
      <x:c r="C370" s="58" t="s">
        <x:v>1557</x:v>
      </x:c>
      <x:c r="D370" s="58" t="s">
        <x:v>1295</x:v>
      </x:c>
      <x:c r="E370" s="18" t="s">
        <x:v>1558</x:v>
      </x:c>
      <x:c r="F370" s="18" t="s">
        <x:v>1559</x:v>
      </x:c>
      <x:c r="G370" s="126">
        <x:v>87884</x:v>
      </x:c>
      <x:c r="H370" s="126" t="e">
        <x:f>IF(G370="","",IF(G370&lt;参数与口径!$E$6,1,MATCH(G370,等级配置!$C$4:$C$103,1)))</x:f>
        <x:v>#NAME?</x:v>
      </x:c>
      <x:c r="I370" s="58" t="e">
        <x:f>IF(H370="","",INDEX(等级配置!$B$4:$B$103,H370))</x:f>
        <x:v>#NAME?</x:v>
      </x:c>
      <x:c r="J370" s="58" t="e">
        <x:f>IF(AND(D370="当前已婚",G370&lt;参数与口径!$E$6),"存量兼容Lv1",IF(G370&gt;=等级配置!$C$103,"Lv100溢出","正常"))</x:f>
        <x:v>#NAME?</x:v>
      </x:c>
      <x:c r="K370" s="20" t="str">
        <x:f t="shared" si="5"/>
      </x:c>
    </x:row>
    <x:row r="371" ht="17">
      <x:c r="A371" s="58" t="s">
        <x:v>1560</x:v>
      </x:c>
      <x:c r="B371" s="58" t="s">
        <x:v>1561</x:v>
      </x:c>
      <x:c r="C371" s="58" t="s">
        <x:v>220</x:v>
      </x:c>
      <x:c r="D371" s="58" t="s">
        <x:v>1295</x:v>
      </x:c>
      <x:c r="E371" s="18" t="s">
        <x:v>1562</x:v>
      </x:c>
      <x:c r="F371" s="18" t="s">
        <x:v>1563</x:v>
      </x:c>
      <x:c r="G371" s="126">
        <x:v>86874</x:v>
      </x:c>
      <x:c r="H371" s="126" t="e">
        <x:f>IF(G371="","",IF(G371&lt;参数与口径!$E$6,1,MATCH(G371,等级配置!$C$4:$C$103,1)))</x:f>
        <x:v>#NAME?</x:v>
      </x:c>
      <x:c r="I371" s="58" t="e">
        <x:f>IF(H371="","",INDEX(等级配置!$B$4:$B$103,H371))</x:f>
        <x:v>#NAME?</x:v>
      </x:c>
      <x:c r="J371" s="58" t="e">
        <x:f>IF(AND(D371="当前已婚",G371&lt;参数与口径!$E$6),"存量兼容Lv1",IF(G371&gt;=等级配置!$C$103,"Lv100溢出","正常"))</x:f>
        <x:v>#NAME?</x:v>
      </x:c>
      <x:c r="K371" s="20" t="str">
        <x:f t="shared" si="5"/>
      </x:c>
    </x:row>
    <x:row r="372" ht="17">
      <x:c r="A372" s="58" t="s">
        <x:v>1564</x:v>
      </x:c>
      <x:c r="B372" s="58" t="s">
        <x:v>1565</x:v>
      </x:c>
      <x:c r="C372" s="58" t="s">
        <x:v>1566</x:v>
      </x:c>
      <x:c r="D372" s="58" t="s">
        <x:v>1295</x:v>
      </x:c>
      <x:c r="E372" s="18" t="s">
        <x:v>1567</x:v>
      </x:c>
      <x:c r="F372" s="18" t="s">
        <x:v>1568</x:v>
      </x:c>
      <x:c r="G372" s="126">
        <x:v>80842</x:v>
      </x:c>
      <x:c r="H372" s="126" t="e">
        <x:f>IF(G372="","",IF(G372&lt;参数与口径!$E$6,1,MATCH(G372,等级配置!$C$4:$C$103,1)))</x:f>
        <x:v>#NAME?</x:v>
      </x:c>
      <x:c r="I372" s="58" t="e">
        <x:f>IF(H372="","",INDEX(等级配置!$B$4:$B$103,H372))</x:f>
        <x:v>#NAME?</x:v>
      </x:c>
      <x:c r="J372" s="58" t="e">
        <x:f>IF(AND(D372="当前已婚",G372&lt;参数与口径!$E$6),"存量兼容Lv1",IF(G372&gt;=等级配置!$C$103,"Lv100溢出","正常"))</x:f>
        <x:v>#NAME?</x:v>
      </x:c>
      <x:c r="K372" s="20" t="str">
        <x:f t="shared" si="5"/>
      </x:c>
    </x:row>
    <x:row r="373" ht="17">
      <x:c r="A373" s="58" t="s">
        <x:v>1569</x:v>
      </x:c>
      <x:c r="B373" s="58" t="s">
        <x:v>1570</x:v>
      </x:c>
      <x:c r="C373" s="58" t="s">
        <x:v>1571</x:v>
      </x:c>
      <x:c r="D373" s="58" t="s">
        <x:v>1295</x:v>
      </x:c>
      <x:c r="E373" s="18" t="s">
        <x:v>1572</x:v>
      </x:c>
      <x:c r="F373" s="18" t="s">
        <x:v>1573</x:v>
      </x:c>
      <x:c r="G373" s="126">
        <x:v>79681</x:v>
      </x:c>
      <x:c r="H373" s="126" t="e">
        <x:f>IF(G373="","",IF(G373&lt;参数与口径!$E$6,1,MATCH(G373,等级配置!$C$4:$C$103,1)))</x:f>
        <x:v>#NAME?</x:v>
      </x:c>
      <x:c r="I373" s="58" t="e">
        <x:f>IF(H373="","",INDEX(等级配置!$B$4:$B$103,H373))</x:f>
        <x:v>#NAME?</x:v>
      </x:c>
      <x:c r="J373" s="58" t="e">
        <x:f>IF(AND(D373="当前已婚",G373&lt;参数与口径!$E$6),"存量兼容Lv1",IF(G373&gt;=等级配置!$C$103,"Lv100溢出","正常"))</x:f>
        <x:v>#NAME?</x:v>
      </x:c>
      <x:c r="K373" s="20" t="str">
        <x:f t="shared" si="5"/>
      </x:c>
    </x:row>
    <x:row r="374" ht="17">
      <x:c r="A374" s="58" t="s">
        <x:v>1574</x:v>
      </x:c>
      <x:c r="B374" s="58" t="s">
        <x:v>1575</x:v>
      </x:c>
      <x:c r="C374" s="58" t="s">
        <x:v>1576</x:v>
      </x:c>
      <x:c r="D374" s="58" t="s">
        <x:v>1295</x:v>
      </x:c>
      <x:c r="E374" s="18" t="s">
        <x:v>1577</x:v>
      </x:c>
      <x:c r="F374" s="18" t="s">
        <x:v>1578</x:v>
      </x:c>
      <x:c r="G374" s="126">
        <x:v>77614</x:v>
      </x:c>
      <x:c r="H374" s="126" t="e">
        <x:f>IF(G374="","",IF(G374&lt;参数与口径!$E$6,1,MATCH(G374,等级配置!$C$4:$C$103,1)))</x:f>
        <x:v>#NAME?</x:v>
      </x:c>
      <x:c r="I374" s="58" t="e">
        <x:f>IF(H374="","",INDEX(等级配置!$B$4:$B$103,H374))</x:f>
        <x:v>#NAME?</x:v>
      </x:c>
      <x:c r="J374" s="58" t="e">
        <x:f>IF(AND(D374="当前已婚",G374&lt;参数与口径!$E$6),"存量兼容Lv1",IF(G374&gt;=等级配置!$C$103,"Lv100溢出","正常"))</x:f>
        <x:v>#NAME?</x:v>
      </x:c>
      <x:c r="K374" s="20" t="str">
        <x:f t="shared" si="5"/>
      </x:c>
    </x:row>
    <x:row r="375" ht="17">
      <x:c r="A375" s="58" t="s">
        <x:v>1579</x:v>
      </x:c>
      <x:c r="B375" s="58" t="s">
        <x:v>1580</x:v>
      </x:c>
      <x:c r="C375" s="58" t="s">
        <x:v>1581</x:v>
      </x:c>
      <x:c r="D375" s="58" t="s">
        <x:v>1295</x:v>
      </x:c>
      <x:c r="E375" s="18" t="s">
        <x:v>1582</x:v>
      </x:c>
      <x:c r="F375" s="18" t="s">
        <x:v>1583</x:v>
      </x:c>
      <x:c r="G375" s="126">
        <x:v>76930</x:v>
      </x:c>
      <x:c r="H375" s="126" t="e">
        <x:f>IF(G375="","",IF(G375&lt;参数与口径!$E$6,1,MATCH(G375,等级配置!$C$4:$C$103,1)))</x:f>
        <x:v>#NAME?</x:v>
      </x:c>
      <x:c r="I375" s="58" t="e">
        <x:f>IF(H375="","",INDEX(等级配置!$B$4:$B$103,H375))</x:f>
        <x:v>#NAME?</x:v>
      </x:c>
      <x:c r="J375" s="58" t="e">
        <x:f>IF(AND(D375="当前已婚",G375&lt;参数与口径!$E$6),"存量兼容Lv1",IF(G375&gt;=等级配置!$C$103,"Lv100溢出","正常"))</x:f>
        <x:v>#NAME?</x:v>
      </x:c>
      <x:c r="K375" s="20" t="str">
        <x:f t="shared" si="5"/>
      </x:c>
    </x:row>
    <x:row r="376" ht="17">
      <x:c r="A376" s="58" t="s">
        <x:v>1584</x:v>
      </x:c>
      <x:c r="B376" s="58" t="s">
        <x:v>1585</x:v>
      </x:c>
      <x:c r="C376" s="58" t="s">
        <x:v>1586</x:v>
      </x:c>
      <x:c r="D376" s="58" t="s">
        <x:v>1295</x:v>
      </x:c>
      <x:c r="E376" s="18" t="s">
        <x:v>1587</x:v>
      </x:c>
      <x:c r="F376" s="18" t="s">
        <x:v>1588</x:v>
      </x:c>
      <x:c r="G376" s="126">
        <x:v>76823</x:v>
      </x:c>
      <x:c r="H376" s="126" t="e">
        <x:f>IF(G376="","",IF(G376&lt;参数与口径!$E$6,1,MATCH(G376,等级配置!$C$4:$C$103,1)))</x:f>
        <x:v>#NAME?</x:v>
      </x:c>
      <x:c r="I376" s="58" t="e">
        <x:f>IF(H376="","",INDEX(等级配置!$B$4:$B$103,H376))</x:f>
        <x:v>#NAME?</x:v>
      </x:c>
      <x:c r="J376" s="58" t="e">
        <x:f>IF(AND(D376="当前已婚",G376&lt;参数与口径!$E$6),"存量兼容Lv1",IF(G376&gt;=等级配置!$C$103,"Lv100溢出","正常"))</x:f>
        <x:v>#NAME?</x:v>
      </x:c>
      <x:c r="K376" s="20" t="str">
        <x:f t="shared" si="5"/>
      </x:c>
    </x:row>
    <x:row r="377" ht="17">
      <x:c r="A377" s="58" t="s">
        <x:v>1589</x:v>
      </x:c>
      <x:c r="B377" s="58" t="s">
        <x:v>1590</x:v>
      </x:c>
      <x:c r="C377" s="58" t="s">
        <x:v>1591</x:v>
      </x:c>
      <x:c r="D377" s="58" t="s">
        <x:v>1295</x:v>
      </x:c>
      <x:c r="E377" s="18" t="s">
        <x:v>1592</x:v>
      </x:c>
      <x:c r="F377" s="18" t="s">
        <x:v>1593</x:v>
      </x:c>
      <x:c r="G377" s="126">
        <x:v>76337</x:v>
      </x:c>
      <x:c r="H377" s="126" t="e">
        <x:f>IF(G377="","",IF(G377&lt;参数与口径!$E$6,1,MATCH(G377,等级配置!$C$4:$C$103,1)))</x:f>
        <x:v>#NAME?</x:v>
      </x:c>
      <x:c r="I377" s="58" t="e">
        <x:f>IF(H377="","",INDEX(等级配置!$B$4:$B$103,H377))</x:f>
        <x:v>#NAME?</x:v>
      </x:c>
      <x:c r="J377" s="58" t="e">
        <x:f>IF(AND(D377="当前已婚",G377&lt;参数与口径!$E$6),"存量兼容Lv1",IF(G377&gt;=等级配置!$C$103,"Lv100溢出","正常"))</x:f>
        <x:v>#NAME?</x:v>
      </x:c>
      <x:c r="K377" s="20" t="str">
        <x:f t="shared" si="5"/>
      </x:c>
    </x:row>
    <x:row r="378" ht="17">
      <x:c r="A378" s="58" t="s">
        <x:v>1594</x:v>
      </x:c>
      <x:c r="B378" s="58" t="s">
        <x:v>1595</x:v>
      </x:c>
      <x:c r="C378" s="58" t="s">
        <x:v>1596</x:v>
      </x:c>
      <x:c r="D378" s="58" t="s">
        <x:v>1295</x:v>
      </x:c>
      <x:c r="E378" s="18" t="s">
        <x:v>1597</x:v>
      </x:c>
      <x:c r="F378" s="18" t="s">
        <x:v>1598</x:v>
      </x:c>
      <x:c r="G378" s="126">
        <x:v>76114</x:v>
      </x:c>
      <x:c r="H378" s="126" t="e">
        <x:f>IF(G378="","",IF(G378&lt;参数与口径!$E$6,1,MATCH(G378,等级配置!$C$4:$C$103,1)))</x:f>
        <x:v>#NAME?</x:v>
      </x:c>
      <x:c r="I378" s="58" t="e">
        <x:f>IF(H378="","",INDEX(等级配置!$B$4:$B$103,H378))</x:f>
        <x:v>#NAME?</x:v>
      </x:c>
      <x:c r="J378" s="58" t="e">
        <x:f>IF(AND(D378="当前已婚",G378&lt;参数与口径!$E$6),"存量兼容Lv1",IF(G378&gt;=等级配置!$C$103,"Lv100溢出","正常"))</x:f>
        <x:v>#NAME?</x:v>
      </x:c>
      <x:c r="K378" s="20" t="str">
        <x:f t="shared" si="5"/>
      </x:c>
    </x:row>
    <x:row r="379" ht="17">
      <x:c r="A379" s="58" t="s">
        <x:v>1599</x:v>
      </x:c>
      <x:c r="B379" s="58" t="s">
        <x:v>1600</x:v>
      </x:c>
      <x:c r="C379" s="58" t="s">
        <x:v>1601</x:v>
      </x:c>
      <x:c r="D379" s="58" t="s">
        <x:v>1295</x:v>
      </x:c>
      <x:c r="E379" s="18" t="s">
        <x:v>1602</x:v>
      </x:c>
      <x:c r="F379" s="18" t="s">
        <x:v>1603</x:v>
      </x:c>
      <x:c r="G379" s="126">
        <x:v>75708</x:v>
      </x:c>
      <x:c r="H379" s="126" t="e">
        <x:f>IF(G379="","",IF(G379&lt;参数与口径!$E$6,1,MATCH(G379,等级配置!$C$4:$C$103,1)))</x:f>
        <x:v>#NAME?</x:v>
      </x:c>
      <x:c r="I379" s="58" t="e">
        <x:f>IF(H379="","",INDEX(等级配置!$B$4:$B$103,H379))</x:f>
        <x:v>#NAME?</x:v>
      </x:c>
      <x:c r="J379" s="58" t="e">
        <x:f>IF(AND(D379="当前已婚",G379&lt;参数与口径!$E$6),"存量兼容Lv1",IF(G379&gt;=等级配置!$C$103,"Lv100溢出","正常"))</x:f>
        <x:v>#NAME?</x:v>
      </x:c>
      <x:c r="K379" s="20" t="str">
        <x:f t="shared" si="5"/>
      </x:c>
    </x:row>
    <x:row r="380" ht="17">
      <x:c r="A380" s="58" t="s">
        <x:v>1604</x:v>
      </x:c>
      <x:c r="B380" s="58" t="s">
        <x:v>1605</x:v>
      </x:c>
      <x:c r="C380" s="58" t="s">
        <x:v>1606</x:v>
      </x:c>
      <x:c r="D380" s="58" t="s">
        <x:v>1295</x:v>
      </x:c>
      <x:c r="E380" s="18" t="s">
        <x:v>1607</x:v>
      </x:c>
      <x:c r="F380" s="18" t="s">
        <x:v>1608</x:v>
      </x:c>
      <x:c r="G380" s="126">
        <x:v>73815</x:v>
      </x:c>
      <x:c r="H380" s="126" t="e">
        <x:f>IF(G380="","",IF(G380&lt;参数与口径!$E$6,1,MATCH(G380,等级配置!$C$4:$C$103,1)))</x:f>
        <x:v>#NAME?</x:v>
      </x:c>
      <x:c r="I380" s="58" t="e">
        <x:f>IF(H380="","",INDEX(等级配置!$B$4:$B$103,H380))</x:f>
        <x:v>#NAME?</x:v>
      </x:c>
      <x:c r="J380" s="58" t="e">
        <x:f>IF(AND(D380="当前已婚",G380&lt;参数与口径!$E$6),"存量兼容Lv1",IF(G380&gt;=等级配置!$C$103,"Lv100溢出","正常"))</x:f>
        <x:v>#NAME?</x:v>
      </x:c>
      <x:c r="K380" s="20" t="str">
        <x:f t="shared" si="5"/>
      </x:c>
    </x:row>
    <x:row r="381" ht="17">
      <x:c r="A381" s="58" t="s">
        <x:v>1609</x:v>
      </x:c>
      <x:c r="B381" s="58" t="s">
        <x:v>1610</x:v>
      </x:c>
      <x:c r="C381" s="58" t="s">
        <x:v>1611</x:v>
      </x:c>
      <x:c r="D381" s="58" t="s">
        <x:v>1295</x:v>
      </x:c>
      <x:c r="E381" s="18" t="s">
        <x:v>1612</x:v>
      </x:c>
      <x:c r="F381" s="18" t="s">
        <x:v>1613</x:v>
      </x:c>
      <x:c r="G381" s="126">
        <x:v>71048</x:v>
      </x:c>
      <x:c r="H381" s="126" t="e">
        <x:f>IF(G381="","",IF(G381&lt;参数与口径!$E$6,1,MATCH(G381,等级配置!$C$4:$C$103,1)))</x:f>
        <x:v>#NAME?</x:v>
      </x:c>
      <x:c r="I381" s="58" t="e">
        <x:f>IF(H381="","",INDEX(等级配置!$B$4:$B$103,H381))</x:f>
        <x:v>#NAME?</x:v>
      </x:c>
      <x:c r="J381" s="58" t="e">
        <x:f>IF(AND(D381="当前已婚",G381&lt;参数与口径!$E$6),"存量兼容Lv1",IF(G381&gt;=等级配置!$C$103,"Lv100溢出","正常"))</x:f>
        <x:v>#NAME?</x:v>
      </x:c>
      <x:c r="K381" s="20" t="str">
        <x:f t="shared" si="5"/>
      </x:c>
    </x:row>
    <x:row r="382" ht="17">
      <x:c r="A382" s="58" t="s">
        <x:v>1614</x:v>
      </x:c>
      <x:c r="B382" s="58" t="s">
        <x:v>1615</x:v>
      </x:c>
      <x:c r="C382" s="58" t="s">
        <x:v>1313</x:v>
      </x:c>
      <x:c r="D382" s="58" t="s">
        <x:v>1295</x:v>
      </x:c>
      <x:c r="E382" s="18" t="s">
        <x:v>1616</x:v>
      </x:c>
      <x:c r="F382" s="18" t="s">
        <x:v>1617</x:v>
      </x:c>
      <x:c r="G382" s="126">
        <x:v>70204</x:v>
      </x:c>
      <x:c r="H382" s="126" t="e">
        <x:f>IF(G382="","",IF(G382&lt;参数与口径!$E$6,1,MATCH(G382,等级配置!$C$4:$C$103,1)))</x:f>
        <x:v>#NAME?</x:v>
      </x:c>
      <x:c r="I382" s="58" t="e">
        <x:f>IF(H382="","",INDEX(等级配置!$B$4:$B$103,H382))</x:f>
        <x:v>#NAME?</x:v>
      </x:c>
      <x:c r="J382" s="58" t="e">
        <x:f>IF(AND(D382="当前已婚",G382&lt;参数与口径!$E$6),"存量兼容Lv1",IF(G382&gt;=等级配置!$C$103,"Lv100溢出","正常"))</x:f>
        <x:v>#NAME?</x:v>
      </x:c>
      <x:c r="K382" s="20" t="str">
        <x:f t="shared" si="5"/>
      </x:c>
    </x:row>
    <x:row r="383" ht="17">
      <x:c r="A383" s="58" t="s">
        <x:v>1618</x:v>
      </x:c>
      <x:c r="B383" s="58" t="s">
        <x:v>1619</x:v>
      </x:c>
      <x:c r="C383" s="58" t="s">
        <x:v>1309</x:v>
      </x:c>
      <x:c r="D383" s="58" t="s">
        <x:v>1295</x:v>
      </x:c>
      <x:c r="E383" s="18" t="s">
        <x:v>1620</x:v>
      </x:c>
      <x:c r="F383" s="18" t="s">
        <x:v>1621</x:v>
      </x:c>
      <x:c r="G383" s="126">
        <x:v>69197</x:v>
      </x:c>
      <x:c r="H383" s="126" t="e">
        <x:f>IF(G383="","",IF(G383&lt;参数与口径!$E$6,1,MATCH(G383,等级配置!$C$4:$C$103,1)))</x:f>
        <x:v>#NAME?</x:v>
      </x:c>
      <x:c r="I383" s="58" t="e">
        <x:f>IF(H383="","",INDEX(等级配置!$B$4:$B$103,H383))</x:f>
        <x:v>#NAME?</x:v>
      </x:c>
      <x:c r="J383" s="58" t="e">
        <x:f>IF(AND(D383="当前已婚",G383&lt;参数与口径!$E$6),"存量兼容Lv1",IF(G383&gt;=等级配置!$C$103,"Lv100溢出","正常"))</x:f>
        <x:v>#NAME?</x:v>
      </x:c>
      <x:c r="K383" s="20" t="str">
        <x:f t="shared" si="5"/>
      </x:c>
    </x:row>
    <x:row r="384" ht="17">
      <x:c r="A384" s="58" t="s">
        <x:v>1622</x:v>
      </x:c>
      <x:c r="B384" s="58" t="s">
        <x:v>1623</x:v>
      </x:c>
      <x:c r="C384" s="58" t="s">
        <x:v>1624</x:v>
      </x:c>
      <x:c r="D384" s="58" t="s">
        <x:v>1295</x:v>
      </x:c>
      <x:c r="E384" s="18" t="s">
        <x:v>1625</x:v>
      </x:c>
      <x:c r="F384" s="18" t="s">
        <x:v>1626</x:v>
      </x:c>
      <x:c r="G384" s="126">
        <x:v>68398</x:v>
      </x:c>
      <x:c r="H384" s="126" t="e">
        <x:f>IF(G384="","",IF(G384&lt;参数与口径!$E$6,1,MATCH(G384,等级配置!$C$4:$C$103,1)))</x:f>
        <x:v>#NAME?</x:v>
      </x:c>
      <x:c r="I384" s="58" t="e">
        <x:f>IF(H384="","",INDEX(等级配置!$B$4:$B$103,H384))</x:f>
        <x:v>#NAME?</x:v>
      </x:c>
      <x:c r="J384" s="58" t="e">
        <x:f>IF(AND(D384="当前已婚",G384&lt;参数与口径!$E$6),"存量兼容Lv1",IF(G384&gt;=等级配置!$C$103,"Lv100溢出","正常"))</x:f>
        <x:v>#NAME?</x:v>
      </x:c>
      <x:c r="K384" s="20" t="str">
        <x:f t="shared" si="5"/>
      </x:c>
    </x:row>
    <x:row r="385" ht="17">
      <x:c r="A385" s="58" t="s">
        <x:v>1627</x:v>
      </x:c>
      <x:c r="B385" s="58" t="s">
        <x:v>54</x:v>
      </x:c>
      <x:c r="C385" s="58" t="s">
        <x:v>1628</x:v>
      </x:c>
      <x:c r="D385" s="58" t="s">
        <x:v>1295</x:v>
      </x:c>
      <x:c r="E385" s="18" t="s">
        <x:v>1629</x:v>
      </x:c>
      <x:c r="F385" s="18" t="s">
        <x:v>1630</x:v>
      </x:c>
      <x:c r="G385" s="126">
        <x:v>67083</x:v>
      </x:c>
      <x:c r="H385" s="126" t="e">
        <x:f>IF(G385="","",IF(G385&lt;参数与口径!$E$6,1,MATCH(G385,等级配置!$C$4:$C$103,1)))</x:f>
        <x:v>#NAME?</x:v>
      </x:c>
      <x:c r="I385" s="58" t="e">
        <x:f>IF(H385="","",INDEX(等级配置!$B$4:$B$103,H385))</x:f>
        <x:v>#NAME?</x:v>
      </x:c>
      <x:c r="J385" s="58" t="e">
        <x:f>IF(AND(D385="当前已婚",G385&lt;参数与口径!$E$6),"存量兼容Lv1",IF(G385&gt;=等级配置!$C$103,"Lv100溢出","正常"))</x:f>
        <x:v>#NAME?</x:v>
      </x:c>
      <x:c r="K385" s="20" t="str">
        <x:f t="shared" si="5"/>
      </x:c>
    </x:row>
    <x:row r="386" ht="17">
      <x:c r="A386" s="58" t="s">
        <x:v>1631</x:v>
      </x:c>
      <x:c r="B386" s="58" t="s">
        <x:v>1632</x:v>
      </x:c>
      <x:c r="C386" s="58" t="s">
        <x:v>1633</x:v>
      </x:c>
      <x:c r="D386" s="58" t="s">
        <x:v>1295</x:v>
      </x:c>
      <x:c r="E386" s="18" t="s">
        <x:v>1634</x:v>
      </x:c>
      <x:c r="F386" s="18" t="s">
        <x:v>1635</x:v>
      </x:c>
      <x:c r="G386" s="126">
        <x:v>64610</x:v>
      </x:c>
      <x:c r="H386" s="126" t="e">
        <x:f>IF(G386="","",IF(G386&lt;参数与口径!$E$6,1,MATCH(G386,等级配置!$C$4:$C$103,1)))</x:f>
        <x:v>#NAME?</x:v>
      </x:c>
      <x:c r="I386" s="58" t="e">
        <x:f>IF(H386="","",INDEX(等级配置!$B$4:$B$103,H386))</x:f>
        <x:v>#NAME?</x:v>
      </x:c>
      <x:c r="J386" s="58" t="e">
        <x:f>IF(AND(D386="当前已婚",G386&lt;参数与口径!$E$6),"存量兼容Lv1",IF(G386&gt;=等级配置!$C$103,"Lv100溢出","正常"))</x:f>
        <x:v>#NAME?</x:v>
      </x:c>
      <x:c r="K386" s="20" t="str">
        <x:f t="shared" ref="K386:K449" si="6">IF(AND(D386="当前已婚",F386&lt;&gt;""),"当前已婚但存在离婚日期",IF(AND(D386="当前已婚",G386=0),"当前CP亲密值为0",""))</x:f>
      </x:c>
    </x:row>
    <x:row r="387" ht="17">
      <x:c r="A387" s="58" t="s">
        <x:v>1636</x:v>
      </x:c>
      <x:c r="B387" s="58" t="s">
        <x:v>1637</x:v>
      </x:c>
      <x:c r="C387" s="58" t="s">
        <x:v>1638</x:v>
      </x:c>
      <x:c r="D387" s="58" t="s">
        <x:v>1295</x:v>
      </x:c>
      <x:c r="E387" s="18" t="s">
        <x:v>1639</x:v>
      </x:c>
      <x:c r="F387" s="18" t="s">
        <x:v>1640</x:v>
      </x:c>
      <x:c r="G387" s="126">
        <x:v>61956</x:v>
      </x:c>
      <x:c r="H387" s="126" t="e">
        <x:f>IF(G387="","",IF(G387&lt;参数与口径!$E$6,1,MATCH(G387,等级配置!$C$4:$C$103,1)))</x:f>
        <x:v>#NAME?</x:v>
      </x:c>
      <x:c r="I387" s="58" t="e">
        <x:f>IF(H387="","",INDEX(等级配置!$B$4:$B$103,H387))</x:f>
        <x:v>#NAME?</x:v>
      </x:c>
      <x:c r="J387" s="58" t="e">
        <x:f>IF(AND(D387="当前已婚",G387&lt;参数与口径!$E$6),"存量兼容Lv1",IF(G387&gt;=等级配置!$C$103,"Lv100溢出","正常"))</x:f>
        <x:v>#NAME?</x:v>
      </x:c>
      <x:c r="K387" s="20" t="str">
        <x:f t="shared" si="6"/>
      </x:c>
    </x:row>
    <x:row r="388" ht="17">
      <x:c r="A388" s="58" t="s">
        <x:v>1641</x:v>
      </x:c>
      <x:c r="B388" s="58" t="s">
        <x:v>1642</x:v>
      </x:c>
      <x:c r="C388" s="58" t="s">
        <x:v>1643</x:v>
      </x:c>
      <x:c r="D388" s="58" t="s">
        <x:v>1295</x:v>
      </x:c>
      <x:c r="E388" s="18" t="s">
        <x:v>1644</x:v>
      </x:c>
      <x:c r="F388" s="18" t="s">
        <x:v>1645</x:v>
      </x:c>
      <x:c r="G388" s="126">
        <x:v>61311</x:v>
      </x:c>
      <x:c r="H388" s="126" t="e">
        <x:f>IF(G388="","",IF(G388&lt;参数与口径!$E$6,1,MATCH(G388,等级配置!$C$4:$C$103,1)))</x:f>
        <x:v>#NAME?</x:v>
      </x:c>
      <x:c r="I388" s="58" t="e">
        <x:f>IF(H388="","",INDEX(等级配置!$B$4:$B$103,H388))</x:f>
        <x:v>#NAME?</x:v>
      </x:c>
      <x:c r="J388" s="58" t="e">
        <x:f>IF(AND(D388="当前已婚",G388&lt;参数与口径!$E$6),"存量兼容Lv1",IF(G388&gt;=等级配置!$C$103,"Lv100溢出","正常"))</x:f>
        <x:v>#NAME?</x:v>
      </x:c>
      <x:c r="K388" s="20" t="str">
        <x:f t="shared" si="6"/>
      </x:c>
    </x:row>
    <x:row r="389" ht="17">
      <x:c r="A389" s="58" t="s">
        <x:v>1646</x:v>
      </x:c>
      <x:c r="B389" s="58" t="s">
        <x:v>1647</x:v>
      </x:c>
      <x:c r="C389" s="58" t="s">
        <x:v>1648</x:v>
      </x:c>
      <x:c r="D389" s="58" t="s">
        <x:v>1295</x:v>
      </x:c>
      <x:c r="E389" s="18" t="s">
        <x:v>1649</x:v>
      </x:c>
      <x:c r="F389" s="18" t="s">
        <x:v>1650</x:v>
      </x:c>
      <x:c r="G389" s="126">
        <x:v>58839</x:v>
      </x:c>
      <x:c r="H389" s="126" t="e">
        <x:f>IF(G389="","",IF(G389&lt;参数与口径!$E$6,1,MATCH(G389,等级配置!$C$4:$C$103,1)))</x:f>
        <x:v>#NAME?</x:v>
      </x:c>
      <x:c r="I389" s="58" t="e">
        <x:f>IF(H389="","",INDEX(等级配置!$B$4:$B$103,H389))</x:f>
        <x:v>#NAME?</x:v>
      </x:c>
      <x:c r="J389" s="58" t="e">
        <x:f>IF(AND(D389="当前已婚",G389&lt;参数与口径!$E$6),"存量兼容Lv1",IF(G389&gt;=等级配置!$C$103,"Lv100溢出","正常"))</x:f>
        <x:v>#NAME?</x:v>
      </x:c>
      <x:c r="K389" s="20" t="str">
        <x:f t="shared" si="6"/>
      </x:c>
    </x:row>
    <x:row r="390" ht="17">
      <x:c r="A390" s="58" t="s">
        <x:v>1651</x:v>
      </x:c>
      <x:c r="B390" s="58" t="s">
        <x:v>1652</x:v>
      </x:c>
      <x:c r="C390" s="58" t="s">
        <x:v>1653</x:v>
      </x:c>
      <x:c r="D390" s="58" t="s">
        <x:v>1295</x:v>
      </x:c>
      <x:c r="E390" s="18" t="s">
        <x:v>1654</x:v>
      </x:c>
      <x:c r="F390" s="18" t="s">
        <x:v>1655</x:v>
      </x:c>
      <x:c r="G390" s="126">
        <x:v>57961</x:v>
      </x:c>
      <x:c r="H390" s="126" t="e">
        <x:f>IF(G390="","",IF(G390&lt;参数与口径!$E$6,1,MATCH(G390,等级配置!$C$4:$C$103,1)))</x:f>
        <x:v>#NAME?</x:v>
      </x:c>
      <x:c r="I390" s="58" t="e">
        <x:f>IF(H390="","",INDEX(等级配置!$B$4:$B$103,H390))</x:f>
        <x:v>#NAME?</x:v>
      </x:c>
      <x:c r="J390" s="58" t="e">
        <x:f>IF(AND(D390="当前已婚",G390&lt;参数与口径!$E$6),"存量兼容Lv1",IF(G390&gt;=等级配置!$C$103,"Lv100溢出","正常"))</x:f>
        <x:v>#NAME?</x:v>
      </x:c>
      <x:c r="K390" s="20" t="str">
        <x:f t="shared" si="6"/>
      </x:c>
    </x:row>
    <x:row r="391" ht="17">
      <x:c r="A391" s="58" t="s">
        <x:v>1656</x:v>
      </x:c>
      <x:c r="B391" s="58" t="s">
        <x:v>1657</x:v>
      </x:c>
      <x:c r="C391" s="58" t="s">
        <x:v>1658</x:v>
      </x:c>
      <x:c r="D391" s="58" t="s">
        <x:v>1295</x:v>
      </x:c>
      <x:c r="E391" s="18" t="s">
        <x:v>1659</x:v>
      </x:c>
      <x:c r="F391" s="18" t="s">
        <x:v>1660</x:v>
      </x:c>
      <x:c r="G391" s="126">
        <x:v>56698</x:v>
      </x:c>
      <x:c r="H391" s="126" t="e">
        <x:f>IF(G391="","",IF(G391&lt;参数与口径!$E$6,1,MATCH(G391,等级配置!$C$4:$C$103,1)))</x:f>
        <x:v>#NAME?</x:v>
      </x:c>
      <x:c r="I391" s="58" t="e">
        <x:f>IF(H391="","",INDEX(等级配置!$B$4:$B$103,H391))</x:f>
        <x:v>#NAME?</x:v>
      </x:c>
      <x:c r="J391" s="58" t="e">
        <x:f>IF(AND(D391="当前已婚",G391&lt;参数与口径!$E$6),"存量兼容Lv1",IF(G391&gt;=等级配置!$C$103,"Lv100溢出","正常"))</x:f>
        <x:v>#NAME?</x:v>
      </x:c>
      <x:c r="K391" s="20" t="str">
        <x:f t="shared" si="6"/>
      </x:c>
    </x:row>
    <x:row r="392" ht="17">
      <x:c r="A392" s="58" t="s">
        <x:v>1661</x:v>
      </x:c>
      <x:c r="B392" s="58" t="s">
        <x:v>1662</x:v>
      </x:c>
      <x:c r="C392" s="58" t="s">
        <x:v>1663</x:v>
      </x:c>
      <x:c r="D392" s="58" t="s">
        <x:v>1295</x:v>
      </x:c>
      <x:c r="E392" s="18" t="s">
        <x:v>1664</x:v>
      </x:c>
      <x:c r="F392" s="18" t="s">
        <x:v>1665</x:v>
      </x:c>
      <x:c r="G392" s="126">
        <x:v>56641</x:v>
      </x:c>
      <x:c r="H392" s="126" t="e">
        <x:f>IF(G392="","",IF(G392&lt;参数与口径!$E$6,1,MATCH(G392,等级配置!$C$4:$C$103,1)))</x:f>
        <x:v>#NAME?</x:v>
      </x:c>
      <x:c r="I392" s="58" t="e">
        <x:f>IF(H392="","",INDEX(等级配置!$B$4:$B$103,H392))</x:f>
        <x:v>#NAME?</x:v>
      </x:c>
      <x:c r="J392" s="58" t="e">
        <x:f>IF(AND(D392="当前已婚",G392&lt;参数与口径!$E$6),"存量兼容Lv1",IF(G392&gt;=等级配置!$C$103,"Lv100溢出","正常"))</x:f>
        <x:v>#NAME?</x:v>
      </x:c>
      <x:c r="K392" s="20" t="str">
        <x:f t="shared" si="6"/>
      </x:c>
    </x:row>
    <x:row r="393" ht="17">
      <x:c r="A393" s="58" t="s">
        <x:v>1666</x:v>
      </x:c>
      <x:c r="B393" s="58" t="s">
        <x:v>71</x:v>
      </x:c>
      <x:c r="C393" s="58" t="s">
        <x:v>1667</x:v>
      </x:c>
      <x:c r="D393" s="58" t="s">
        <x:v>1295</x:v>
      </x:c>
      <x:c r="E393" s="18" t="s">
        <x:v>1668</x:v>
      </x:c>
      <x:c r="F393" s="18" t="s">
        <x:v>1669</x:v>
      </x:c>
      <x:c r="G393" s="126">
        <x:v>56417</x:v>
      </x:c>
      <x:c r="H393" s="126" t="e">
        <x:f>IF(G393="","",IF(G393&lt;参数与口径!$E$6,1,MATCH(G393,等级配置!$C$4:$C$103,1)))</x:f>
        <x:v>#NAME?</x:v>
      </x:c>
      <x:c r="I393" s="58" t="e">
        <x:f>IF(H393="","",INDEX(等级配置!$B$4:$B$103,H393))</x:f>
        <x:v>#NAME?</x:v>
      </x:c>
      <x:c r="J393" s="58" t="e">
        <x:f>IF(AND(D393="当前已婚",G393&lt;参数与口径!$E$6),"存量兼容Lv1",IF(G393&gt;=等级配置!$C$103,"Lv100溢出","正常"))</x:f>
        <x:v>#NAME?</x:v>
      </x:c>
      <x:c r="K393" s="20" t="str">
        <x:f t="shared" si="6"/>
      </x:c>
    </x:row>
    <x:row r="394" ht="17">
      <x:c r="A394" s="58" t="s">
        <x:v>1670</x:v>
      </x:c>
      <x:c r="B394" s="58" t="s">
        <x:v>1671</x:v>
      </x:c>
      <x:c r="C394" s="58" t="s">
        <x:v>1672</x:v>
      </x:c>
      <x:c r="D394" s="58" t="s">
        <x:v>1295</x:v>
      </x:c>
      <x:c r="E394" s="18" t="s">
        <x:v>1673</x:v>
      </x:c>
      <x:c r="F394" s="18" t="s">
        <x:v>1674</x:v>
      </x:c>
      <x:c r="G394" s="126">
        <x:v>56176</x:v>
      </x:c>
      <x:c r="H394" s="126" t="e">
        <x:f>IF(G394="","",IF(G394&lt;参数与口径!$E$6,1,MATCH(G394,等级配置!$C$4:$C$103,1)))</x:f>
        <x:v>#NAME?</x:v>
      </x:c>
      <x:c r="I394" s="58" t="e">
        <x:f>IF(H394="","",INDEX(等级配置!$B$4:$B$103,H394))</x:f>
        <x:v>#NAME?</x:v>
      </x:c>
      <x:c r="J394" s="58" t="e">
        <x:f>IF(AND(D394="当前已婚",G394&lt;参数与口径!$E$6),"存量兼容Lv1",IF(G394&gt;=等级配置!$C$103,"Lv100溢出","正常"))</x:f>
        <x:v>#NAME?</x:v>
      </x:c>
      <x:c r="K394" s="20" t="str">
        <x:f t="shared" si="6"/>
      </x:c>
    </x:row>
    <x:row r="395" ht="17">
      <x:c r="A395" s="58" t="s">
        <x:v>1675</x:v>
      </x:c>
      <x:c r="B395" s="58" t="s">
        <x:v>1676</x:v>
      </x:c>
      <x:c r="C395" s="58" t="s">
        <x:v>1677</x:v>
      </x:c>
      <x:c r="D395" s="58" t="s">
        <x:v>1295</x:v>
      </x:c>
      <x:c r="E395" s="18" t="s">
        <x:v>1678</x:v>
      </x:c>
      <x:c r="F395" s="18" t="s">
        <x:v>1679</x:v>
      </x:c>
      <x:c r="G395" s="126">
        <x:v>55566</x:v>
      </x:c>
      <x:c r="H395" s="126" t="e">
        <x:f>IF(G395="","",IF(G395&lt;参数与口径!$E$6,1,MATCH(G395,等级配置!$C$4:$C$103,1)))</x:f>
        <x:v>#NAME?</x:v>
      </x:c>
      <x:c r="I395" s="58" t="e">
        <x:f>IF(H395="","",INDEX(等级配置!$B$4:$B$103,H395))</x:f>
        <x:v>#NAME?</x:v>
      </x:c>
      <x:c r="J395" s="58" t="e">
        <x:f>IF(AND(D395="当前已婚",G395&lt;参数与口径!$E$6),"存量兼容Lv1",IF(G395&gt;=等级配置!$C$103,"Lv100溢出","正常"))</x:f>
        <x:v>#NAME?</x:v>
      </x:c>
      <x:c r="K395" s="20" t="str">
        <x:f t="shared" si="6"/>
      </x:c>
    </x:row>
    <x:row r="396" ht="17">
      <x:c r="A396" s="58" t="s">
        <x:v>1680</x:v>
      </x:c>
      <x:c r="B396" s="58" t="s">
        <x:v>1681</x:v>
      </x:c>
      <x:c r="C396" s="58" t="s">
        <x:v>1682</x:v>
      </x:c>
      <x:c r="D396" s="58" t="s">
        <x:v>1295</x:v>
      </x:c>
      <x:c r="E396" s="18" t="s">
        <x:v>1683</x:v>
      </x:c>
      <x:c r="F396" s="18" t="s">
        <x:v>1684</x:v>
      </x:c>
      <x:c r="G396" s="126">
        <x:v>54637</x:v>
      </x:c>
      <x:c r="H396" s="126" t="e">
        <x:f>IF(G396="","",IF(G396&lt;参数与口径!$E$6,1,MATCH(G396,等级配置!$C$4:$C$103,1)))</x:f>
        <x:v>#NAME?</x:v>
      </x:c>
      <x:c r="I396" s="58" t="e">
        <x:f>IF(H396="","",INDEX(等级配置!$B$4:$B$103,H396))</x:f>
        <x:v>#NAME?</x:v>
      </x:c>
      <x:c r="J396" s="58" t="e">
        <x:f>IF(AND(D396="当前已婚",G396&lt;参数与口径!$E$6),"存量兼容Lv1",IF(G396&gt;=等级配置!$C$103,"Lv100溢出","正常"))</x:f>
        <x:v>#NAME?</x:v>
      </x:c>
      <x:c r="K396" s="20" t="str">
        <x:f t="shared" si="6"/>
      </x:c>
    </x:row>
    <x:row r="397" ht="17">
      <x:c r="A397" s="58" t="s">
        <x:v>1685</x:v>
      </x:c>
      <x:c r="B397" s="58" t="s">
        <x:v>1686</x:v>
      </x:c>
      <x:c r="C397" s="58" t="s">
        <x:v>1687</x:v>
      </x:c>
      <x:c r="D397" s="58" t="s">
        <x:v>1295</x:v>
      </x:c>
      <x:c r="E397" s="18" t="s">
        <x:v>1688</x:v>
      </x:c>
      <x:c r="F397" s="18" t="s">
        <x:v>1689</x:v>
      </x:c>
      <x:c r="G397" s="126">
        <x:v>52424</x:v>
      </x:c>
      <x:c r="H397" s="126" t="e">
        <x:f>IF(G397="","",IF(G397&lt;参数与口径!$E$6,1,MATCH(G397,等级配置!$C$4:$C$103,1)))</x:f>
        <x:v>#NAME?</x:v>
      </x:c>
      <x:c r="I397" s="58" t="e">
        <x:f>IF(H397="","",INDEX(等级配置!$B$4:$B$103,H397))</x:f>
        <x:v>#NAME?</x:v>
      </x:c>
      <x:c r="J397" s="58" t="e">
        <x:f>IF(AND(D397="当前已婚",G397&lt;参数与口径!$E$6),"存量兼容Lv1",IF(G397&gt;=等级配置!$C$103,"Lv100溢出","正常"))</x:f>
        <x:v>#NAME?</x:v>
      </x:c>
      <x:c r="K397" s="20" t="str">
        <x:f t="shared" si="6"/>
      </x:c>
    </x:row>
    <x:row r="398" ht="17">
      <x:c r="A398" s="58" t="s">
        <x:v>1690</x:v>
      </x:c>
      <x:c r="B398" s="58" t="s">
        <x:v>1624</x:v>
      </x:c>
      <x:c r="C398" s="58" t="s">
        <x:v>1691</x:v>
      </x:c>
      <x:c r="D398" s="58" t="s">
        <x:v>1295</x:v>
      </x:c>
      <x:c r="E398" s="18" t="s">
        <x:v>1692</x:v>
      </x:c>
      <x:c r="F398" s="18" t="s">
        <x:v>1693</x:v>
      </x:c>
      <x:c r="G398" s="126">
        <x:v>52112</x:v>
      </x:c>
      <x:c r="H398" s="126" t="e">
        <x:f>IF(G398="","",IF(G398&lt;参数与口径!$E$6,1,MATCH(G398,等级配置!$C$4:$C$103,1)))</x:f>
        <x:v>#NAME?</x:v>
      </x:c>
      <x:c r="I398" s="58" t="e">
        <x:f>IF(H398="","",INDEX(等级配置!$B$4:$B$103,H398))</x:f>
        <x:v>#NAME?</x:v>
      </x:c>
      <x:c r="J398" s="58" t="e">
        <x:f>IF(AND(D398="当前已婚",G398&lt;参数与口径!$E$6),"存量兼容Lv1",IF(G398&gt;=等级配置!$C$103,"Lv100溢出","正常"))</x:f>
        <x:v>#NAME?</x:v>
      </x:c>
      <x:c r="K398" s="20" t="str">
        <x:f t="shared" si="6"/>
      </x:c>
    </x:row>
    <x:row r="399" ht="17">
      <x:c r="A399" s="58" t="s">
        <x:v>1694</x:v>
      </x:c>
      <x:c r="B399" s="58" t="s">
        <x:v>383</x:v>
      </x:c>
      <x:c r="C399" s="58" t="s">
        <x:v>1695</x:v>
      </x:c>
      <x:c r="D399" s="58" t="s">
        <x:v>1295</x:v>
      </x:c>
      <x:c r="E399" s="18" t="s">
        <x:v>1696</x:v>
      </x:c>
      <x:c r="F399" s="18" t="s">
        <x:v>1697</x:v>
      </x:c>
      <x:c r="G399" s="126">
        <x:v>50803</x:v>
      </x:c>
      <x:c r="H399" s="126" t="e">
        <x:f>IF(G399="","",IF(G399&lt;参数与口径!$E$6,1,MATCH(G399,等级配置!$C$4:$C$103,1)))</x:f>
        <x:v>#NAME?</x:v>
      </x:c>
      <x:c r="I399" s="58" t="e">
        <x:f>IF(H399="","",INDEX(等级配置!$B$4:$B$103,H399))</x:f>
        <x:v>#NAME?</x:v>
      </x:c>
      <x:c r="J399" s="58" t="e">
        <x:f>IF(AND(D399="当前已婚",G399&lt;参数与口径!$E$6),"存量兼容Lv1",IF(G399&gt;=等级配置!$C$103,"Lv100溢出","正常"))</x:f>
        <x:v>#NAME?</x:v>
      </x:c>
      <x:c r="K399" s="20" t="str">
        <x:f t="shared" si="6"/>
      </x:c>
    </x:row>
    <x:row r="400" ht="17">
      <x:c r="A400" s="58" t="s">
        <x:v>1698</x:v>
      </x:c>
      <x:c r="B400" s="58" t="s">
        <x:v>1699</x:v>
      </x:c>
      <x:c r="C400" s="58" t="s">
        <x:v>1700</x:v>
      </x:c>
      <x:c r="D400" s="58" t="s">
        <x:v>1295</x:v>
      </x:c>
      <x:c r="E400" s="18" t="s">
        <x:v>1701</x:v>
      </x:c>
      <x:c r="F400" s="18" t="s">
        <x:v>1702</x:v>
      </x:c>
      <x:c r="G400" s="126">
        <x:v>50447</x:v>
      </x:c>
      <x:c r="H400" s="126" t="e">
        <x:f>IF(G400="","",IF(G400&lt;参数与口径!$E$6,1,MATCH(G400,等级配置!$C$4:$C$103,1)))</x:f>
        <x:v>#NAME?</x:v>
      </x:c>
      <x:c r="I400" s="58" t="e">
        <x:f>IF(H400="","",INDEX(等级配置!$B$4:$B$103,H400))</x:f>
        <x:v>#NAME?</x:v>
      </x:c>
      <x:c r="J400" s="58" t="e">
        <x:f>IF(AND(D400="当前已婚",G400&lt;参数与口径!$E$6),"存量兼容Lv1",IF(G400&gt;=等级配置!$C$103,"Lv100溢出","正常"))</x:f>
        <x:v>#NAME?</x:v>
      </x:c>
      <x:c r="K400" s="20" t="str">
        <x:f t="shared" si="6"/>
      </x:c>
    </x:row>
    <x:row r="401" ht="17">
      <x:c r="A401" s="58" t="s">
        <x:v>1703</x:v>
      </x:c>
      <x:c r="B401" s="58" t="s">
        <x:v>1704</x:v>
      </x:c>
      <x:c r="C401" s="58" t="s">
        <x:v>1705</x:v>
      </x:c>
      <x:c r="D401" s="58" t="s">
        <x:v>1295</x:v>
      </x:c>
      <x:c r="E401" s="18" t="s">
        <x:v>1706</x:v>
      </x:c>
      <x:c r="F401" s="18" t="s">
        <x:v>1707</x:v>
      </x:c>
      <x:c r="G401" s="126">
        <x:v>50225</x:v>
      </x:c>
      <x:c r="H401" s="126" t="e">
        <x:f>IF(G401="","",IF(G401&lt;参数与口径!$E$6,1,MATCH(G401,等级配置!$C$4:$C$103,1)))</x:f>
        <x:v>#NAME?</x:v>
      </x:c>
      <x:c r="I401" s="58" t="e">
        <x:f>IF(H401="","",INDEX(等级配置!$B$4:$B$103,H401))</x:f>
        <x:v>#NAME?</x:v>
      </x:c>
      <x:c r="J401" s="58" t="e">
        <x:f>IF(AND(D401="当前已婚",G401&lt;参数与口径!$E$6),"存量兼容Lv1",IF(G401&gt;=等级配置!$C$103,"Lv100溢出","正常"))</x:f>
        <x:v>#NAME?</x:v>
      </x:c>
      <x:c r="K401" s="20" t="str">
        <x:f t="shared" si="6"/>
      </x:c>
    </x:row>
    <x:row r="402" ht="17">
      <x:c r="A402" s="58" t="s">
        <x:v>1708</x:v>
      </x:c>
      <x:c r="B402" s="58" t="s">
        <x:v>1709</x:v>
      </x:c>
      <x:c r="C402" s="58" t="s">
        <x:v>195</x:v>
      </x:c>
      <x:c r="D402" s="58" t="s">
        <x:v>1295</x:v>
      </x:c>
      <x:c r="E402" s="18" t="s">
        <x:v>1710</x:v>
      </x:c>
      <x:c r="F402" s="18" t="s">
        <x:v>1711</x:v>
      </x:c>
      <x:c r="G402" s="126">
        <x:v>49159</x:v>
      </x:c>
      <x:c r="H402" s="126" t="e">
        <x:f>IF(G402="","",IF(G402&lt;参数与口径!$E$6,1,MATCH(G402,等级配置!$C$4:$C$103,1)))</x:f>
        <x:v>#NAME?</x:v>
      </x:c>
      <x:c r="I402" s="58" t="e">
        <x:f>IF(H402="","",INDEX(等级配置!$B$4:$B$103,H402))</x:f>
        <x:v>#NAME?</x:v>
      </x:c>
      <x:c r="J402" s="58" t="e">
        <x:f>IF(AND(D402="当前已婚",G402&lt;参数与口径!$E$6),"存量兼容Lv1",IF(G402&gt;=等级配置!$C$103,"Lv100溢出","正常"))</x:f>
        <x:v>#NAME?</x:v>
      </x:c>
      <x:c r="K402" s="20" t="str">
        <x:f t="shared" si="6"/>
      </x:c>
    </x:row>
    <x:row r="403" ht="17">
      <x:c r="A403" s="58" t="s">
        <x:v>1712</x:v>
      </x:c>
      <x:c r="B403" s="58" t="s">
        <x:v>1499</x:v>
      </x:c>
      <x:c r="C403" s="58" t="s">
        <x:v>1350</x:v>
      </x:c>
      <x:c r="D403" s="58" t="s">
        <x:v>1295</x:v>
      </x:c>
      <x:c r="E403" s="18" t="s">
        <x:v>1713</x:v>
      </x:c>
      <x:c r="F403" s="18" t="s">
        <x:v>1714</x:v>
      </x:c>
      <x:c r="G403" s="126">
        <x:v>48863</x:v>
      </x:c>
      <x:c r="H403" s="126" t="e">
        <x:f>IF(G403="","",IF(G403&lt;参数与口径!$E$6,1,MATCH(G403,等级配置!$C$4:$C$103,1)))</x:f>
        <x:v>#NAME?</x:v>
      </x:c>
      <x:c r="I403" s="58" t="e">
        <x:f>IF(H403="","",INDEX(等级配置!$B$4:$B$103,H403))</x:f>
        <x:v>#NAME?</x:v>
      </x:c>
      <x:c r="J403" s="58" t="e">
        <x:f>IF(AND(D403="当前已婚",G403&lt;参数与口径!$E$6),"存量兼容Lv1",IF(G403&gt;=等级配置!$C$103,"Lv100溢出","正常"))</x:f>
        <x:v>#NAME?</x:v>
      </x:c>
      <x:c r="K403" s="20" t="str">
        <x:f t="shared" si="6"/>
      </x:c>
    </x:row>
    <x:row r="404" ht="17">
      <x:c r="A404" s="58" t="s">
        <x:v>1715</x:v>
      </x:c>
      <x:c r="B404" s="58" t="s">
        <x:v>1716</x:v>
      </x:c>
      <x:c r="C404" s="58" t="s">
        <x:v>1717</x:v>
      </x:c>
      <x:c r="D404" s="58" t="s">
        <x:v>1295</x:v>
      </x:c>
      <x:c r="E404" s="18" t="s">
        <x:v>1718</x:v>
      </x:c>
      <x:c r="F404" s="18" t="s">
        <x:v>1719</x:v>
      </x:c>
      <x:c r="G404" s="126">
        <x:v>46394</x:v>
      </x:c>
      <x:c r="H404" s="126" t="e">
        <x:f>IF(G404="","",IF(G404&lt;参数与口径!$E$6,1,MATCH(G404,等级配置!$C$4:$C$103,1)))</x:f>
        <x:v>#NAME?</x:v>
      </x:c>
      <x:c r="I404" s="58" t="e">
        <x:f>IF(H404="","",INDEX(等级配置!$B$4:$B$103,H404))</x:f>
        <x:v>#NAME?</x:v>
      </x:c>
      <x:c r="J404" s="58" t="e">
        <x:f>IF(AND(D404="当前已婚",G404&lt;参数与口径!$E$6),"存量兼容Lv1",IF(G404&gt;=等级配置!$C$103,"Lv100溢出","正常"))</x:f>
        <x:v>#NAME?</x:v>
      </x:c>
      <x:c r="K404" s="20" t="str">
        <x:f t="shared" si="6"/>
      </x:c>
    </x:row>
    <x:row r="405" ht="17">
      <x:c r="A405" s="58" t="s">
        <x:v>1720</x:v>
      </x:c>
      <x:c r="B405" s="58" t="s">
        <x:v>1721</x:v>
      </x:c>
      <x:c r="C405" s="58" t="s">
        <x:v>1722</x:v>
      </x:c>
      <x:c r="D405" s="58" t="s">
        <x:v>1295</x:v>
      </x:c>
      <x:c r="E405" s="18" t="s">
        <x:v>1723</x:v>
      </x:c>
      <x:c r="F405" s="18" t="s">
        <x:v>1724</x:v>
      </x:c>
      <x:c r="G405" s="126">
        <x:v>45899</x:v>
      </x:c>
      <x:c r="H405" s="126" t="e">
        <x:f>IF(G405="","",IF(G405&lt;参数与口径!$E$6,1,MATCH(G405,等级配置!$C$4:$C$103,1)))</x:f>
        <x:v>#NAME?</x:v>
      </x:c>
      <x:c r="I405" s="58" t="e">
        <x:f>IF(H405="","",INDEX(等级配置!$B$4:$B$103,H405))</x:f>
        <x:v>#NAME?</x:v>
      </x:c>
      <x:c r="J405" s="58" t="e">
        <x:f>IF(AND(D405="当前已婚",G405&lt;参数与口径!$E$6),"存量兼容Lv1",IF(G405&gt;=等级配置!$C$103,"Lv100溢出","正常"))</x:f>
        <x:v>#NAME?</x:v>
      </x:c>
      <x:c r="K405" s="20" t="str">
        <x:f t="shared" si="6"/>
      </x:c>
    </x:row>
    <x:row r="406" ht="17">
      <x:c r="A406" s="58" t="s">
        <x:v>1725</x:v>
      </x:c>
      <x:c r="B406" s="58" t="s">
        <x:v>1726</x:v>
      </x:c>
      <x:c r="C406" s="58" t="s">
        <x:v>1575</x:v>
      </x:c>
      <x:c r="D406" s="58" t="s">
        <x:v>1295</x:v>
      </x:c>
      <x:c r="E406" s="18" t="s">
        <x:v>1727</x:v>
      </x:c>
      <x:c r="F406" s="18" t="s">
        <x:v>1728</x:v>
      </x:c>
      <x:c r="G406" s="126">
        <x:v>45564</x:v>
      </x:c>
      <x:c r="H406" s="126" t="e">
        <x:f>IF(G406="","",IF(G406&lt;参数与口径!$E$6,1,MATCH(G406,等级配置!$C$4:$C$103,1)))</x:f>
        <x:v>#NAME?</x:v>
      </x:c>
      <x:c r="I406" s="58" t="e">
        <x:f>IF(H406="","",INDEX(等级配置!$B$4:$B$103,H406))</x:f>
        <x:v>#NAME?</x:v>
      </x:c>
      <x:c r="J406" s="58" t="e">
        <x:f>IF(AND(D406="当前已婚",G406&lt;参数与口径!$E$6),"存量兼容Lv1",IF(G406&gt;=等级配置!$C$103,"Lv100溢出","正常"))</x:f>
        <x:v>#NAME?</x:v>
      </x:c>
      <x:c r="K406" s="20" t="str">
        <x:f t="shared" si="6"/>
      </x:c>
    </x:row>
    <x:row r="407" ht="17">
      <x:c r="A407" s="58" t="s">
        <x:v>1729</x:v>
      </x:c>
      <x:c r="B407" s="58" t="s">
        <x:v>1730</x:v>
      </x:c>
      <x:c r="C407" s="58" t="s">
        <x:v>1731</x:v>
      </x:c>
      <x:c r="D407" s="58" t="s">
        <x:v>1295</x:v>
      </x:c>
      <x:c r="E407" s="18" t="s">
        <x:v>1732</x:v>
      </x:c>
      <x:c r="F407" s="18" t="s">
        <x:v>1733</x:v>
      </x:c>
      <x:c r="G407" s="126">
        <x:v>45490</x:v>
      </x:c>
      <x:c r="H407" s="126" t="e">
        <x:f>IF(G407="","",IF(G407&lt;参数与口径!$E$6,1,MATCH(G407,等级配置!$C$4:$C$103,1)))</x:f>
        <x:v>#NAME?</x:v>
      </x:c>
      <x:c r="I407" s="58" t="e">
        <x:f>IF(H407="","",INDEX(等级配置!$B$4:$B$103,H407))</x:f>
        <x:v>#NAME?</x:v>
      </x:c>
      <x:c r="J407" s="58" t="e">
        <x:f>IF(AND(D407="当前已婚",G407&lt;参数与口径!$E$6),"存量兼容Lv1",IF(G407&gt;=等级配置!$C$103,"Lv100溢出","正常"))</x:f>
        <x:v>#NAME?</x:v>
      </x:c>
      <x:c r="K407" s="20" t="str">
        <x:f t="shared" si="6"/>
      </x:c>
    </x:row>
    <x:row r="408" ht="17">
      <x:c r="A408" s="58" t="s">
        <x:v>1734</x:v>
      </x:c>
      <x:c r="B408" s="58" t="s">
        <x:v>1735</x:v>
      </x:c>
      <x:c r="C408" s="58" t="s">
        <x:v>1736</x:v>
      </x:c>
      <x:c r="D408" s="58" t="s">
        <x:v>1295</x:v>
      </x:c>
      <x:c r="E408" s="18" t="s">
        <x:v>1737</x:v>
      </x:c>
      <x:c r="F408" s="18" t="s">
        <x:v>1738</x:v>
      </x:c>
      <x:c r="G408" s="126">
        <x:v>44752</x:v>
      </x:c>
      <x:c r="H408" s="126" t="e">
        <x:f>IF(G408="","",IF(G408&lt;参数与口径!$E$6,1,MATCH(G408,等级配置!$C$4:$C$103,1)))</x:f>
        <x:v>#NAME?</x:v>
      </x:c>
      <x:c r="I408" s="58" t="e">
        <x:f>IF(H408="","",INDEX(等级配置!$B$4:$B$103,H408))</x:f>
        <x:v>#NAME?</x:v>
      </x:c>
      <x:c r="J408" s="58" t="e">
        <x:f>IF(AND(D408="当前已婚",G408&lt;参数与口径!$E$6),"存量兼容Lv1",IF(G408&gt;=等级配置!$C$103,"Lv100溢出","正常"))</x:f>
        <x:v>#NAME?</x:v>
      </x:c>
      <x:c r="K408" s="20" t="str">
        <x:f t="shared" si="6"/>
      </x:c>
    </x:row>
    <x:row r="409" ht="17">
      <x:c r="A409" s="58" t="s">
        <x:v>1739</x:v>
      </x:c>
      <x:c r="B409" s="58" t="s">
        <x:v>1740</x:v>
      </x:c>
      <x:c r="C409" s="58" t="s">
        <x:v>1741</x:v>
      </x:c>
      <x:c r="D409" s="58" t="s">
        <x:v>1295</x:v>
      </x:c>
      <x:c r="E409" s="18" t="s">
        <x:v>1742</x:v>
      </x:c>
      <x:c r="F409" s="18" t="s">
        <x:v>1743</x:v>
      </x:c>
      <x:c r="G409" s="126">
        <x:v>44666</x:v>
      </x:c>
      <x:c r="H409" s="126" t="e">
        <x:f>IF(G409="","",IF(G409&lt;参数与口径!$E$6,1,MATCH(G409,等级配置!$C$4:$C$103,1)))</x:f>
        <x:v>#NAME?</x:v>
      </x:c>
      <x:c r="I409" s="58" t="e">
        <x:f>IF(H409="","",INDEX(等级配置!$B$4:$B$103,H409))</x:f>
        <x:v>#NAME?</x:v>
      </x:c>
      <x:c r="J409" s="58" t="e">
        <x:f>IF(AND(D409="当前已婚",G409&lt;参数与口径!$E$6),"存量兼容Lv1",IF(G409&gt;=等级配置!$C$103,"Lv100溢出","正常"))</x:f>
        <x:v>#NAME?</x:v>
      </x:c>
      <x:c r="K409" s="20" t="str">
        <x:f t="shared" si="6"/>
      </x:c>
    </x:row>
    <x:row r="410" ht="17">
      <x:c r="A410" s="58" t="s">
        <x:v>1744</x:v>
      </x:c>
      <x:c r="B410" s="58" t="s">
        <x:v>1745</x:v>
      </x:c>
      <x:c r="C410" s="58" t="s">
        <x:v>1746</x:v>
      </x:c>
      <x:c r="D410" s="58" t="s">
        <x:v>1295</x:v>
      </x:c>
      <x:c r="E410" s="18" t="s">
        <x:v>1747</x:v>
      </x:c>
      <x:c r="F410" s="18" t="s">
        <x:v>1748</x:v>
      </x:c>
      <x:c r="G410" s="126">
        <x:v>43934</x:v>
      </x:c>
      <x:c r="H410" s="126" t="e">
        <x:f>IF(G410="","",IF(G410&lt;参数与口径!$E$6,1,MATCH(G410,等级配置!$C$4:$C$103,1)))</x:f>
        <x:v>#NAME?</x:v>
      </x:c>
      <x:c r="I410" s="58" t="e">
        <x:f>IF(H410="","",INDEX(等级配置!$B$4:$B$103,H410))</x:f>
        <x:v>#NAME?</x:v>
      </x:c>
      <x:c r="J410" s="58" t="e">
        <x:f>IF(AND(D410="当前已婚",G410&lt;参数与口径!$E$6),"存量兼容Lv1",IF(G410&gt;=等级配置!$C$103,"Lv100溢出","正常"))</x:f>
        <x:v>#NAME?</x:v>
      </x:c>
      <x:c r="K410" s="20" t="str">
        <x:f t="shared" si="6"/>
      </x:c>
    </x:row>
    <x:row r="411" ht="17">
      <x:c r="A411" s="58" t="s">
        <x:v>1749</x:v>
      </x:c>
      <x:c r="B411" s="58" t="s">
        <x:v>1750</x:v>
      </x:c>
      <x:c r="C411" s="58" t="s">
        <x:v>1751</x:v>
      </x:c>
      <x:c r="D411" s="58" t="s">
        <x:v>1295</x:v>
      </x:c>
      <x:c r="E411" s="18" t="s">
        <x:v>1752</x:v>
      </x:c>
      <x:c r="F411" s="18" t="s">
        <x:v>1753</x:v>
      </x:c>
      <x:c r="G411" s="126">
        <x:v>43363</x:v>
      </x:c>
      <x:c r="H411" s="126" t="e">
        <x:f>IF(G411="","",IF(G411&lt;参数与口径!$E$6,1,MATCH(G411,等级配置!$C$4:$C$103,1)))</x:f>
        <x:v>#NAME?</x:v>
      </x:c>
      <x:c r="I411" s="58" t="e">
        <x:f>IF(H411="","",INDEX(等级配置!$B$4:$B$103,H411))</x:f>
        <x:v>#NAME?</x:v>
      </x:c>
      <x:c r="J411" s="58" t="e">
        <x:f>IF(AND(D411="当前已婚",G411&lt;参数与口径!$E$6),"存量兼容Lv1",IF(G411&gt;=等级配置!$C$103,"Lv100溢出","正常"))</x:f>
        <x:v>#NAME?</x:v>
      </x:c>
      <x:c r="K411" s="20" t="str">
        <x:f t="shared" si="6"/>
      </x:c>
    </x:row>
    <x:row r="412" ht="17">
      <x:c r="A412" s="58" t="s">
        <x:v>1754</x:v>
      </x:c>
      <x:c r="B412" s="58" t="s">
        <x:v>1755</x:v>
      </x:c>
      <x:c r="C412" s="58" t="s">
        <x:v>1756</x:v>
      </x:c>
      <x:c r="D412" s="58" t="s">
        <x:v>1295</x:v>
      </x:c>
      <x:c r="E412" s="18" t="s">
        <x:v>1757</x:v>
      </x:c>
      <x:c r="F412" s="18" t="s">
        <x:v>1758</x:v>
      </x:c>
      <x:c r="G412" s="126">
        <x:v>42737</x:v>
      </x:c>
      <x:c r="H412" s="126" t="e">
        <x:f>IF(G412="","",IF(G412&lt;参数与口径!$E$6,1,MATCH(G412,等级配置!$C$4:$C$103,1)))</x:f>
        <x:v>#NAME?</x:v>
      </x:c>
      <x:c r="I412" s="58" t="e">
        <x:f>IF(H412="","",INDEX(等级配置!$B$4:$B$103,H412))</x:f>
        <x:v>#NAME?</x:v>
      </x:c>
      <x:c r="J412" s="58" t="e">
        <x:f>IF(AND(D412="当前已婚",G412&lt;参数与口径!$E$6),"存量兼容Lv1",IF(G412&gt;=等级配置!$C$103,"Lv100溢出","正常"))</x:f>
        <x:v>#NAME?</x:v>
      </x:c>
      <x:c r="K412" s="20" t="str">
        <x:f t="shared" si="6"/>
      </x:c>
    </x:row>
    <x:row r="413" ht="17">
      <x:c r="A413" s="58" t="s">
        <x:v>1759</x:v>
      </x:c>
      <x:c r="B413" s="58" t="s">
        <x:v>1760</x:v>
      </x:c>
      <x:c r="C413" s="58" t="s">
        <x:v>1445</x:v>
      </x:c>
      <x:c r="D413" s="58" t="s">
        <x:v>1295</x:v>
      </x:c>
      <x:c r="E413" s="18" t="s">
        <x:v>1761</x:v>
      </x:c>
      <x:c r="F413" s="18" t="s">
        <x:v>1762</x:v>
      </x:c>
      <x:c r="G413" s="126">
        <x:v>42669</x:v>
      </x:c>
      <x:c r="H413" s="126" t="e">
        <x:f>IF(G413="","",IF(G413&lt;参数与口径!$E$6,1,MATCH(G413,等级配置!$C$4:$C$103,1)))</x:f>
        <x:v>#NAME?</x:v>
      </x:c>
      <x:c r="I413" s="58" t="e">
        <x:f>IF(H413="","",INDEX(等级配置!$B$4:$B$103,H413))</x:f>
        <x:v>#NAME?</x:v>
      </x:c>
      <x:c r="J413" s="58" t="e">
        <x:f>IF(AND(D413="当前已婚",G413&lt;参数与口径!$E$6),"存量兼容Lv1",IF(G413&gt;=等级配置!$C$103,"Lv100溢出","正常"))</x:f>
        <x:v>#NAME?</x:v>
      </x:c>
      <x:c r="K413" s="20" t="str">
        <x:f t="shared" si="6"/>
      </x:c>
    </x:row>
    <x:row r="414" ht="17">
      <x:c r="A414" s="58" t="s">
        <x:v>1763</x:v>
      </x:c>
      <x:c r="B414" s="58" t="s">
        <x:v>1764</x:v>
      </x:c>
      <x:c r="C414" s="58" t="s">
        <x:v>1765</x:v>
      </x:c>
      <x:c r="D414" s="58" t="s">
        <x:v>1295</x:v>
      </x:c>
      <x:c r="E414" s="18" t="s">
        <x:v>1766</x:v>
      </x:c>
      <x:c r="F414" s="18" t="s">
        <x:v>1767</x:v>
      </x:c>
      <x:c r="G414" s="126">
        <x:v>39709</x:v>
      </x:c>
      <x:c r="H414" s="126" t="e">
        <x:f>IF(G414="","",IF(G414&lt;参数与口径!$E$6,1,MATCH(G414,等级配置!$C$4:$C$103,1)))</x:f>
        <x:v>#NAME?</x:v>
      </x:c>
      <x:c r="I414" s="58" t="e">
        <x:f>IF(H414="","",INDEX(等级配置!$B$4:$B$103,H414))</x:f>
        <x:v>#NAME?</x:v>
      </x:c>
      <x:c r="J414" s="58" t="e">
        <x:f>IF(AND(D414="当前已婚",G414&lt;参数与口径!$E$6),"存量兼容Lv1",IF(G414&gt;=等级配置!$C$103,"Lv100溢出","正常"))</x:f>
        <x:v>#NAME?</x:v>
      </x:c>
      <x:c r="K414" s="20" t="str">
        <x:f t="shared" si="6"/>
      </x:c>
    </x:row>
    <x:row r="415" ht="17">
      <x:c r="A415" s="58" t="s">
        <x:v>1768</x:v>
      </x:c>
      <x:c r="B415" s="58" t="s">
        <x:v>1769</x:v>
      </x:c>
      <x:c r="C415" s="58" t="s">
        <x:v>1770</x:v>
      </x:c>
      <x:c r="D415" s="58" t="s">
        <x:v>1295</x:v>
      </x:c>
      <x:c r="E415" s="18" t="s">
        <x:v>1771</x:v>
      </x:c>
      <x:c r="F415" s="18" t="s">
        <x:v>1772</x:v>
      </x:c>
      <x:c r="G415" s="126">
        <x:v>39608</x:v>
      </x:c>
      <x:c r="H415" s="126" t="e">
        <x:f>IF(G415="","",IF(G415&lt;参数与口径!$E$6,1,MATCH(G415,等级配置!$C$4:$C$103,1)))</x:f>
        <x:v>#NAME?</x:v>
      </x:c>
      <x:c r="I415" s="58" t="e">
        <x:f>IF(H415="","",INDEX(等级配置!$B$4:$B$103,H415))</x:f>
        <x:v>#NAME?</x:v>
      </x:c>
      <x:c r="J415" s="58" t="e">
        <x:f>IF(AND(D415="当前已婚",G415&lt;参数与口径!$E$6),"存量兼容Lv1",IF(G415&gt;=等级配置!$C$103,"Lv100溢出","正常"))</x:f>
        <x:v>#NAME?</x:v>
      </x:c>
      <x:c r="K415" s="20" t="str">
        <x:f t="shared" si="6"/>
      </x:c>
    </x:row>
    <x:row r="416" ht="17">
      <x:c r="A416" s="58" t="s">
        <x:v>1773</x:v>
      </x:c>
      <x:c r="B416" s="58" t="s">
        <x:v>670</x:v>
      </x:c>
      <x:c r="C416" s="58" t="s">
        <x:v>1774</x:v>
      </x:c>
      <x:c r="D416" s="58" t="s">
        <x:v>1295</x:v>
      </x:c>
      <x:c r="E416" s="18" t="s">
        <x:v>1775</x:v>
      </x:c>
      <x:c r="F416" s="18" t="s">
        <x:v>1776</x:v>
      </x:c>
      <x:c r="G416" s="126">
        <x:v>39143</x:v>
      </x:c>
      <x:c r="H416" s="126" t="e">
        <x:f>IF(G416="","",IF(G416&lt;参数与口径!$E$6,1,MATCH(G416,等级配置!$C$4:$C$103,1)))</x:f>
        <x:v>#NAME?</x:v>
      </x:c>
      <x:c r="I416" s="58" t="e">
        <x:f>IF(H416="","",INDEX(等级配置!$B$4:$B$103,H416))</x:f>
        <x:v>#NAME?</x:v>
      </x:c>
      <x:c r="J416" s="58" t="e">
        <x:f>IF(AND(D416="当前已婚",G416&lt;参数与口径!$E$6),"存量兼容Lv1",IF(G416&gt;=等级配置!$C$103,"Lv100溢出","正常"))</x:f>
        <x:v>#NAME?</x:v>
      </x:c>
      <x:c r="K416" s="20" t="str">
        <x:f t="shared" si="6"/>
      </x:c>
    </x:row>
    <x:row r="417" ht="17">
      <x:c r="A417" s="58" t="s">
        <x:v>1777</x:v>
      </x:c>
      <x:c r="B417" s="58" t="s">
        <x:v>1778</x:v>
      </x:c>
      <x:c r="C417" s="58" t="s">
        <x:v>1779</x:v>
      </x:c>
      <x:c r="D417" s="58" t="s">
        <x:v>1295</x:v>
      </x:c>
      <x:c r="E417" s="18" t="s">
        <x:v>1780</x:v>
      </x:c>
      <x:c r="F417" s="18" t="s">
        <x:v>1781</x:v>
      </x:c>
      <x:c r="G417" s="126">
        <x:v>38397</x:v>
      </x:c>
      <x:c r="H417" s="126" t="e">
        <x:f>IF(G417="","",IF(G417&lt;参数与口径!$E$6,1,MATCH(G417,等级配置!$C$4:$C$103,1)))</x:f>
        <x:v>#NAME?</x:v>
      </x:c>
      <x:c r="I417" s="58" t="e">
        <x:f>IF(H417="","",INDEX(等级配置!$B$4:$B$103,H417))</x:f>
        <x:v>#NAME?</x:v>
      </x:c>
      <x:c r="J417" s="58" t="e">
        <x:f>IF(AND(D417="当前已婚",G417&lt;参数与口径!$E$6),"存量兼容Lv1",IF(G417&gt;=等级配置!$C$103,"Lv100溢出","正常"))</x:f>
        <x:v>#NAME?</x:v>
      </x:c>
      <x:c r="K417" s="20" t="str">
        <x:f t="shared" si="6"/>
      </x:c>
    </x:row>
    <x:row r="418" ht="17">
      <x:c r="A418" s="58" t="s">
        <x:v>1782</x:v>
      </x:c>
      <x:c r="B418" s="58" t="s">
        <x:v>38</x:v>
      </x:c>
      <x:c r="C418" s="58" t="s">
        <x:v>1783</x:v>
      </x:c>
      <x:c r="D418" s="58" t="s">
        <x:v>1295</x:v>
      </x:c>
      <x:c r="E418" s="18" t="s">
        <x:v>1784</x:v>
      </x:c>
      <x:c r="F418" s="18" t="s">
        <x:v>1785</x:v>
      </x:c>
      <x:c r="G418" s="126">
        <x:v>36022</x:v>
      </x:c>
      <x:c r="H418" s="126" t="e">
        <x:f>IF(G418="","",IF(G418&lt;参数与口径!$E$6,1,MATCH(G418,等级配置!$C$4:$C$103,1)))</x:f>
        <x:v>#NAME?</x:v>
      </x:c>
      <x:c r="I418" s="58" t="e">
        <x:f>IF(H418="","",INDEX(等级配置!$B$4:$B$103,H418))</x:f>
        <x:v>#NAME?</x:v>
      </x:c>
      <x:c r="J418" s="58" t="e">
        <x:f>IF(AND(D418="当前已婚",G418&lt;参数与口径!$E$6),"存量兼容Lv1",IF(G418&gt;=等级配置!$C$103,"Lv100溢出","正常"))</x:f>
        <x:v>#NAME?</x:v>
      </x:c>
      <x:c r="K418" s="20" t="str">
        <x:f t="shared" si="6"/>
      </x:c>
    </x:row>
    <x:row r="419" ht="17">
      <x:c r="A419" s="58" t="s">
        <x:v>1786</x:v>
      </x:c>
      <x:c r="B419" s="58" t="s">
        <x:v>1787</x:v>
      </x:c>
      <x:c r="C419" s="58" t="s">
        <x:v>1788</x:v>
      </x:c>
      <x:c r="D419" s="58" t="s">
        <x:v>1295</x:v>
      </x:c>
      <x:c r="E419" s="18" t="s">
        <x:v>1789</x:v>
      </x:c>
      <x:c r="F419" s="18" t="s">
        <x:v>1790</x:v>
      </x:c>
      <x:c r="G419" s="126">
        <x:v>35080</x:v>
      </x:c>
      <x:c r="H419" s="126" t="e">
        <x:f>IF(G419="","",IF(G419&lt;参数与口径!$E$6,1,MATCH(G419,等级配置!$C$4:$C$103,1)))</x:f>
        <x:v>#NAME?</x:v>
      </x:c>
      <x:c r="I419" s="58" t="e">
        <x:f>IF(H419="","",INDEX(等级配置!$B$4:$B$103,H419))</x:f>
        <x:v>#NAME?</x:v>
      </x:c>
      <x:c r="J419" s="58" t="e">
        <x:f>IF(AND(D419="当前已婚",G419&lt;参数与口径!$E$6),"存量兼容Lv1",IF(G419&gt;=等级配置!$C$103,"Lv100溢出","正常"))</x:f>
        <x:v>#NAME?</x:v>
      </x:c>
      <x:c r="K419" s="20" t="str">
        <x:f t="shared" si="6"/>
      </x:c>
    </x:row>
    <x:row r="420" ht="17">
      <x:c r="A420" s="58" t="s">
        <x:v>1791</x:v>
      </x:c>
      <x:c r="B420" s="58" t="s">
        <x:v>1792</x:v>
      </x:c>
      <x:c r="C420" s="58" t="s">
        <x:v>1793</x:v>
      </x:c>
      <x:c r="D420" s="58" t="s">
        <x:v>1295</x:v>
      </x:c>
      <x:c r="E420" s="18" t="s">
        <x:v>1794</x:v>
      </x:c>
      <x:c r="F420" s="18" t="s">
        <x:v>1795</x:v>
      </x:c>
      <x:c r="G420" s="126">
        <x:v>34528</x:v>
      </x:c>
      <x:c r="H420" s="126" t="e">
        <x:f>IF(G420="","",IF(G420&lt;参数与口径!$E$6,1,MATCH(G420,等级配置!$C$4:$C$103,1)))</x:f>
        <x:v>#NAME?</x:v>
      </x:c>
      <x:c r="I420" s="58" t="e">
        <x:f>IF(H420="","",INDEX(等级配置!$B$4:$B$103,H420))</x:f>
        <x:v>#NAME?</x:v>
      </x:c>
      <x:c r="J420" s="58" t="e">
        <x:f>IF(AND(D420="当前已婚",G420&lt;参数与口径!$E$6),"存量兼容Lv1",IF(G420&gt;=等级配置!$C$103,"Lv100溢出","正常"))</x:f>
        <x:v>#NAME?</x:v>
      </x:c>
      <x:c r="K420" s="20" t="str">
        <x:f t="shared" si="6"/>
      </x:c>
    </x:row>
    <x:row r="421" ht="17">
      <x:c r="A421" s="58" t="s">
        <x:v>1796</x:v>
      </x:c>
      <x:c r="B421" s="58" t="s">
        <x:v>166</x:v>
      </x:c>
      <x:c r="C421" s="58" t="s">
        <x:v>1797</x:v>
      </x:c>
      <x:c r="D421" s="58" t="s">
        <x:v>1295</x:v>
      </x:c>
      <x:c r="E421" s="18" t="s">
        <x:v>1798</x:v>
      </x:c>
      <x:c r="F421" s="18" t="s">
        <x:v>1799</x:v>
      </x:c>
      <x:c r="G421" s="126">
        <x:v>34027</x:v>
      </x:c>
      <x:c r="H421" s="126" t="e">
        <x:f>IF(G421="","",IF(G421&lt;参数与口径!$E$6,1,MATCH(G421,等级配置!$C$4:$C$103,1)))</x:f>
        <x:v>#NAME?</x:v>
      </x:c>
      <x:c r="I421" s="58" t="e">
        <x:f>IF(H421="","",INDEX(等级配置!$B$4:$B$103,H421))</x:f>
        <x:v>#NAME?</x:v>
      </x:c>
      <x:c r="J421" s="58" t="e">
        <x:f>IF(AND(D421="当前已婚",G421&lt;参数与口径!$E$6),"存量兼容Lv1",IF(G421&gt;=等级配置!$C$103,"Lv100溢出","正常"))</x:f>
        <x:v>#NAME?</x:v>
      </x:c>
      <x:c r="K421" s="20" t="str">
        <x:f t="shared" si="6"/>
      </x:c>
    </x:row>
    <x:row r="422" ht="17">
      <x:c r="A422" s="58" t="s">
        <x:v>1800</x:v>
      </x:c>
      <x:c r="B422" s="58" t="s">
        <x:v>1801</x:v>
      </x:c>
      <x:c r="C422" s="58" t="s">
        <x:v>1802</x:v>
      </x:c>
      <x:c r="D422" s="58" t="s">
        <x:v>1295</x:v>
      </x:c>
      <x:c r="E422" s="18" t="s">
        <x:v>1803</x:v>
      </x:c>
      <x:c r="F422" s="18" t="s">
        <x:v>1804</x:v>
      </x:c>
      <x:c r="G422" s="126">
        <x:v>33460</x:v>
      </x:c>
      <x:c r="H422" s="126" t="e">
        <x:f>IF(G422="","",IF(G422&lt;参数与口径!$E$6,1,MATCH(G422,等级配置!$C$4:$C$103,1)))</x:f>
        <x:v>#NAME?</x:v>
      </x:c>
      <x:c r="I422" s="58" t="e">
        <x:f>IF(H422="","",INDEX(等级配置!$B$4:$B$103,H422))</x:f>
        <x:v>#NAME?</x:v>
      </x:c>
      <x:c r="J422" s="58" t="e">
        <x:f>IF(AND(D422="当前已婚",G422&lt;参数与口径!$E$6),"存量兼容Lv1",IF(G422&gt;=等级配置!$C$103,"Lv100溢出","正常"))</x:f>
        <x:v>#NAME?</x:v>
      </x:c>
      <x:c r="K422" s="20" t="str">
        <x:f t="shared" si="6"/>
      </x:c>
    </x:row>
    <x:row r="423" ht="17">
      <x:c r="A423" s="58" t="s">
        <x:v>1805</x:v>
      </x:c>
      <x:c r="B423" s="58" t="s">
        <x:v>1806</x:v>
      </x:c>
      <x:c r="C423" s="58" t="s">
        <x:v>1807</x:v>
      </x:c>
      <x:c r="D423" s="58" t="s">
        <x:v>1295</x:v>
      </x:c>
      <x:c r="E423" s="18" t="s">
        <x:v>1808</x:v>
      </x:c>
      <x:c r="F423" s="18" t="s">
        <x:v>1809</x:v>
      </x:c>
      <x:c r="G423" s="126">
        <x:v>33456</x:v>
      </x:c>
      <x:c r="H423" s="126" t="e">
        <x:f>IF(G423="","",IF(G423&lt;参数与口径!$E$6,1,MATCH(G423,等级配置!$C$4:$C$103,1)))</x:f>
        <x:v>#NAME?</x:v>
      </x:c>
      <x:c r="I423" s="58" t="e">
        <x:f>IF(H423="","",INDEX(等级配置!$B$4:$B$103,H423))</x:f>
        <x:v>#NAME?</x:v>
      </x:c>
      <x:c r="J423" s="58" t="e">
        <x:f>IF(AND(D423="当前已婚",G423&lt;参数与口径!$E$6),"存量兼容Lv1",IF(G423&gt;=等级配置!$C$103,"Lv100溢出","正常"))</x:f>
        <x:v>#NAME?</x:v>
      </x:c>
      <x:c r="K423" s="20" t="str">
        <x:f t="shared" si="6"/>
      </x:c>
    </x:row>
    <x:row r="424" ht="17">
      <x:c r="A424" s="58" t="s">
        <x:v>1810</x:v>
      </x:c>
      <x:c r="B424" s="58" t="s">
        <x:v>1811</x:v>
      </x:c>
      <x:c r="C424" s="58" t="s">
        <x:v>1812</x:v>
      </x:c>
      <x:c r="D424" s="58" t="s">
        <x:v>1295</x:v>
      </x:c>
      <x:c r="E424" s="18" t="s">
        <x:v>1813</x:v>
      </x:c>
      <x:c r="F424" s="18" t="s">
        <x:v>1814</x:v>
      </x:c>
      <x:c r="G424" s="126">
        <x:v>33230</x:v>
      </x:c>
      <x:c r="H424" s="126" t="e">
        <x:f>IF(G424="","",IF(G424&lt;参数与口径!$E$6,1,MATCH(G424,等级配置!$C$4:$C$103,1)))</x:f>
        <x:v>#NAME?</x:v>
      </x:c>
      <x:c r="I424" s="58" t="e">
        <x:f>IF(H424="","",INDEX(等级配置!$B$4:$B$103,H424))</x:f>
        <x:v>#NAME?</x:v>
      </x:c>
      <x:c r="J424" s="58" t="e">
        <x:f>IF(AND(D424="当前已婚",G424&lt;参数与口径!$E$6),"存量兼容Lv1",IF(G424&gt;=等级配置!$C$103,"Lv100溢出","正常"))</x:f>
        <x:v>#NAME?</x:v>
      </x:c>
      <x:c r="K424" s="20" t="str">
        <x:f t="shared" si="6"/>
      </x:c>
    </x:row>
    <x:row r="425" ht="17">
      <x:c r="A425" s="58" t="s">
        <x:v>1815</x:v>
      </x:c>
      <x:c r="B425" s="58" t="s">
        <x:v>1816</x:v>
      </x:c>
      <x:c r="C425" s="58" t="s">
        <x:v>1658</x:v>
      </x:c>
      <x:c r="D425" s="58" t="s">
        <x:v>1295</x:v>
      </x:c>
      <x:c r="E425" s="18" t="s">
        <x:v>1817</x:v>
      </x:c>
      <x:c r="F425" s="18" t="s">
        <x:v>1818</x:v>
      </x:c>
      <x:c r="G425" s="126">
        <x:v>32637</x:v>
      </x:c>
      <x:c r="H425" s="126" t="e">
        <x:f>IF(G425="","",IF(G425&lt;参数与口径!$E$6,1,MATCH(G425,等级配置!$C$4:$C$103,1)))</x:f>
        <x:v>#NAME?</x:v>
      </x:c>
      <x:c r="I425" s="58" t="e">
        <x:f>IF(H425="","",INDEX(等级配置!$B$4:$B$103,H425))</x:f>
        <x:v>#NAME?</x:v>
      </x:c>
      <x:c r="J425" s="58" t="e">
        <x:f>IF(AND(D425="当前已婚",G425&lt;参数与口径!$E$6),"存量兼容Lv1",IF(G425&gt;=等级配置!$C$103,"Lv100溢出","正常"))</x:f>
        <x:v>#NAME?</x:v>
      </x:c>
      <x:c r="K425" s="20" t="str">
        <x:f t="shared" si="6"/>
      </x:c>
    </x:row>
    <x:row r="426" ht="17">
      <x:c r="A426" s="58" t="s">
        <x:v>1819</x:v>
      </x:c>
      <x:c r="B426" s="58" t="s">
        <x:v>1820</x:v>
      </x:c>
      <x:c r="C426" s="58" t="s">
        <x:v>1821</x:v>
      </x:c>
      <x:c r="D426" s="58" t="s">
        <x:v>1295</x:v>
      </x:c>
      <x:c r="E426" s="18" t="s">
        <x:v>1822</x:v>
      </x:c>
      <x:c r="F426" s="18" t="s">
        <x:v>1823</x:v>
      </x:c>
      <x:c r="G426" s="126">
        <x:v>30853</x:v>
      </x:c>
      <x:c r="H426" s="126" t="e">
        <x:f>IF(G426="","",IF(G426&lt;参数与口径!$E$6,1,MATCH(G426,等级配置!$C$4:$C$103,1)))</x:f>
        <x:v>#NAME?</x:v>
      </x:c>
      <x:c r="I426" s="58" t="e">
        <x:f>IF(H426="","",INDEX(等级配置!$B$4:$B$103,H426))</x:f>
        <x:v>#NAME?</x:v>
      </x:c>
      <x:c r="J426" s="58" t="e">
        <x:f>IF(AND(D426="当前已婚",G426&lt;参数与口径!$E$6),"存量兼容Lv1",IF(G426&gt;=等级配置!$C$103,"Lv100溢出","正常"))</x:f>
        <x:v>#NAME?</x:v>
      </x:c>
      <x:c r="K426" s="20" t="str">
        <x:f t="shared" si="6"/>
      </x:c>
    </x:row>
    <x:row r="427" ht="17">
      <x:c r="A427" s="58" t="s">
        <x:v>1824</x:v>
      </x:c>
      <x:c r="B427" s="58" t="s">
        <x:v>1459</x:v>
      </x:c>
      <x:c r="C427" s="58" t="s">
        <x:v>1825</x:v>
      </x:c>
      <x:c r="D427" s="58" t="s">
        <x:v>1295</x:v>
      </x:c>
      <x:c r="E427" s="18" t="s">
        <x:v>1826</x:v>
      </x:c>
      <x:c r="F427" s="18" t="s">
        <x:v>1827</x:v>
      </x:c>
      <x:c r="G427" s="126">
        <x:v>30851</x:v>
      </x:c>
      <x:c r="H427" s="126" t="e">
        <x:f>IF(G427="","",IF(G427&lt;参数与口径!$E$6,1,MATCH(G427,等级配置!$C$4:$C$103,1)))</x:f>
        <x:v>#NAME?</x:v>
      </x:c>
      <x:c r="I427" s="58" t="e">
        <x:f>IF(H427="","",INDEX(等级配置!$B$4:$B$103,H427))</x:f>
        <x:v>#NAME?</x:v>
      </x:c>
      <x:c r="J427" s="58" t="e">
        <x:f>IF(AND(D427="当前已婚",G427&lt;参数与口径!$E$6),"存量兼容Lv1",IF(G427&gt;=等级配置!$C$103,"Lv100溢出","正常"))</x:f>
        <x:v>#NAME?</x:v>
      </x:c>
      <x:c r="K427" s="20" t="str">
        <x:f t="shared" si="6"/>
      </x:c>
    </x:row>
    <x:row r="428" ht="17">
      <x:c r="A428" s="58" t="s">
        <x:v>1828</x:v>
      </x:c>
      <x:c r="B428" s="58" t="s">
        <x:v>149</x:v>
      </x:c>
      <x:c r="C428" s="58" t="s">
        <x:v>1829</x:v>
      </x:c>
      <x:c r="D428" s="58" t="s">
        <x:v>1295</x:v>
      </x:c>
      <x:c r="E428" s="18" t="s">
        <x:v>1830</x:v>
      </x:c>
      <x:c r="F428" s="18" t="s">
        <x:v>1831</x:v>
      </x:c>
      <x:c r="G428" s="126">
        <x:v>30581</x:v>
      </x:c>
      <x:c r="H428" s="126" t="e">
        <x:f>IF(G428="","",IF(G428&lt;参数与口径!$E$6,1,MATCH(G428,等级配置!$C$4:$C$103,1)))</x:f>
        <x:v>#NAME?</x:v>
      </x:c>
      <x:c r="I428" s="58" t="e">
        <x:f>IF(H428="","",INDEX(等级配置!$B$4:$B$103,H428))</x:f>
        <x:v>#NAME?</x:v>
      </x:c>
      <x:c r="J428" s="58" t="e">
        <x:f>IF(AND(D428="当前已婚",G428&lt;参数与口径!$E$6),"存量兼容Lv1",IF(G428&gt;=等级配置!$C$103,"Lv100溢出","正常"))</x:f>
        <x:v>#NAME?</x:v>
      </x:c>
      <x:c r="K428" s="20" t="str">
        <x:f t="shared" si="6"/>
      </x:c>
    </x:row>
    <x:row r="429" ht="17">
      <x:c r="A429" s="58" t="s">
        <x:v>1832</x:v>
      </x:c>
      <x:c r="B429" s="58" t="s">
        <x:v>1833</x:v>
      </x:c>
      <x:c r="C429" s="58" t="s">
        <x:v>1834</x:v>
      </x:c>
      <x:c r="D429" s="58" t="s">
        <x:v>1295</x:v>
      </x:c>
      <x:c r="E429" s="18" t="s">
        <x:v>1835</x:v>
      </x:c>
      <x:c r="F429" s="18" t="s">
        <x:v>1836</x:v>
      </x:c>
      <x:c r="G429" s="126">
        <x:v>30361</x:v>
      </x:c>
      <x:c r="H429" s="126" t="e">
        <x:f>IF(G429="","",IF(G429&lt;参数与口径!$E$6,1,MATCH(G429,等级配置!$C$4:$C$103,1)))</x:f>
        <x:v>#NAME?</x:v>
      </x:c>
      <x:c r="I429" s="58" t="e">
        <x:f>IF(H429="","",INDEX(等级配置!$B$4:$B$103,H429))</x:f>
        <x:v>#NAME?</x:v>
      </x:c>
      <x:c r="J429" s="58" t="e">
        <x:f>IF(AND(D429="当前已婚",G429&lt;参数与口径!$E$6),"存量兼容Lv1",IF(G429&gt;=等级配置!$C$103,"Lv100溢出","正常"))</x:f>
        <x:v>#NAME?</x:v>
      </x:c>
      <x:c r="K429" s="20" t="str">
        <x:f t="shared" si="6"/>
      </x:c>
    </x:row>
    <x:row r="430" ht="17">
      <x:c r="A430" s="58" t="s">
        <x:v>1837</x:v>
      </x:c>
      <x:c r="B430" s="58" t="s">
        <x:v>195</x:v>
      </x:c>
      <x:c r="C430" s="58" t="s">
        <x:v>1838</x:v>
      </x:c>
      <x:c r="D430" s="58" t="s">
        <x:v>1295</x:v>
      </x:c>
      <x:c r="E430" s="18" t="s">
        <x:v>1839</x:v>
      </x:c>
      <x:c r="F430" s="18" t="s">
        <x:v>1840</x:v>
      </x:c>
      <x:c r="G430" s="126">
        <x:v>30235</x:v>
      </x:c>
      <x:c r="H430" s="126" t="e">
        <x:f>IF(G430="","",IF(G430&lt;参数与口径!$E$6,1,MATCH(G430,等级配置!$C$4:$C$103,1)))</x:f>
        <x:v>#NAME?</x:v>
      </x:c>
      <x:c r="I430" s="58" t="e">
        <x:f>IF(H430="","",INDEX(等级配置!$B$4:$B$103,H430))</x:f>
        <x:v>#NAME?</x:v>
      </x:c>
      <x:c r="J430" s="58" t="e">
        <x:f>IF(AND(D430="当前已婚",G430&lt;参数与口径!$E$6),"存量兼容Lv1",IF(G430&gt;=等级配置!$C$103,"Lv100溢出","正常"))</x:f>
        <x:v>#NAME?</x:v>
      </x:c>
      <x:c r="K430" s="20" t="str">
        <x:f t="shared" si="6"/>
      </x:c>
    </x:row>
    <x:row r="431" ht="17">
      <x:c r="A431" s="58" t="s">
        <x:v>1841</x:v>
      </x:c>
      <x:c r="B431" s="58" t="s">
        <x:v>1842</x:v>
      </x:c>
      <x:c r="C431" s="58" t="s">
        <x:v>1843</x:v>
      </x:c>
      <x:c r="D431" s="58" t="s">
        <x:v>1295</x:v>
      </x:c>
      <x:c r="E431" s="18" t="s">
        <x:v>1844</x:v>
      </x:c>
      <x:c r="F431" s="18" t="s">
        <x:v>1845</x:v>
      </x:c>
      <x:c r="G431" s="126">
        <x:v>30015</x:v>
      </x:c>
      <x:c r="H431" s="126" t="e">
        <x:f>IF(G431="","",IF(G431&lt;参数与口径!$E$6,1,MATCH(G431,等级配置!$C$4:$C$103,1)))</x:f>
        <x:v>#NAME?</x:v>
      </x:c>
      <x:c r="I431" s="58" t="e">
        <x:f>IF(H431="","",INDEX(等级配置!$B$4:$B$103,H431))</x:f>
        <x:v>#NAME?</x:v>
      </x:c>
      <x:c r="J431" s="58" t="e">
        <x:f>IF(AND(D431="当前已婚",G431&lt;参数与口径!$E$6),"存量兼容Lv1",IF(G431&gt;=等级配置!$C$103,"Lv100溢出","正常"))</x:f>
        <x:v>#NAME?</x:v>
      </x:c>
      <x:c r="K431" s="20" t="str">
        <x:f t="shared" si="6"/>
      </x:c>
    </x:row>
    <x:row r="432" ht="17">
      <x:c r="A432" s="58" t="s">
        <x:v>1846</x:v>
      </x:c>
      <x:c r="B432" s="58" t="s">
        <x:v>120</x:v>
      </x:c>
      <x:c r="C432" s="58" t="s">
        <x:v>1847</x:v>
      </x:c>
      <x:c r="D432" s="58" t="s">
        <x:v>1295</x:v>
      </x:c>
      <x:c r="E432" s="18" t="s">
        <x:v>1848</x:v>
      </x:c>
      <x:c r="F432" s="18" t="s">
        <x:v>1849</x:v>
      </x:c>
      <x:c r="G432" s="126">
        <x:v>29619</x:v>
      </x:c>
      <x:c r="H432" s="126" t="e">
        <x:f>IF(G432="","",IF(G432&lt;参数与口径!$E$6,1,MATCH(G432,等级配置!$C$4:$C$103,1)))</x:f>
        <x:v>#NAME?</x:v>
      </x:c>
      <x:c r="I432" s="58" t="e">
        <x:f>IF(H432="","",INDEX(等级配置!$B$4:$B$103,H432))</x:f>
        <x:v>#NAME?</x:v>
      </x:c>
      <x:c r="J432" s="58" t="e">
        <x:f>IF(AND(D432="当前已婚",G432&lt;参数与口径!$E$6),"存量兼容Lv1",IF(G432&gt;=等级配置!$C$103,"Lv100溢出","正常"))</x:f>
        <x:v>#NAME?</x:v>
      </x:c>
      <x:c r="K432" s="20" t="str">
        <x:f t="shared" si="6"/>
      </x:c>
    </x:row>
    <x:row r="433" ht="17">
      <x:c r="A433" s="58" t="s">
        <x:v>1850</x:v>
      </x:c>
      <x:c r="B433" s="58" t="s">
        <x:v>1851</x:v>
      </x:c>
      <x:c r="C433" s="58" t="s">
        <x:v>1010</x:v>
      </x:c>
      <x:c r="D433" s="58" t="s">
        <x:v>1295</x:v>
      </x:c>
      <x:c r="E433" s="18" t="s">
        <x:v>1852</x:v>
      </x:c>
      <x:c r="F433" s="18" t="s">
        <x:v>1853</x:v>
      </x:c>
      <x:c r="G433" s="126">
        <x:v>29333</x:v>
      </x:c>
      <x:c r="H433" s="126" t="e">
        <x:f>IF(G433="","",IF(G433&lt;参数与口径!$E$6,1,MATCH(G433,等级配置!$C$4:$C$103,1)))</x:f>
        <x:v>#NAME?</x:v>
      </x:c>
      <x:c r="I433" s="58" t="e">
        <x:f>IF(H433="","",INDEX(等级配置!$B$4:$B$103,H433))</x:f>
        <x:v>#NAME?</x:v>
      </x:c>
      <x:c r="J433" s="58" t="e">
        <x:f>IF(AND(D433="当前已婚",G433&lt;参数与口径!$E$6),"存量兼容Lv1",IF(G433&gt;=等级配置!$C$103,"Lv100溢出","正常"))</x:f>
        <x:v>#NAME?</x:v>
      </x:c>
      <x:c r="K433" s="20" t="str">
        <x:f t="shared" si="6"/>
      </x:c>
    </x:row>
    <x:row r="434" ht="17">
      <x:c r="A434" s="58" t="s">
        <x:v>1854</x:v>
      </x:c>
      <x:c r="B434" s="58" t="s">
        <x:v>1855</x:v>
      </x:c>
      <x:c r="C434" s="58" t="s">
        <x:v>1856</x:v>
      </x:c>
      <x:c r="D434" s="58" t="s">
        <x:v>1295</x:v>
      </x:c>
      <x:c r="E434" s="18" t="s">
        <x:v>1857</x:v>
      </x:c>
      <x:c r="F434" s="18" t="s">
        <x:v>1858</x:v>
      </x:c>
      <x:c r="G434" s="126">
        <x:v>28481</x:v>
      </x:c>
      <x:c r="H434" s="126" t="e">
        <x:f>IF(G434="","",IF(G434&lt;参数与口径!$E$6,1,MATCH(G434,等级配置!$C$4:$C$103,1)))</x:f>
        <x:v>#NAME?</x:v>
      </x:c>
      <x:c r="I434" s="58" t="e">
        <x:f>IF(H434="","",INDEX(等级配置!$B$4:$B$103,H434))</x:f>
        <x:v>#NAME?</x:v>
      </x:c>
      <x:c r="J434" s="58" t="e">
        <x:f>IF(AND(D434="当前已婚",G434&lt;参数与口径!$E$6),"存量兼容Lv1",IF(G434&gt;=等级配置!$C$103,"Lv100溢出","正常"))</x:f>
        <x:v>#NAME?</x:v>
      </x:c>
      <x:c r="K434" s="20" t="str">
        <x:f t="shared" si="6"/>
      </x:c>
    </x:row>
    <x:row r="435" ht="17">
      <x:c r="A435" s="58" t="s">
        <x:v>1859</x:v>
      </x:c>
      <x:c r="B435" s="58" t="s">
        <x:v>1860</x:v>
      </x:c>
      <x:c r="C435" s="58" t="s">
        <x:v>1861</x:v>
      </x:c>
      <x:c r="D435" s="58" t="s">
        <x:v>1295</x:v>
      </x:c>
      <x:c r="E435" s="18" t="s">
        <x:v>1862</x:v>
      </x:c>
      <x:c r="F435" s="18" t="s">
        <x:v>1863</x:v>
      </x:c>
      <x:c r="G435" s="126">
        <x:v>28386</x:v>
      </x:c>
      <x:c r="H435" s="126" t="e">
        <x:f>IF(G435="","",IF(G435&lt;参数与口径!$E$6,1,MATCH(G435,等级配置!$C$4:$C$103,1)))</x:f>
        <x:v>#NAME?</x:v>
      </x:c>
      <x:c r="I435" s="58" t="e">
        <x:f>IF(H435="","",INDEX(等级配置!$B$4:$B$103,H435))</x:f>
        <x:v>#NAME?</x:v>
      </x:c>
      <x:c r="J435" s="58" t="e">
        <x:f>IF(AND(D435="当前已婚",G435&lt;参数与口径!$E$6),"存量兼容Lv1",IF(G435&gt;=等级配置!$C$103,"Lv100溢出","正常"))</x:f>
        <x:v>#NAME?</x:v>
      </x:c>
      <x:c r="K435" s="20" t="str">
        <x:f t="shared" si="6"/>
      </x:c>
    </x:row>
    <x:row r="436" ht="17">
      <x:c r="A436" s="58" t="s">
        <x:v>1864</x:v>
      </x:c>
      <x:c r="B436" s="58" t="s">
        <x:v>759</x:v>
      </x:c>
      <x:c r="C436" s="58" t="s">
        <x:v>1865</x:v>
      </x:c>
      <x:c r="D436" s="58" t="s">
        <x:v>1295</x:v>
      </x:c>
      <x:c r="E436" s="18" t="s">
        <x:v>1866</x:v>
      </x:c>
      <x:c r="F436" s="18" t="s">
        <x:v>1867</x:v>
      </x:c>
      <x:c r="G436" s="126">
        <x:v>27572</x:v>
      </x:c>
      <x:c r="H436" s="126" t="e">
        <x:f>IF(G436="","",IF(G436&lt;参数与口径!$E$6,1,MATCH(G436,等级配置!$C$4:$C$103,1)))</x:f>
        <x:v>#NAME?</x:v>
      </x:c>
      <x:c r="I436" s="58" t="e">
        <x:f>IF(H436="","",INDEX(等级配置!$B$4:$B$103,H436))</x:f>
        <x:v>#NAME?</x:v>
      </x:c>
      <x:c r="J436" s="58" t="e">
        <x:f>IF(AND(D436="当前已婚",G436&lt;参数与口径!$E$6),"存量兼容Lv1",IF(G436&gt;=等级配置!$C$103,"Lv100溢出","正常"))</x:f>
        <x:v>#NAME?</x:v>
      </x:c>
      <x:c r="K436" s="20" t="str">
        <x:f t="shared" si="6"/>
      </x:c>
    </x:row>
    <x:row r="437" ht="17">
      <x:c r="A437" s="58" t="s">
        <x:v>1868</x:v>
      </x:c>
      <x:c r="B437" s="58" t="s">
        <x:v>1869</x:v>
      </x:c>
      <x:c r="C437" s="58" t="s">
        <x:v>1870</x:v>
      </x:c>
      <x:c r="D437" s="58" t="s">
        <x:v>1295</x:v>
      </x:c>
      <x:c r="E437" s="18" t="s">
        <x:v>1871</x:v>
      </x:c>
      <x:c r="F437" s="18" t="s">
        <x:v>1872</x:v>
      </x:c>
      <x:c r="G437" s="126">
        <x:v>26753</x:v>
      </x:c>
      <x:c r="H437" s="126" t="e">
        <x:f>IF(G437="","",IF(G437&lt;参数与口径!$E$6,1,MATCH(G437,等级配置!$C$4:$C$103,1)))</x:f>
        <x:v>#NAME?</x:v>
      </x:c>
      <x:c r="I437" s="58" t="e">
        <x:f>IF(H437="","",INDEX(等级配置!$B$4:$B$103,H437))</x:f>
        <x:v>#NAME?</x:v>
      </x:c>
      <x:c r="J437" s="58" t="e">
        <x:f>IF(AND(D437="当前已婚",G437&lt;参数与口径!$E$6),"存量兼容Lv1",IF(G437&gt;=等级配置!$C$103,"Lv100溢出","正常"))</x:f>
        <x:v>#NAME?</x:v>
      </x:c>
      <x:c r="K437" s="20" t="str">
        <x:f t="shared" si="6"/>
      </x:c>
    </x:row>
    <x:row r="438" ht="17">
      <x:c r="A438" s="58" t="s">
        <x:v>1873</x:v>
      </x:c>
      <x:c r="B438" s="58" t="s">
        <x:v>1874</x:v>
      </x:c>
      <x:c r="C438" s="58" t="s">
        <x:v>1875</x:v>
      </x:c>
      <x:c r="D438" s="58" t="s">
        <x:v>1295</x:v>
      </x:c>
      <x:c r="E438" s="18" t="s">
        <x:v>1876</x:v>
      </x:c>
      <x:c r="F438" s="18" t="s">
        <x:v>1877</x:v>
      </x:c>
      <x:c r="G438" s="126">
        <x:v>26381</x:v>
      </x:c>
      <x:c r="H438" s="126" t="e">
        <x:f>IF(G438="","",IF(G438&lt;参数与口径!$E$6,1,MATCH(G438,等级配置!$C$4:$C$103,1)))</x:f>
        <x:v>#NAME?</x:v>
      </x:c>
      <x:c r="I438" s="58" t="e">
        <x:f>IF(H438="","",INDEX(等级配置!$B$4:$B$103,H438))</x:f>
        <x:v>#NAME?</x:v>
      </x:c>
      <x:c r="J438" s="58" t="e">
        <x:f>IF(AND(D438="当前已婚",G438&lt;参数与口径!$E$6),"存量兼容Lv1",IF(G438&gt;=等级配置!$C$103,"Lv100溢出","正常"))</x:f>
        <x:v>#NAME?</x:v>
      </x:c>
      <x:c r="K438" s="20" t="str">
        <x:f t="shared" si="6"/>
      </x:c>
    </x:row>
    <x:row r="439" ht="17">
      <x:c r="A439" s="58" t="s">
        <x:v>1878</x:v>
      </x:c>
      <x:c r="B439" s="58" t="s">
        <x:v>1879</x:v>
      </x:c>
      <x:c r="C439" s="58" t="s">
        <x:v>1880</x:v>
      </x:c>
      <x:c r="D439" s="58" t="s">
        <x:v>1295</x:v>
      </x:c>
      <x:c r="E439" s="18" t="s">
        <x:v>1881</x:v>
      </x:c>
      <x:c r="F439" s="18" t="s">
        <x:v>1882</x:v>
      </x:c>
      <x:c r="G439" s="126">
        <x:v>26297</x:v>
      </x:c>
      <x:c r="H439" s="126" t="e">
        <x:f>IF(G439="","",IF(G439&lt;参数与口径!$E$6,1,MATCH(G439,等级配置!$C$4:$C$103,1)))</x:f>
        <x:v>#NAME?</x:v>
      </x:c>
      <x:c r="I439" s="58" t="e">
        <x:f>IF(H439="","",INDEX(等级配置!$B$4:$B$103,H439))</x:f>
        <x:v>#NAME?</x:v>
      </x:c>
      <x:c r="J439" s="58" t="e">
        <x:f>IF(AND(D439="当前已婚",G439&lt;参数与口径!$E$6),"存量兼容Lv1",IF(G439&gt;=等级配置!$C$103,"Lv100溢出","正常"))</x:f>
        <x:v>#NAME?</x:v>
      </x:c>
      <x:c r="K439" s="20" t="str">
        <x:f t="shared" si="6"/>
      </x:c>
    </x:row>
    <x:row r="440" ht="17">
      <x:c r="A440" s="58" t="s">
        <x:v>1883</x:v>
      </x:c>
      <x:c r="B440" s="58" t="s">
        <x:v>1884</x:v>
      </x:c>
      <x:c r="C440" s="58" t="s">
        <x:v>1885</x:v>
      </x:c>
      <x:c r="D440" s="58" t="s">
        <x:v>1295</x:v>
      </x:c>
      <x:c r="E440" s="18" t="s">
        <x:v>1886</x:v>
      </x:c>
      <x:c r="F440" s="18" t="s">
        <x:v>1887</x:v>
      </x:c>
      <x:c r="G440" s="126">
        <x:v>25819</x:v>
      </x:c>
      <x:c r="H440" s="126" t="e">
        <x:f>IF(G440="","",IF(G440&lt;参数与口径!$E$6,1,MATCH(G440,等级配置!$C$4:$C$103,1)))</x:f>
        <x:v>#NAME?</x:v>
      </x:c>
      <x:c r="I440" s="58" t="e">
        <x:f>IF(H440="","",INDEX(等级配置!$B$4:$B$103,H440))</x:f>
        <x:v>#NAME?</x:v>
      </x:c>
      <x:c r="J440" s="58" t="e">
        <x:f>IF(AND(D440="当前已婚",G440&lt;参数与口径!$E$6),"存量兼容Lv1",IF(G440&gt;=等级配置!$C$103,"Lv100溢出","正常"))</x:f>
        <x:v>#NAME?</x:v>
      </x:c>
      <x:c r="K440" s="20" t="str">
        <x:f t="shared" si="6"/>
      </x:c>
    </x:row>
    <x:row r="441" ht="17">
      <x:c r="A441" s="58" t="s">
        <x:v>1888</x:v>
      </x:c>
      <x:c r="B441" s="58" t="s">
        <x:v>1454</x:v>
      </x:c>
      <x:c r="C441" s="58" t="s">
        <x:v>1889</x:v>
      </x:c>
      <x:c r="D441" s="58" t="s">
        <x:v>1295</x:v>
      </x:c>
      <x:c r="E441" s="18" t="s">
        <x:v>1890</x:v>
      </x:c>
      <x:c r="F441" s="18" t="s">
        <x:v>1891</x:v>
      </x:c>
      <x:c r="G441" s="126">
        <x:v>25142</x:v>
      </x:c>
      <x:c r="H441" s="126" t="e">
        <x:f>IF(G441="","",IF(G441&lt;参数与口径!$E$6,1,MATCH(G441,等级配置!$C$4:$C$103,1)))</x:f>
        <x:v>#NAME?</x:v>
      </x:c>
      <x:c r="I441" s="58" t="e">
        <x:f>IF(H441="","",INDEX(等级配置!$B$4:$B$103,H441))</x:f>
        <x:v>#NAME?</x:v>
      </x:c>
      <x:c r="J441" s="58" t="e">
        <x:f>IF(AND(D441="当前已婚",G441&lt;参数与口径!$E$6),"存量兼容Lv1",IF(G441&gt;=等级配置!$C$103,"Lv100溢出","正常"))</x:f>
        <x:v>#NAME?</x:v>
      </x:c>
      <x:c r="K441" s="20" t="str">
        <x:f t="shared" si="6"/>
      </x:c>
    </x:row>
    <x:row r="442" ht="17">
      <x:c r="A442" s="58" t="s">
        <x:v>1892</x:v>
      </x:c>
      <x:c r="B442" s="58" t="s">
        <x:v>1893</x:v>
      </x:c>
      <x:c r="C442" s="58" t="s">
        <x:v>1894</x:v>
      </x:c>
      <x:c r="D442" s="58" t="s">
        <x:v>1295</x:v>
      </x:c>
      <x:c r="E442" s="18" t="s">
        <x:v>1895</x:v>
      </x:c>
      <x:c r="F442" s="18" t="s">
        <x:v>1896</x:v>
      </x:c>
      <x:c r="G442" s="126">
        <x:v>24256</x:v>
      </x:c>
      <x:c r="H442" s="126" t="e">
        <x:f>IF(G442="","",IF(G442&lt;参数与口径!$E$6,1,MATCH(G442,等级配置!$C$4:$C$103,1)))</x:f>
        <x:v>#NAME?</x:v>
      </x:c>
      <x:c r="I442" s="58" t="e">
        <x:f>IF(H442="","",INDEX(等级配置!$B$4:$B$103,H442))</x:f>
        <x:v>#NAME?</x:v>
      </x:c>
      <x:c r="J442" s="58" t="e">
        <x:f>IF(AND(D442="当前已婚",G442&lt;参数与口径!$E$6),"存量兼容Lv1",IF(G442&gt;=等级配置!$C$103,"Lv100溢出","正常"))</x:f>
        <x:v>#NAME?</x:v>
      </x:c>
      <x:c r="K442" s="20" t="str">
        <x:f t="shared" si="6"/>
      </x:c>
    </x:row>
    <x:row r="443" ht="17">
      <x:c r="A443" s="58" t="s">
        <x:v>1897</x:v>
      </x:c>
      <x:c r="B443" s="58" t="s">
        <x:v>1755</x:v>
      </x:c>
      <x:c r="C443" s="58" t="s">
        <x:v>1838</x:v>
      </x:c>
      <x:c r="D443" s="58" t="s">
        <x:v>1295</x:v>
      </x:c>
      <x:c r="E443" s="18" t="s">
        <x:v>1898</x:v>
      </x:c>
      <x:c r="F443" s="18" t="s">
        <x:v>1899</x:v>
      </x:c>
      <x:c r="G443" s="126">
        <x:v>24223</x:v>
      </x:c>
      <x:c r="H443" s="126" t="e">
        <x:f>IF(G443="","",IF(G443&lt;参数与口径!$E$6,1,MATCH(G443,等级配置!$C$4:$C$103,1)))</x:f>
        <x:v>#NAME?</x:v>
      </x:c>
      <x:c r="I443" s="58" t="e">
        <x:f>IF(H443="","",INDEX(等级配置!$B$4:$B$103,H443))</x:f>
        <x:v>#NAME?</x:v>
      </x:c>
      <x:c r="J443" s="58" t="e">
        <x:f>IF(AND(D443="当前已婚",G443&lt;参数与口径!$E$6),"存量兼容Lv1",IF(G443&gt;=等级配置!$C$103,"Lv100溢出","正常"))</x:f>
        <x:v>#NAME?</x:v>
      </x:c>
      <x:c r="K443" s="20" t="str">
        <x:f t="shared" si="6"/>
      </x:c>
    </x:row>
    <x:row r="444" ht="17">
      <x:c r="A444" s="58" t="s">
        <x:v>1900</x:v>
      </x:c>
      <x:c r="B444" s="58" t="s">
        <x:v>1901</x:v>
      </x:c>
      <x:c r="C444" s="58" t="s">
        <x:v>1902</x:v>
      </x:c>
      <x:c r="D444" s="58" t="s">
        <x:v>1295</x:v>
      </x:c>
      <x:c r="E444" s="18" t="s">
        <x:v>1903</x:v>
      </x:c>
      <x:c r="F444" s="18" t="s">
        <x:v>1904</x:v>
      </x:c>
      <x:c r="G444" s="126">
        <x:v>24222</x:v>
      </x:c>
      <x:c r="H444" s="126" t="e">
        <x:f>IF(G444="","",IF(G444&lt;参数与口径!$E$6,1,MATCH(G444,等级配置!$C$4:$C$103,1)))</x:f>
        <x:v>#NAME?</x:v>
      </x:c>
      <x:c r="I444" s="58" t="e">
        <x:f>IF(H444="","",INDEX(等级配置!$B$4:$B$103,H444))</x:f>
        <x:v>#NAME?</x:v>
      </x:c>
      <x:c r="J444" s="58" t="e">
        <x:f>IF(AND(D444="当前已婚",G444&lt;参数与口径!$E$6),"存量兼容Lv1",IF(G444&gt;=等级配置!$C$103,"Lv100溢出","正常"))</x:f>
        <x:v>#NAME?</x:v>
      </x:c>
      <x:c r="K444" s="20" t="str">
        <x:f t="shared" si="6"/>
      </x:c>
    </x:row>
    <x:row r="445" ht="17">
      <x:c r="A445" s="58" t="s">
        <x:v>1905</x:v>
      </x:c>
      <x:c r="B445" s="58" t="s">
        <x:v>1619</x:v>
      </x:c>
      <x:c r="C445" s="58" t="s">
        <x:v>354</x:v>
      </x:c>
      <x:c r="D445" s="58" t="s">
        <x:v>1295</x:v>
      </x:c>
      <x:c r="E445" s="18" t="s">
        <x:v>1906</x:v>
      </x:c>
      <x:c r="F445" s="18" t="s">
        <x:v>1907</x:v>
      </x:c>
      <x:c r="G445" s="126">
        <x:v>24103</x:v>
      </x:c>
      <x:c r="H445" s="126" t="e">
        <x:f>IF(G445="","",IF(G445&lt;参数与口径!$E$6,1,MATCH(G445,等级配置!$C$4:$C$103,1)))</x:f>
        <x:v>#NAME?</x:v>
      </x:c>
      <x:c r="I445" s="58" t="e">
        <x:f>IF(H445="","",INDEX(等级配置!$B$4:$B$103,H445))</x:f>
        <x:v>#NAME?</x:v>
      </x:c>
      <x:c r="J445" s="58" t="e">
        <x:f>IF(AND(D445="当前已婚",G445&lt;参数与口径!$E$6),"存量兼容Lv1",IF(G445&gt;=等级配置!$C$103,"Lv100溢出","正常"))</x:f>
        <x:v>#NAME?</x:v>
      </x:c>
      <x:c r="K445" s="20" t="str">
        <x:f t="shared" si="6"/>
      </x:c>
    </x:row>
    <x:row r="446" ht="17">
      <x:c r="A446" s="58" t="s">
        <x:v>1908</x:v>
      </x:c>
      <x:c r="B446" s="58" t="s">
        <x:v>1909</x:v>
      </x:c>
      <x:c r="C446" s="58" t="s">
        <x:v>1910</x:v>
      </x:c>
      <x:c r="D446" s="58" t="s">
        <x:v>1295</x:v>
      </x:c>
      <x:c r="E446" s="18" t="s">
        <x:v>1911</x:v>
      </x:c>
      <x:c r="F446" s="18" t="s">
        <x:v>1912</x:v>
      </x:c>
      <x:c r="G446" s="126">
        <x:v>23837</x:v>
      </x:c>
      <x:c r="H446" s="126" t="e">
        <x:f>IF(G446="","",IF(G446&lt;参数与口径!$E$6,1,MATCH(G446,等级配置!$C$4:$C$103,1)))</x:f>
        <x:v>#NAME?</x:v>
      </x:c>
      <x:c r="I446" s="58" t="e">
        <x:f>IF(H446="","",INDEX(等级配置!$B$4:$B$103,H446))</x:f>
        <x:v>#NAME?</x:v>
      </x:c>
      <x:c r="J446" s="58" t="e">
        <x:f>IF(AND(D446="当前已婚",G446&lt;参数与口径!$E$6),"存量兼容Lv1",IF(G446&gt;=等级配置!$C$103,"Lv100溢出","正常"))</x:f>
        <x:v>#NAME?</x:v>
      </x:c>
      <x:c r="K446" s="20" t="str">
        <x:f t="shared" si="6"/>
      </x:c>
    </x:row>
    <x:row r="447" ht="17">
      <x:c r="A447" s="58" t="s">
        <x:v>1913</x:v>
      </x:c>
      <x:c r="B447" s="58" t="s">
        <x:v>88</x:v>
      </x:c>
      <x:c r="C447" s="58" t="s">
        <x:v>1914</x:v>
      </x:c>
      <x:c r="D447" s="58" t="s">
        <x:v>1295</x:v>
      </x:c>
      <x:c r="E447" s="18" t="s">
        <x:v>1915</x:v>
      </x:c>
      <x:c r="F447" s="18" t="s">
        <x:v>1916</x:v>
      </x:c>
      <x:c r="G447" s="126">
        <x:v>23749</x:v>
      </x:c>
      <x:c r="H447" s="126" t="e">
        <x:f>IF(G447="","",IF(G447&lt;参数与口径!$E$6,1,MATCH(G447,等级配置!$C$4:$C$103,1)))</x:f>
        <x:v>#NAME?</x:v>
      </x:c>
      <x:c r="I447" s="58" t="e">
        <x:f>IF(H447="","",INDEX(等级配置!$B$4:$B$103,H447))</x:f>
        <x:v>#NAME?</x:v>
      </x:c>
      <x:c r="J447" s="58" t="e">
        <x:f>IF(AND(D447="当前已婚",G447&lt;参数与口径!$E$6),"存量兼容Lv1",IF(G447&gt;=等级配置!$C$103,"Lv100溢出","正常"))</x:f>
        <x:v>#NAME?</x:v>
      </x:c>
      <x:c r="K447" s="20" t="str">
        <x:f t="shared" si="6"/>
      </x:c>
    </x:row>
    <x:row r="448" ht="17">
      <x:c r="A448" s="58" t="s">
        <x:v>1917</x:v>
      </x:c>
      <x:c r="B448" s="58" t="s">
        <x:v>1918</x:v>
      </x:c>
      <x:c r="C448" s="58" t="s">
        <x:v>1919</x:v>
      </x:c>
      <x:c r="D448" s="58" t="s">
        <x:v>1295</x:v>
      </x:c>
      <x:c r="E448" s="18" t="s">
        <x:v>1920</x:v>
      </x:c>
      <x:c r="F448" s="18" t="s">
        <x:v>1921</x:v>
      </x:c>
      <x:c r="G448" s="126">
        <x:v>22462</x:v>
      </x:c>
      <x:c r="H448" s="126" t="e">
        <x:f>IF(G448="","",IF(G448&lt;参数与口径!$E$6,1,MATCH(G448,等级配置!$C$4:$C$103,1)))</x:f>
        <x:v>#NAME?</x:v>
      </x:c>
      <x:c r="I448" s="58" t="e">
        <x:f>IF(H448="","",INDEX(等级配置!$B$4:$B$103,H448))</x:f>
        <x:v>#NAME?</x:v>
      </x:c>
      <x:c r="J448" s="58" t="e">
        <x:f>IF(AND(D448="当前已婚",G448&lt;参数与口径!$E$6),"存量兼容Lv1",IF(G448&gt;=等级配置!$C$103,"Lv100溢出","正常"))</x:f>
        <x:v>#NAME?</x:v>
      </x:c>
      <x:c r="K448" s="20" t="str">
        <x:f t="shared" si="6"/>
      </x:c>
    </x:row>
    <x:row r="449" ht="17">
      <x:c r="A449" s="58" t="s">
        <x:v>1922</x:v>
      </x:c>
      <x:c r="B449" s="58" t="s">
        <x:v>1923</x:v>
      </x:c>
      <x:c r="C449" s="58" t="s">
        <x:v>1642</x:v>
      </x:c>
      <x:c r="D449" s="58" t="s">
        <x:v>1295</x:v>
      </x:c>
      <x:c r="E449" s="18" t="s">
        <x:v>1924</x:v>
      </x:c>
      <x:c r="F449" s="18" t="s">
        <x:v>1925</x:v>
      </x:c>
      <x:c r="G449" s="126">
        <x:v>22367</x:v>
      </x:c>
      <x:c r="H449" s="126" t="e">
        <x:f>IF(G449="","",IF(G449&lt;参数与口径!$E$6,1,MATCH(G449,等级配置!$C$4:$C$103,1)))</x:f>
        <x:v>#NAME?</x:v>
      </x:c>
      <x:c r="I449" s="58" t="e">
        <x:f>IF(H449="","",INDEX(等级配置!$B$4:$B$103,H449))</x:f>
        <x:v>#NAME?</x:v>
      </x:c>
      <x:c r="J449" s="58" t="e">
        <x:f>IF(AND(D449="当前已婚",G449&lt;参数与口径!$E$6),"存量兼容Lv1",IF(G449&gt;=等级配置!$C$103,"Lv100溢出","正常"))</x:f>
        <x:v>#NAME?</x:v>
      </x:c>
      <x:c r="K449" s="20" t="str">
        <x:f t="shared" si="6"/>
      </x:c>
    </x:row>
    <x:row r="450" ht="17">
      <x:c r="A450" s="58" t="s">
        <x:v>1926</x:v>
      </x:c>
      <x:c r="B450" s="58" t="s">
        <x:v>1927</x:v>
      </x:c>
      <x:c r="C450" s="58" t="s">
        <x:v>1928</x:v>
      </x:c>
      <x:c r="D450" s="58" t="s">
        <x:v>1295</x:v>
      </x:c>
      <x:c r="E450" s="18" t="s">
        <x:v>1929</x:v>
      </x:c>
      <x:c r="F450" s="18" t="s">
        <x:v>1930</x:v>
      </x:c>
      <x:c r="G450" s="126">
        <x:v>21988</x:v>
      </x:c>
      <x:c r="H450" s="126" t="e">
        <x:f>IF(G450="","",IF(G450&lt;参数与口径!$E$6,1,MATCH(G450,等级配置!$C$4:$C$103,1)))</x:f>
        <x:v>#NAME?</x:v>
      </x:c>
      <x:c r="I450" s="58" t="e">
        <x:f>IF(H450="","",INDEX(等级配置!$B$4:$B$103,H450))</x:f>
        <x:v>#NAME?</x:v>
      </x:c>
      <x:c r="J450" s="58" t="e">
        <x:f>IF(AND(D450="当前已婚",G450&lt;参数与口径!$E$6),"存量兼容Lv1",IF(G450&gt;=等级配置!$C$103,"Lv100溢出","正常"))</x:f>
        <x:v>#NAME?</x:v>
      </x:c>
      <x:c r="K450" s="20" t="str">
        <x:f t="shared" ref="K450:K513" si="7">IF(AND(D450="当前已婚",F450&lt;&gt;""),"当前已婚但存在离婚日期",IF(AND(D450="当前已婚",G450=0),"当前CP亲密值为0",""))</x:f>
      </x:c>
    </x:row>
    <x:row r="451" ht="17">
      <x:c r="A451" s="58" t="s">
        <x:v>1931</x:v>
      </x:c>
      <x:c r="B451" s="58" t="s">
        <x:v>1932</x:v>
      </x:c>
      <x:c r="C451" s="58" t="s">
        <x:v>1933</x:v>
      </x:c>
      <x:c r="D451" s="58" t="s">
        <x:v>1295</x:v>
      </x:c>
      <x:c r="E451" s="18" t="s">
        <x:v>1934</x:v>
      </x:c>
      <x:c r="F451" s="18" t="s">
        <x:v>1935</x:v>
      </x:c>
      <x:c r="G451" s="126">
        <x:v>21872</x:v>
      </x:c>
      <x:c r="H451" s="126" t="e">
        <x:f>IF(G451="","",IF(G451&lt;参数与口径!$E$6,1,MATCH(G451,等级配置!$C$4:$C$103,1)))</x:f>
        <x:v>#NAME?</x:v>
      </x:c>
      <x:c r="I451" s="58" t="e">
        <x:f>IF(H451="","",INDEX(等级配置!$B$4:$B$103,H451))</x:f>
        <x:v>#NAME?</x:v>
      </x:c>
      <x:c r="J451" s="58" t="e">
        <x:f>IF(AND(D451="当前已婚",G451&lt;参数与口径!$E$6),"存量兼容Lv1",IF(G451&gt;=等级配置!$C$103,"Lv100溢出","正常"))</x:f>
        <x:v>#NAME?</x:v>
      </x:c>
      <x:c r="K451" s="20" t="str">
        <x:f t="shared" si="7"/>
      </x:c>
    </x:row>
    <x:row r="452" ht="17">
      <x:c r="A452" s="58" t="s">
        <x:v>1936</x:v>
      </x:c>
      <x:c r="B452" s="58" t="s">
        <x:v>1937</x:v>
      </x:c>
      <x:c r="C452" s="58" t="s">
        <x:v>1938</x:v>
      </x:c>
      <x:c r="D452" s="58" t="s">
        <x:v>1295</x:v>
      </x:c>
      <x:c r="E452" s="18" t="s">
        <x:v>1939</x:v>
      </x:c>
      <x:c r="F452" s="18" t="s">
        <x:v>1940</x:v>
      </x:c>
      <x:c r="G452" s="126">
        <x:v>21370</x:v>
      </x:c>
      <x:c r="H452" s="126" t="e">
        <x:f>IF(G452="","",IF(G452&lt;参数与口径!$E$6,1,MATCH(G452,等级配置!$C$4:$C$103,1)))</x:f>
        <x:v>#NAME?</x:v>
      </x:c>
      <x:c r="I452" s="58" t="e">
        <x:f>IF(H452="","",INDEX(等级配置!$B$4:$B$103,H452))</x:f>
        <x:v>#NAME?</x:v>
      </x:c>
      <x:c r="J452" s="58" t="e">
        <x:f>IF(AND(D452="当前已婚",G452&lt;参数与口径!$E$6),"存量兼容Lv1",IF(G452&gt;=等级配置!$C$103,"Lv100溢出","正常"))</x:f>
        <x:v>#NAME?</x:v>
      </x:c>
      <x:c r="K452" s="20" t="str">
        <x:f t="shared" si="7"/>
      </x:c>
    </x:row>
    <x:row r="453" ht="17">
      <x:c r="A453" s="58" t="s">
        <x:v>1941</x:v>
      </x:c>
      <x:c r="B453" s="58" t="s">
        <x:v>1499</x:v>
      </x:c>
      <x:c r="C453" s="58" t="s">
        <x:v>1919</x:v>
      </x:c>
      <x:c r="D453" s="58" t="s">
        <x:v>1295</x:v>
      </x:c>
      <x:c r="E453" s="18" t="s">
        <x:v>1942</x:v>
      </x:c>
      <x:c r="F453" s="18" t="s">
        <x:v>1943</x:v>
      </x:c>
      <x:c r="G453" s="126">
        <x:v>21105</x:v>
      </x:c>
      <x:c r="H453" s="126" t="e">
        <x:f>IF(G453="","",IF(G453&lt;参数与口径!$E$6,1,MATCH(G453,等级配置!$C$4:$C$103,1)))</x:f>
        <x:v>#NAME?</x:v>
      </x:c>
      <x:c r="I453" s="58" t="e">
        <x:f>IF(H453="","",INDEX(等级配置!$B$4:$B$103,H453))</x:f>
        <x:v>#NAME?</x:v>
      </x:c>
      <x:c r="J453" s="58" t="e">
        <x:f>IF(AND(D453="当前已婚",G453&lt;参数与口径!$E$6),"存量兼容Lv1",IF(G453&gt;=等级配置!$C$103,"Lv100溢出","正常"))</x:f>
        <x:v>#NAME?</x:v>
      </x:c>
      <x:c r="K453" s="20" t="str">
        <x:f t="shared" si="7"/>
      </x:c>
    </x:row>
    <x:row r="454" ht="17">
      <x:c r="A454" s="58" t="s">
        <x:v>1944</x:v>
      </x:c>
      <x:c r="B454" s="58" t="s">
        <x:v>1945</x:v>
      </x:c>
      <x:c r="C454" s="58" t="s">
        <x:v>1946</x:v>
      </x:c>
      <x:c r="D454" s="58" t="s">
        <x:v>1295</x:v>
      </x:c>
      <x:c r="E454" s="18" t="s">
        <x:v>1947</x:v>
      </x:c>
      <x:c r="F454" s="18" t="s">
        <x:v>1948</x:v>
      </x:c>
      <x:c r="G454" s="126">
        <x:v>20744</x:v>
      </x:c>
      <x:c r="H454" s="126" t="e">
        <x:f>IF(G454="","",IF(G454&lt;参数与口径!$E$6,1,MATCH(G454,等级配置!$C$4:$C$103,1)))</x:f>
        <x:v>#NAME?</x:v>
      </x:c>
      <x:c r="I454" s="58" t="e">
        <x:f>IF(H454="","",INDEX(等级配置!$B$4:$B$103,H454))</x:f>
        <x:v>#NAME?</x:v>
      </x:c>
      <x:c r="J454" s="58" t="e">
        <x:f>IF(AND(D454="当前已婚",G454&lt;参数与口径!$E$6),"存量兼容Lv1",IF(G454&gt;=等级配置!$C$103,"Lv100溢出","正常"))</x:f>
        <x:v>#NAME?</x:v>
      </x:c>
      <x:c r="K454" s="20" t="str">
        <x:f t="shared" si="7"/>
      </x:c>
    </x:row>
    <x:row r="455" ht="17">
      <x:c r="A455" s="58" t="s">
        <x:v>1949</x:v>
      </x:c>
      <x:c r="B455" s="58" t="s">
        <x:v>1950</x:v>
      </x:c>
      <x:c r="C455" s="58" t="s">
        <x:v>1951</x:v>
      </x:c>
      <x:c r="D455" s="58" t="s">
        <x:v>1295</x:v>
      </x:c>
      <x:c r="E455" s="18" t="s">
        <x:v>1952</x:v>
      </x:c>
      <x:c r="F455" s="18" t="s">
        <x:v>1953</x:v>
      </x:c>
      <x:c r="G455" s="126">
        <x:v>20542</x:v>
      </x:c>
      <x:c r="H455" s="126" t="e">
        <x:f>IF(G455="","",IF(G455&lt;参数与口径!$E$6,1,MATCH(G455,等级配置!$C$4:$C$103,1)))</x:f>
        <x:v>#NAME?</x:v>
      </x:c>
      <x:c r="I455" s="58" t="e">
        <x:f>IF(H455="","",INDEX(等级配置!$B$4:$B$103,H455))</x:f>
        <x:v>#NAME?</x:v>
      </x:c>
      <x:c r="J455" s="58" t="e">
        <x:f>IF(AND(D455="当前已婚",G455&lt;参数与口径!$E$6),"存量兼容Lv1",IF(G455&gt;=等级配置!$C$103,"Lv100溢出","正常"))</x:f>
        <x:v>#NAME?</x:v>
      </x:c>
      <x:c r="K455" s="20" t="str">
        <x:f t="shared" si="7"/>
      </x:c>
    </x:row>
    <x:row r="456" ht="17">
      <x:c r="A456" s="58" t="s">
        <x:v>1954</x:v>
      </x:c>
      <x:c r="B456" s="58" t="s">
        <x:v>1955</x:v>
      </x:c>
      <x:c r="C456" s="58" t="s">
        <x:v>1956</x:v>
      </x:c>
      <x:c r="D456" s="58" t="s">
        <x:v>1295</x:v>
      </x:c>
      <x:c r="E456" s="18" t="s">
        <x:v>1957</x:v>
      </x:c>
      <x:c r="F456" s="18" t="s">
        <x:v>1958</x:v>
      </x:c>
      <x:c r="G456" s="126">
        <x:v>20095</x:v>
      </x:c>
      <x:c r="H456" s="126" t="e">
        <x:f>IF(G456="","",IF(G456&lt;参数与口径!$E$6,1,MATCH(G456,等级配置!$C$4:$C$103,1)))</x:f>
        <x:v>#NAME?</x:v>
      </x:c>
      <x:c r="I456" s="58" t="e">
        <x:f>IF(H456="","",INDEX(等级配置!$B$4:$B$103,H456))</x:f>
        <x:v>#NAME?</x:v>
      </x:c>
      <x:c r="J456" s="58" t="e">
        <x:f>IF(AND(D456="当前已婚",G456&lt;参数与口径!$E$6),"存量兼容Lv1",IF(G456&gt;=等级配置!$C$103,"Lv100溢出","正常"))</x:f>
        <x:v>#NAME?</x:v>
      </x:c>
      <x:c r="K456" s="20" t="str">
        <x:f t="shared" si="7"/>
      </x:c>
    </x:row>
    <x:row r="457" ht="17">
      <x:c r="A457" s="58" t="s">
        <x:v>1959</x:v>
      </x:c>
      <x:c r="B457" s="58" t="s">
        <x:v>1960</x:v>
      </x:c>
      <x:c r="C457" s="58" t="s">
        <x:v>1961</x:v>
      </x:c>
      <x:c r="D457" s="58" t="s">
        <x:v>1295</x:v>
      </x:c>
      <x:c r="E457" s="18" t="s">
        <x:v>1962</x:v>
      </x:c>
      <x:c r="F457" s="18" t="s">
        <x:v>1963</x:v>
      </x:c>
      <x:c r="G457" s="126">
        <x:v>19902</x:v>
      </x:c>
      <x:c r="H457" s="126" t="e">
        <x:f>IF(G457="","",IF(G457&lt;参数与口径!$E$6,1,MATCH(G457,等级配置!$C$4:$C$103,1)))</x:f>
        <x:v>#NAME?</x:v>
      </x:c>
      <x:c r="I457" s="58" t="e">
        <x:f>IF(H457="","",INDEX(等级配置!$B$4:$B$103,H457))</x:f>
        <x:v>#NAME?</x:v>
      </x:c>
      <x:c r="J457" s="58" t="e">
        <x:f>IF(AND(D457="当前已婚",G457&lt;参数与口径!$E$6),"存量兼容Lv1",IF(G457&gt;=等级配置!$C$103,"Lv100溢出","正常"))</x:f>
        <x:v>#NAME?</x:v>
      </x:c>
      <x:c r="K457" s="20" t="str">
        <x:f t="shared" si="7"/>
      </x:c>
    </x:row>
    <x:row r="458" ht="17">
      <x:c r="A458" s="58" t="s">
        <x:v>1964</x:v>
      </x:c>
      <x:c r="B458" s="58" t="s">
        <x:v>1965</x:v>
      </x:c>
      <x:c r="C458" s="58" t="s">
        <x:v>1966</x:v>
      </x:c>
      <x:c r="D458" s="58" t="s">
        <x:v>1295</x:v>
      </x:c>
      <x:c r="E458" s="18" t="s">
        <x:v>1967</x:v>
      </x:c>
      <x:c r="F458" s="18" t="s">
        <x:v>1968</x:v>
      </x:c>
      <x:c r="G458" s="126">
        <x:v>19481</x:v>
      </x:c>
      <x:c r="H458" s="126" t="e">
        <x:f>IF(G458="","",IF(G458&lt;参数与口径!$E$6,1,MATCH(G458,等级配置!$C$4:$C$103,1)))</x:f>
        <x:v>#NAME?</x:v>
      </x:c>
      <x:c r="I458" s="58" t="e">
        <x:f>IF(H458="","",INDEX(等级配置!$B$4:$B$103,H458))</x:f>
        <x:v>#NAME?</x:v>
      </x:c>
      <x:c r="J458" s="58" t="e">
        <x:f>IF(AND(D458="当前已婚",G458&lt;参数与口径!$E$6),"存量兼容Lv1",IF(G458&gt;=等级配置!$C$103,"Lv100溢出","正常"))</x:f>
        <x:v>#NAME?</x:v>
      </x:c>
      <x:c r="K458" s="20" t="str">
        <x:f t="shared" si="7"/>
      </x:c>
    </x:row>
    <x:row r="459" ht="17">
      <x:c r="A459" s="58" t="s">
        <x:v>1969</x:v>
      </x:c>
      <x:c r="B459" s="58" t="s">
        <x:v>1475</x:v>
      </x:c>
      <x:c r="C459" s="58" t="s">
        <x:v>399</x:v>
      </x:c>
      <x:c r="D459" s="58" t="s">
        <x:v>1295</x:v>
      </x:c>
      <x:c r="E459" s="18" t="s">
        <x:v>1970</x:v>
      </x:c>
      <x:c r="F459" s="18" t="s">
        <x:v>1971</x:v>
      </x:c>
      <x:c r="G459" s="126">
        <x:v>19377</x:v>
      </x:c>
      <x:c r="H459" s="126" t="e">
        <x:f>IF(G459="","",IF(G459&lt;参数与口径!$E$6,1,MATCH(G459,等级配置!$C$4:$C$103,1)))</x:f>
        <x:v>#NAME?</x:v>
      </x:c>
      <x:c r="I459" s="58" t="e">
        <x:f>IF(H459="","",INDEX(等级配置!$B$4:$B$103,H459))</x:f>
        <x:v>#NAME?</x:v>
      </x:c>
      <x:c r="J459" s="58" t="e">
        <x:f>IF(AND(D459="当前已婚",G459&lt;参数与口径!$E$6),"存量兼容Lv1",IF(G459&gt;=等级配置!$C$103,"Lv100溢出","正常"))</x:f>
        <x:v>#NAME?</x:v>
      </x:c>
      <x:c r="K459" s="20" t="str">
        <x:f t="shared" si="7"/>
      </x:c>
    </x:row>
    <x:row r="460" ht="17">
      <x:c r="A460" s="58" t="s">
        <x:v>1972</x:v>
      </x:c>
      <x:c r="B460" s="58" t="s">
        <x:v>1973</x:v>
      </x:c>
      <x:c r="C460" s="58" t="s">
        <x:v>361</x:v>
      </x:c>
      <x:c r="D460" s="58" t="s">
        <x:v>1295</x:v>
      </x:c>
      <x:c r="E460" s="18" t="s">
        <x:v>1974</x:v>
      </x:c>
      <x:c r="F460" s="18" t="s">
        <x:v>1975</x:v>
      </x:c>
      <x:c r="G460" s="126">
        <x:v>19018</x:v>
      </x:c>
      <x:c r="H460" s="126" t="e">
        <x:f>IF(G460="","",IF(G460&lt;参数与口径!$E$6,1,MATCH(G460,等级配置!$C$4:$C$103,1)))</x:f>
        <x:v>#NAME?</x:v>
      </x:c>
      <x:c r="I460" s="58" t="e">
        <x:f>IF(H460="","",INDEX(等级配置!$B$4:$B$103,H460))</x:f>
        <x:v>#NAME?</x:v>
      </x:c>
      <x:c r="J460" s="58" t="e">
        <x:f>IF(AND(D460="当前已婚",G460&lt;参数与口径!$E$6),"存量兼容Lv1",IF(G460&gt;=等级配置!$C$103,"Lv100溢出","正常"))</x:f>
        <x:v>#NAME?</x:v>
      </x:c>
      <x:c r="K460" s="20" t="str">
        <x:f t="shared" si="7"/>
      </x:c>
    </x:row>
    <x:row r="461" ht="17">
      <x:c r="A461" s="58" t="s">
        <x:v>1976</x:v>
      </x:c>
      <x:c r="B461" s="58" t="s">
        <x:v>1977</x:v>
      </x:c>
      <x:c r="C461" s="58" t="s">
        <x:v>1978</x:v>
      </x:c>
      <x:c r="D461" s="58" t="s">
        <x:v>1295</x:v>
      </x:c>
      <x:c r="E461" s="18" t="s">
        <x:v>1979</x:v>
      </x:c>
      <x:c r="F461" s="18" t="s">
        <x:v>1980</x:v>
      </x:c>
      <x:c r="G461" s="126">
        <x:v>18842</x:v>
      </x:c>
      <x:c r="H461" s="126" t="e">
        <x:f>IF(G461="","",IF(G461&lt;参数与口径!$E$6,1,MATCH(G461,等级配置!$C$4:$C$103,1)))</x:f>
        <x:v>#NAME?</x:v>
      </x:c>
      <x:c r="I461" s="58" t="e">
        <x:f>IF(H461="","",INDEX(等级配置!$B$4:$B$103,H461))</x:f>
        <x:v>#NAME?</x:v>
      </x:c>
      <x:c r="J461" s="58" t="e">
        <x:f>IF(AND(D461="当前已婚",G461&lt;参数与口径!$E$6),"存量兼容Lv1",IF(G461&gt;=等级配置!$C$103,"Lv100溢出","正常"))</x:f>
        <x:v>#NAME?</x:v>
      </x:c>
      <x:c r="K461" s="20" t="str">
        <x:f t="shared" si="7"/>
      </x:c>
    </x:row>
    <x:row r="462" ht="17">
      <x:c r="A462" s="58" t="s">
        <x:v>1981</x:v>
      </x:c>
      <x:c r="B462" s="58" t="s">
        <x:v>686</x:v>
      </x:c>
      <x:c r="C462" s="58" t="s">
        <x:v>1982</x:v>
      </x:c>
      <x:c r="D462" s="58" t="s">
        <x:v>1295</x:v>
      </x:c>
      <x:c r="E462" s="18" t="s">
        <x:v>1983</x:v>
      </x:c>
      <x:c r="F462" s="18" t="s">
        <x:v>1984</x:v>
      </x:c>
      <x:c r="G462" s="126">
        <x:v>18836</x:v>
      </x:c>
      <x:c r="H462" s="126" t="e">
        <x:f>IF(G462="","",IF(G462&lt;参数与口径!$E$6,1,MATCH(G462,等级配置!$C$4:$C$103,1)))</x:f>
        <x:v>#NAME?</x:v>
      </x:c>
      <x:c r="I462" s="58" t="e">
        <x:f>IF(H462="","",INDEX(等级配置!$B$4:$B$103,H462))</x:f>
        <x:v>#NAME?</x:v>
      </x:c>
      <x:c r="J462" s="58" t="e">
        <x:f>IF(AND(D462="当前已婚",G462&lt;参数与口径!$E$6),"存量兼容Lv1",IF(G462&gt;=等级配置!$C$103,"Lv100溢出","正常"))</x:f>
        <x:v>#NAME?</x:v>
      </x:c>
      <x:c r="K462" s="20" t="str">
        <x:f t="shared" si="7"/>
      </x:c>
    </x:row>
    <x:row r="463" ht="17">
      <x:c r="A463" s="58" t="s">
        <x:v>1985</x:v>
      </x:c>
      <x:c r="B463" s="58" t="s">
        <x:v>1986</x:v>
      </x:c>
      <x:c r="C463" s="58" t="s">
        <x:v>1987</x:v>
      </x:c>
      <x:c r="D463" s="58" t="s">
        <x:v>1295</x:v>
      </x:c>
      <x:c r="E463" s="18" t="s">
        <x:v>1988</x:v>
      </x:c>
      <x:c r="F463" s="18" t="s">
        <x:v>1989</x:v>
      </x:c>
      <x:c r="G463" s="126">
        <x:v>18722</x:v>
      </x:c>
      <x:c r="H463" s="126" t="e">
        <x:f>IF(G463="","",IF(G463&lt;参数与口径!$E$6,1,MATCH(G463,等级配置!$C$4:$C$103,1)))</x:f>
        <x:v>#NAME?</x:v>
      </x:c>
      <x:c r="I463" s="58" t="e">
        <x:f>IF(H463="","",INDEX(等级配置!$B$4:$B$103,H463))</x:f>
        <x:v>#NAME?</x:v>
      </x:c>
      <x:c r="J463" s="58" t="e">
        <x:f>IF(AND(D463="当前已婚",G463&lt;参数与口径!$E$6),"存量兼容Lv1",IF(G463&gt;=等级配置!$C$103,"Lv100溢出","正常"))</x:f>
        <x:v>#NAME?</x:v>
      </x:c>
      <x:c r="K463" s="20" t="str">
        <x:f t="shared" si="7"/>
      </x:c>
    </x:row>
    <x:row r="464" ht="17">
      <x:c r="A464" s="58" t="s">
        <x:v>1990</x:v>
      </x:c>
      <x:c r="B464" s="58" t="s">
        <x:v>1991</x:v>
      </x:c>
      <x:c r="C464" s="58" t="s">
        <x:v>1992</x:v>
      </x:c>
      <x:c r="D464" s="58" t="s">
        <x:v>1295</x:v>
      </x:c>
      <x:c r="E464" s="18" t="s">
        <x:v>1993</x:v>
      </x:c>
      <x:c r="F464" s="18" t="s">
        <x:v>1994</x:v>
      </x:c>
      <x:c r="G464" s="126">
        <x:v>18156</x:v>
      </x:c>
      <x:c r="H464" s="126" t="e">
        <x:f>IF(G464="","",IF(G464&lt;参数与口径!$E$6,1,MATCH(G464,等级配置!$C$4:$C$103,1)))</x:f>
        <x:v>#NAME?</x:v>
      </x:c>
      <x:c r="I464" s="58" t="e">
        <x:f>IF(H464="","",INDEX(等级配置!$B$4:$B$103,H464))</x:f>
        <x:v>#NAME?</x:v>
      </x:c>
      <x:c r="J464" s="58" t="e">
        <x:f>IF(AND(D464="当前已婚",G464&lt;参数与口径!$E$6),"存量兼容Lv1",IF(G464&gt;=等级配置!$C$103,"Lv100溢出","正常"))</x:f>
        <x:v>#NAME?</x:v>
      </x:c>
      <x:c r="K464" s="20" t="str">
        <x:f t="shared" si="7"/>
      </x:c>
    </x:row>
    <x:row r="465" ht="17">
      <x:c r="A465" s="58" t="s">
        <x:v>1995</x:v>
      </x:c>
      <x:c r="B465" s="58" t="s">
        <x:v>1996</x:v>
      </x:c>
      <x:c r="C465" s="58" t="s">
        <x:v>1997</x:v>
      </x:c>
      <x:c r="D465" s="58" t="s">
        <x:v>1295</x:v>
      </x:c>
      <x:c r="E465" s="18" t="s">
        <x:v>1998</x:v>
      </x:c>
      <x:c r="F465" s="18" t="s">
        <x:v>1999</x:v>
      </x:c>
      <x:c r="G465" s="126">
        <x:v>18136</x:v>
      </x:c>
      <x:c r="H465" s="126" t="e">
        <x:f>IF(G465="","",IF(G465&lt;参数与口径!$E$6,1,MATCH(G465,等级配置!$C$4:$C$103,1)))</x:f>
        <x:v>#NAME?</x:v>
      </x:c>
      <x:c r="I465" s="58" t="e">
        <x:f>IF(H465="","",INDEX(等级配置!$B$4:$B$103,H465))</x:f>
        <x:v>#NAME?</x:v>
      </x:c>
      <x:c r="J465" s="58" t="e">
        <x:f>IF(AND(D465="当前已婚",G465&lt;参数与口径!$E$6),"存量兼容Lv1",IF(G465&gt;=等级配置!$C$103,"Lv100溢出","正常"))</x:f>
        <x:v>#NAME?</x:v>
      </x:c>
      <x:c r="K465" s="20" t="str">
        <x:f t="shared" si="7"/>
      </x:c>
    </x:row>
    <x:row r="466" ht="17">
      <x:c r="A466" s="58" t="s">
        <x:v>2000</x:v>
      </x:c>
      <x:c r="B466" s="58" t="s">
        <x:v>2001</x:v>
      </x:c>
      <x:c r="C466" s="58" t="s">
        <x:v>2002</x:v>
      </x:c>
      <x:c r="D466" s="58" t="s">
        <x:v>1295</x:v>
      </x:c>
      <x:c r="E466" s="18" t="s">
        <x:v>2003</x:v>
      </x:c>
      <x:c r="F466" s="18" t="s">
        <x:v>2004</x:v>
      </x:c>
      <x:c r="G466" s="126">
        <x:v>17968</x:v>
      </x:c>
      <x:c r="H466" s="126" t="e">
        <x:f>IF(G466="","",IF(G466&lt;参数与口径!$E$6,1,MATCH(G466,等级配置!$C$4:$C$103,1)))</x:f>
        <x:v>#NAME?</x:v>
      </x:c>
      <x:c r="I466" s="58" t="e">
        <x:f>IF(H466="","",INDEX(等级配置!$B$4:$B$103,H466))</x:f>
        <x:v>#NAME?</x:v>
      </x:c>
      <x:c r="J466" s="58" t="e">
        <x:f>IF(AND(D466="当前已婚",G466&lt;参数与口径!$E$6),"存量兼容Lv1",IF(G466&gt;=等级配置!$C$103,"Lv100溢出","正常"))</x:f>
        <x:v>#NAME?</x:v>
      </x:c>
      <x:c r="K466" s="20" t="str">
        <x:f t="shared" si="7"/>
      </x:c>
    </x:row>
    <x:row r="467" ht="17">
      <x:c r="A467" s="58" t="s">
        <x:v>2005</x:v>
      </x:c>
      <x:c r="B467" s="58" t="s">
        <x:v>2006</x:v>
      </x:c>
      <x:c r="C467" s="58" t="s">
        <x:v>2007</x:v>
      </x:c>
      <x:c r="D467" s="58" t="s">
        <x:v>1295</x:v>
      </x:c>
      <x:c r="E467" s="18" t="s">
        <x:v>2008</x:v>
      </x:c>
      <x:c r="F467" s="18" t="s">
        <x:v>2009</x:v>
      </x:c>
      <x:c r="G467" s="126">
        <x:v>17782</x:v>
      </x:c>
      <x:c r="H467" s="126" t="e">
        <x:f>IF(G467="","",IF(G467&lt;参数与口径!$E$6,1,MATCH(G467,等级配置!$C$4:$C$103,1)))</x:f>
        <x:v>#NAME?</x:v>
      </x:c>
      <x:c r="I467" s="58" t="e">
        <x:f>IF(H467="","",INDEX(等级配置!$B$4:$B$103,H467))</x:f>
        <x:v>#NAME?</x:v>
      </x:c>
      <x:c r="J467" s="58" t="e">
        <x:f>IF(AND(D467="当前已婚",G467&lt;参数与口径!$E$6),"存量兼容Lv1",IF(G467&gt;=等级配置!$C$103,"Lv100溢出","正常"))</x:f>
        <x:v>#NAME?</x:v>
      </x:c>
      <x:c r="K467" s="20" t="str">
        <x:f t="shared" si="7"/>
      </x:c>
    </x:row>
    <x:row r="468" ht="17">
      <x:c r="A468" s="58" t="s">
        <x:v>2010</x:v>
      </x:c>
      <x:c r="B468" s="58" t="s">
        <x:v>2011</x:v>
      </x:c>
      <x:c r="C468" s="58" t="s">
        <x:v>2012</x:v>
      </x:c>
      <x:c r="D468" s="58" t="s">
        <x:v>1295</x:v>
      </x:c>
      <x:c r="E468" s="18" t="s">
        <x:v>2013</x:v>
      </x:c>
      <x:c r="F468" s="18" t="s">
        <x:v>2014</x:v>
      </x:c>
      <x:c r="G468" s="126">
        <x:v>17602</x:v>
      </x:c>
      <x:c r="H468" s="126" t="e">
        <x:f>IF(G468="","",IF(G468&lt;参数与口径!$E$6,1,MATCH(G468,等级配置!$C$4:$C$103,1)))</x:f>
        <x:v>#NAME?</x:v>
      </x:c>
      <x:c r="I468" s="58" t="e">
        <x:f>IF(H468="","",INDEX(等级配置!$B$4:$B$103,H468))</x:f>
        <x:v>#NAME?</x:v>
      </x:c>
      <x:c r="J468" s="58" t="e">
        <x:f>IF(AND(D468="当前已婚",G468&lt;参数与口径!$E$6),"存量兼容Lv1",IF(G468&gt;=等级配置!$C$103,"Lv100溢出","正常"))</x:f>
        <x:v>#NAME?</x:v>
      </x:c>
      <x:c r="K468" s="20" t="str">
        <x:f t="shared" si="7"/>
      </x:c>
    </x:row>
    <x:row r="469" ht="17">
      <x:c r="A469" s="58" t="s">
        <x:v>2015</x:v>
      </x:c>
      <x:c r="B469" s="58" t="s">
        <x:v>2016</x:v>
      </x:c>
      <x:c r="C469" s="58" t="s">
        <x:v>2017</x:v>
      </x:c>
      <x:c r="D469" s="58" t="s">
        <x:v>1295</x:v>
      </x:c>
      <x:c r="E469" s="18" t="s">
        <x:v>2018</x:v>
      </x:c>
      <x:c r="F469" s="18" t="s">
        <x:v>2019</x:v>
      </x:c>
      <x:c r="G469" s="126">
        <x:v>17101</x:v>
      </x:c>
      <x:c r="H469" s="126" t="e">
        <x:f>IF(G469="","",IF(G469&lt;参数与口径!$E$6,1,MATCH(G469,等级配置!$C$4:$C$103,1)))</x:f>
        <x:v>#NAME?</x:v>
      </x:c>
      <x:c r="I469" s="58" t="e">
        <x:f>IF(H469="","",INDEX(等级配置!$B$4:$B$103,H469))</x:f>
        <x:v>#NAME?</x:v>
      </x:c>
      <x:c r="J469" s="58" t="e">
        <x:f>IF(AND(D469="当前已婚",G469&lt;参数与口径!$E$6),"存量兼容Lv1",IF(G469&gt;=等级配置!$C$103,"Lv100溢出","正常"))</x:f>
        <x:v>#NAME?</x:v>
      </x:c>
      <x:c r="K469" s="20" t="str">
        <x:f t="shared" si="7"/>
      </x:c>
    </x:row>
    <x:row r="470" ht="17">
      <x:c r="A470" s="58" t="s">
        <x:v>2020</x:v>
      </x:c>
      <x:c r="B470" s="58" t="s">
        <x:v>2021</x:v>
      </x:c>
      <x:c r="C470" s="58" t="s">
        <x:v>2022</x:v>
      </x:c>
      <x:c r="D470" s="58" t="s">
        <x:v>1295</x:v>
      </x:c>
      <x:c r="E470" s="18" t="s">
        <x:v>2023</x:v>
      </x:c>
      <x:c r="F470" s="18" t="s">
        <x:v>2024</x:v>
      </x:c>
      <x:c r="G470" s="126">
        <x:v>16978</x:v>
      </x:c>
      <x:c r="H470" s="126" t="e">
        <x:f>IF(G470="","",IF(G470&lt;参数与口径!$E$6,1,MATCH(G470,等级配置!$C$4:$C$103,1)))</x:f>
        <x:v>#NAME?</x:v>
      </x:c>
      <x:c r="I470" s="58" t="e">
        <x:f>IF(H470="","",INDEX(等级配置!$B$4:$B$103,H470))</x:f>
        <x:v>#NAME?</x:v>
      </x:c>
      <x:c r="J470" s="58" t="e">
        <x:f>IF(AND(D470="当前已婚",G470&lt;参数与口径!$E$6),"存量兼容Lv1",IF(G470&gt;=等级配置!$C$103,"Lv100溢出","正常"))</x:f>
        <x:v>#NAME?</x:v>
      </x:c>
      <x:c r="K470" s="20" t="str">
        <x:f t="shared" si="7"/>
      </x:c>
    </x:row>
    <x:row r="471" ht="17">
      <x:c r="A471" s="58" t="s">
        <x:v>2025</x:v>
      </x:c>
      <x:c r="B471" s="58" t="s">
        <x:v>2026</x:v>
      </x:c>
      <x:c r="C471" s="58" t="s">
        <x:v>370</x:v>
      </x:c>
      <x:c r="D471" s="58" t="s">
        <x:v>1295</x:v>
      </x:c>
      <x:c r="E471" s="18" t="s">
        <x:v>2027</x:v>
      </x:c>
      <x:c r="F471" s="18" t="s">
        <x:v>2028</x:v>
      </x:c>
      <x:c r="G471" s="126">
        <x:v>16938</x:v>
      </x:c>
      <x:c r="H471" s="126" t="e">
        <x:f>IF(G471="","",IF(G471&lt;参数与口径!$E$6,1,MATCH(G471,等级配置!$C$4:$C$103,1)))</x:f>
        <x:v>#NAME?</x:v>
      </x:c>
      <x:c r="I471" s="58" t="e">
        <x:f>IF(H471="","",INDEX(等级配置!$B$4:$B$103,H471))</x:f>
        <x:v>#NAME?</x:v>
      </x:c>
      <x:c r="J471" s="58" t="e">
        <x:f>IF(AND(D471="当前已婚",G471&lt;参数与口径!$E$6),"存量兼容Lv1",IF(G471&gt;=等级配置!$C$103,"Lv100溢出","正常"))</x:f>
        <x:v>#NAME?</x:v>
      </x:c>
      <x:c r="K471" s="20" t="str">
        <x:f t="shared" si="7"/>
      </x:c>
    </x:row>
    <x:row r="472" ht="17">
      <x:c r="A472" s="58" t="s">
        <x:v>2029</x:v>
      </x:c>
      <x:c r="B472" s="58" t="s">
        <x:v>1843</x:v>
      </x:c>
      <x:c r="C472" s="58" t="s">
        <x:v>2030</x:v>
      </x:c>
      <x:c r="D472" s="58" t="s">
        <x:v>1295</x:v>
      </x:c>
      <x:c r="E472" s="18" t="s">
        <x:v>2031</x:v>
      </x:c>
      <x:c r="F472" s="18" t="s">
        <x:v>2032</x:v>
      </x:c>
      <x:c r="G472" s="126">
        <x:v>16840</x:v>
      </x:c>
      <x:c r="H472" s="126" t="e">
        <x:f>IF(G472="","",IF(G472&lt;参数与口径!$E$6,1,MATCH(G472,等级配置!$C$4:$C$103,1)))</x:f>
        <x:v>#NAME?</x:v>
      </x:c>
      <x:c r="I472" s="58" t="e">
        <x:f>IF(H472="","",INDEX(等级配置!$B$4:$B$103,H472))</x:f>
        <x:v>#NAME?</x:v>
      </x:c>
      <x:c r="J472" s="58" t="e">
        <x:f>IF(AND(D472="当前已婚",G472&lt;参数与口径!$E$6),"存量兼容Lv1",IF(G472&gt;=等级配置!$C$103,"Lv100溢出","正常"))</x:f>
        <x:v>#NAME?</x:v>
      </x:c>
      <x:c r="K472" s="20" t="str">
        <x:f t="shared" si="7"/>
      </x:c>
    </x:row>
    <x:row r="473" ht="17">
      <x:c r="A473" s="58" t="s">
        <x:v>2033</x:v>
      </x:c>
      <x:c r="B473" s="58" t="s">
        <x:v>2034</x:v>
      </x:c>
      <x:c r="C473" s="58" t="s">
        <x:v>1825</x:v>
      </x:c>
      <x:c r="D473" s="58" t="s">
        <x:v>1295</x:v>
      </x:c>
      <x:c r="E473" s="18" t="s">
        <x:v>2035</x:v>
      </x:c>
      <x:c r="F473" s="18" t="s">
        <x:v>2036</x:v>
      </x:c>
      <x:c r="G473" s="126">
        <x:v>16775</x:v>
      </x:c>
      <x:c r="H473" s="126" t="e">
        <x:f>IF(G473="","",IF(G473&lt;参数与口径!$E$6,1,MATCH(G473,等级配置!$C$4:$C$103,1)))</x:f>
        <x:v>#NAME?</x:v>
      </x:c>
      <x:c r="I473" s="58" t="e">
        <x:f>IF(H473="","",INDEX(等级配置!$B$4:$B$103,H473))</x:f>
        <x:v>#NAME?</x:v>
      </x:c>
      <x:c r="J473" s="58" t="e">
        <x:f>IF(AND(D473="当前已婚",G473&lt;参数与口径!$E$6),"存量兼容Lv1",IF(G473&gt;=等级配置!$C$103,"Lv100溢出","正常"))</x:f>
        <x:v>#NAME?</x:v>
      </x:c>
      <x:c r="K473" s="20" t="str">
        <x:f t="shared" si="7"/>
      </x:c>
    </x:row>
    <x:row r="474" ht="17">
      <x:c r="A474" s="58" t="s">
        <x:v>2037</x:v>
      </x:c>
      <x:c r="B474" s="58" t="s">
        <x:v>424</x:v>
      </x:c>
      <x:c r="C474" s="58" t="s">
        <x:v>2038</x:v>
      </x:c>
      <x:c r="D474" s="58" t="s">
        <x:v>1295</x:v>
      </x:c>
      <x:c r="E474" s="18" t="s">
        <x:v>2039</x:v>
      </x:c>
      <x:c r="F474" s="18" t="s">
        <x:v>2040</x:v>
      </x:c>
      <x:c r="G474" s="126">
        <x:v>16635</x:v>
      </x:c>
      <x:c r="H474" s="126" t="e">
        <x:f>IF(G474="","",IF(G474&lt;参数与口径!$E$6,1,MATCH(G474,等级配置!$C$4:$C$103,1)))</x:f>
        <x:v>#NAME?</x:v>
      </x:c>
      <x:c r="I474" s="58" t="e">
        <x:f>IF(H474="","",INDEX(等级配置!$B$4:$B$103,H474))</x:f>
        <x:v>#NAME?</x:v>
      </x:c>
      <x:c r="J474" s="58" t="e">
        <x:f>IF(AND(D474="当前已婚",G474&lt;参数与口径!$E$6),"存量兼容Lv1",IF(G474&gt;=等级配置!$C$103,"Lv100溢出","正常"))</x:f>
        <x:v>#NAME?</x:v>
      </x:c>
      <x:c r="K474" s="20" t="str">
        <x:f t="shared" si="7"/>
      </x:c>
    </x:row>
    <x:row r="475" ht="17">
      <x:c r="A475" s="58" t="s">
        <x:v>2041</x:v>
      </x:c>
      <x:c r="B475" s="58" t="s">
        <x:v>2001</x:v>
      </x:c>
      <x:c r="C475" s="58" t="s">
        <x:v>2042</x:v>
      </x:c>
      <x:c r="D475" s="58" t="s">
        <x:v>1295</x:v>
      </x:c>
      <x:c r="E475" s="18" t="s">
        <x:v>2043</x:v>
      </x:c>
      <x:c r="F475" s="18" t="s">
        <x:v>2044</x:v>
      </x:c>
      <x:c r="G475" s="126">
        <x:v>16614</x:v>
      </x:c>
      <x:c r="H475" s="126" t="e">
        <x:f>IF(G475="","",IF(G475&lt;参数与口径!$E$6,1,MATCH(G475,等级配置!$C$4:$C$103,1)))</x:f>
        <x:v>#NAME?</x:v>
      </x:c>
      <x:c r="I475" s="58" t="e">
        <x:f>IF(H475="","",INDEX(等级配置!$B$4:$B$103,H475))</x:f>
        <x:v>#NAME?</x:v>
      </x:c>
      <x:c r="J475" s="58" t="e">
        <x:f>IF(AND(D475="当前已婚",G475&lt;参数与口径!$E$6),"存量兼容Lv1",IF(G475&gt;=等级配置!$C$103,"Lv100溢出","正常"))</x:f>
        <x:v>#NAME?</x:v>
      </x:c>
      <x:c r="K475" s="20" t="str">
        <x:f t="shared" si="7"/>
      </x:c>
    </x:row>
    <x:row r="476" ht="17">
      <x:c r="A476" s="58" t="s">
        <x:v>2045</x:v>
      </x:c>
      <x:c r="B476" s="58" t="s">
        <x:v>2046</x:v>
      </x:c>
      <x:c r="C476" s="58" t="s">
        <x:v>2047</x:v>
      </x:c>
      <x:c r="D476" s="58" t="s">
        <x:v>1295</x:v>
      </x:c>
      <x:c r="E476" s="18" t="s">
        <x:v>2048</x:v>
      </x:c>
      <x:c r="F476" s="18" t="s">
        <x:v>2049</x:v>
      </x:c>
      <x:c r="G476" s="126">
        <x:v>16129</x:v>
      </x:c>
      <x:c r="H476" s="126" t="e">
        <x:f>IF(G476="","",IF(G476&lt;参数与口径!$E$6,1,MATCH(G476,等级配置!$C$4:$C$103,1)))</x:f>
        <x:v>#NAME?</x:v>
      </x:c>
      <x:c r="I476" s="58" t="e">
        <x:f>IF(H476="","",INDEX(等级配置!$B$4:$B$103,H476))</x:f>
        <x:v>#NAME?</x:v>
      </x:c>
      <x:c r="J476" s="58" t="e">
        <x:f>IF(AND(D476="当前已婚",G476&lt;参数与口径!$E$6),"存量兼容Lv1",IF(G476&gt;=等级配置!$C$103,"Lv100溢出","正常"))</x:f>
        <x:v>#NAME?</x:v>
      </x:c>
      <x:c r="K476" s="20" t="str">
        <x:f t="shared" si="7"/>
      </x:c>
    </x:row>
    <x:row r="477" ht="17">
      <x:c r="A477" s="58" t="s">
        <x:v>2050</x:v>
      </x:c>
      <x:c r="B477" s="58" t="s">
        <x:v>1575</x:v>
      </x:c>
      <x:c r="C477" s="58" t="s">
        <x:v>2051</x:v>
      </x:c>
      <x:c r="D477" s="58" t="s">
        <x:v>1295</x:v>
      </x:c>
      <x:c r="E477" s="18" t="s">
        <x:v>2052</x:v>
      </x:c>
      <x:c r="F477" s="18" t="s">
        <x:v>2053</x:v>
      </x:c>
      <x:c r="G477" s="126">
        <x:v>16023</x:v>
      </x:c>
      <x:c r="H477" s="126" t="e">
        <x:f>IF(G477="","",IF(G477&lt;参数与口径!$E$6,1,MATCH(G477,等级配置!$C$4:$C$103,1)))</x:f>
        <x:v>#NAME?</x:v>
      </x:c>
      <x:c r="I477" s="58" t="e">
        <x:f>IF(H477="","",INDEX(等级配置!$B$4:$B$103,H477))</x:f>
        <x:v>#NAME?</x:v>
      </x:c>
      <x:c r="J477" s="58" t="e">
        <x:f>IF(AND(D477="当前已婚",G477&lt;参数与口径!$E$6),"存量兼容Lv1",IF(G477&gt;=等级配置!$C$103,"Lv100溢出","正常"))</x:f>
        <x:v>#NAME?</x:v>
      </x:c>
      <x:c r="K477" s="20" t="str">
        <x:f t="shared" si="7"/>
      </x:c>
    </x:row>
    <x:row r="478" ht="17">
      <x:c r="A478" s="58" t="s">
        <x:v>2054</x:v>
      </x:c>
      <x:c r="B478" s="58" t="s">
        <x:v>2055</x:v>
      </x:c>
      <x:c r="C478" s="58" t="s">
        <x:v>2056</x:v>
      </x:c>
      <x:c r="D478" s="58" t="s">
        <x:v>1295</x:v>
      </x:c>
      <x:c r="E478" s="18" t="s">
        <x:v>2057</x:v>
      </x:c>
      <x:c r="F478" s="18" t="s">
        <x:v>2058</x:v>
      </x:c>
      <x:c r="G478" s="126">
        <x:v>15732</x:v>
      </x:c>
      <x:c r="H478" s="126" t="e">
        <x:f>IF(G478="","",IF(G478&lt;参数与口径!$E$6,1,MATCH(G478,等级配置!$C$4:$C$103,1)))</x:f>
        <x:v>#NAME?</x:v>
      </x:c>
      <x:c r="I478" s="58" t="e">
        <x:f>IF(H478="","",INDEX(等级配置!$B$4:$B$103,H478))</x:f>
        <x:v>#NAME?</x:v>
      </x:c>
      <x:c r="J478" s="58" t="e">
        <x:f>IF(AND(D478="当前已婚",G478&lt;参数与口径!$E$6),"存量兼容Lv1",IF(G478&gt;=等级配置!$C$103,"Lv100溢出","正常"))</x:f>
        <x:v>#NAME?</x:v>
      </x:c>
      <x:c r="K478" s="20" t="str">
        <x:f t="shared" si="7"/>
      </x:c>
    </x:row>
    <x:row r="479" ht="17">
      <x:c r="A479" s="58" t="s">
        <x:v>2059</x:v>
      </x:c>
      <x:c r="B479" s="58" t="s">
        <x:v>2060</x:v>
      </x:c>
      <x:c r="C479" s="58" t="s">
        <x:v>1576</x:v>
      </x:c>
      <x:c r="D479" s="58" t="s">
        <x:v>1295</x:v>
      </x:c>
      <x:c r="E479" s="18" t="s">
        <x:v>2061</x:v>
      </x:c>
      <x:c r="F479" s="18" t="s">
        <x:v>2062</x:v>
      </x:c>
      <x:c r="G479" s="126">
        <x:v>15726</x:v>
      </x:c>
      <x:c r="H479" s="126" t="e">
        <x:f>IF(G479="","",IF(G479&lt;参数与口径!$E$6,1,MATCH(G479,等级配置!$C$4:$C$103,1)))</x:f>
        <x:v>#NAME?</x:v>
      </x:c>
      <x:c r="I479" s="58" t="e">
        <x:f>IF(H479="","",INDEX(等级配置!$B$4:$B$103,H479))</x:f>
        <x:v>#NAME?</x:v>
      </x:c>
      <x:c r="J479" s="58" t="e">
        <x:f>IF(AND(D479="当前已婚",G479&lt;参数与口径!$E$6),"存量兼容Lv1",IF(G479&gt;=等级配置!$C$103,"Lv100溢出","正常"))</x:f>
        <x:v>#NAME?</x:v>
      </x:c>
      <x:c r="K479" s="20" t="str">
        <x:f t="shared" si="7"/>
      </x:c>
    </x:row>
    <x:row r="480" ht="17">
      <x:c r="A480" s="58" t="s">
        <x:v>2063</x:v>
      </x:c>
      <x:c r="B480" s="58" t="s">
        <x:v>2064</x:v>
      </x:c>
      <x:c r="C480" s="58" t="s">
        <x:v>2065</x:v>
      </x:c>
      <x:c r="D480" s="58" t="s">
        <x:v>1295</x:v>
      </x:c>
      <x:c r="E480" s="18" t="s">
        <x:v>2066</x:v>
      </x:c>
      <x:c r="F480" s="18" t="s">
        <x:v>2067</x:v>
      </x:c>
      <x:c r="G480" s="126">
        <x:v>15615</x:v>
      </x:c>
      <x:c r="H480" s="126" t="e">
        <x:f>IF(G480="","",IF(G480&lt;参数与口径!$E$6,1,MATCH(G480,等级配置!$C$4:$C$103,1)))</x:f>
        <x:v>#NAME?</x:v>
      </x:c>
      <x:c r="I480" s="58" t="e">
        <x:f>IF(H480="","",INDEX(等级配置!$B$4:$B$103,H480))</x:f>
        <x:v>#NAME?</x:v>
      </x:c>
      <x:c r="J480" s="58" t="e">
        <x:f>IF(AND(D480="当前已婚",G480&lt;参数与口径!$E$6),"存量兼容Lv1",IF(G480&gt;=等级配置!$C$103,"Lv100溢出","正常"))</x:f>
        <x:v>#NAME?</x:v>
      </x:c>
      <x:c r="K480" s="20" t="str">
        <x:f t="shared" si="7"/>
      </x:c>
    </x:row>
    <x:row r="481" ht="17">
      <x:c r="A481" s="58" t="s">
        <x:v>2068</x:v>
      </x:c>
      <x:c r="B481" s="58" t="s">
        <x:v>275</x:v>
      </x:c>
      <x:c r="C481" s="58" t="s">
        <x:v>2069</x:v>
      </x:c>
      <x:c r="D481" s="58" t="s">
        <x:v>1295</x:v>
      </x:c>
      <x:c r="E481" s="18" t="s">
        <x:v>2070</x:v>
      </x:c>
      <x:c r="F481" s="18" t="s">
        <x:v>2071</x:v>
      </x:c>
      <x:c r="G481" s="126">
        <x:v>15510</x:v>
      </x:c>
      <x:c r="H481" s="126" t="e">
        <x:f>IF(G481="","",IF(G481&lt;参数与口径!$E$6,1,MATCH(G481,等级配置!$C$4:$C$103,1)))</x:f>
        <x:v>#NAME?</x:v>
      </x:c>
      <x:c r="I481" s="58" t="e">
        <x:f>IF(H481="","",INDEX(等级配置!$B$4:$B$103,H481))</x:f>
        <x:v>#NAME?</x:v>
      </x:c>
      <x:c r="J481" s="58" t="e">
        <x:f>IF(AND(D481="当前已婚",G481&lt;参数与口径!$E$6),"存量兼容Lv1",IF(G481&gt;=等级配置!$C$103,"Lv100溢出","正常"))</x:f>
        <x:v>#NAME?</x:v>
      </x:c>
      <x:c r="K481" s="20" t="str">
        <x:f t="shared" si="7"/>
      </x:c>
    </x:row>
    <x:row r="482" ht="17">
      <x:c r="A482" s="58" t="s">
        <x:v>2072</x:v>
      </x:c>
      <x:c r="B482" s="58" t="s">
        <x:v>1860</x:v>
      </x:c>
      <x:c r="C482" s="58" t="s">
        <x:v>2073</x:v>
      </x:c>
      <x:c r="D482" s="58" t="s">
        <x:v>1295</x:v>
      </x:c>
      <x:c r="E482" s="18" t="s">
        <x:v>2074</x:v>
      </x:c>
      <x:c r="F482" s="18" t="s">
        <x:v>2075</x:v>
      </x:c>
      <x:c r="G482" s="126">
        <x:v>15208</x:v>
      </x:c>
      <x:c r="H482" s="126" t="e">
        <x:f>IF(G482="","",IF(G482&lt;参数与口径!$E$6,1,MATCH(G482,等级配置!$C$4:$C$103,1)))</x:f>
        <x:v>#NAME?</x:v>
      </x:c>
      <x:c r="I482" s="58" t="e">
        <x:f>IF(H482="","",INDEX(等级配置!$B$4:$B$103,H482))</x:f>
        <x:v>#NAME?</x:v>
      </x:c>
      <x:c r="J482" s="58" t="e">
        <x:f>IF(AND(D482="当前已婚",G482&lt;参数与口径!$E$6),"存量兼容Lv1",IF(G482&gt;=等级配置!$C$103,"Lv100溢出","正常"))</x:f>
        <x:v>#NAME?</x:v>
      </x:c>
      <x:c r="K482" s="20" t="str">
        <x:f t="shared" si="7"/>
      </x:c>
    </x:row>
    <x:row r="483" ht="17">
      <x:c r="A483" s="58" t="s">
        <x:v>2076</x:v>
      </x:c>
      <x:c r="B483" s="58" t="s">
        <x:v>2077</x:v>
      </x:c>
      <x:c r="C483" s="58" t="s">
        <x:v>2078</x:v>
      </x:c>
      <x:c r="D483" s="58" t="s">
        <x:v>1295</x:v>
      </x:c>
      <x:c r="E483" s="18" t="s">
        <x:v>2079</x:v>
      </x:c>
      <x:c r="F483" s="18" t="s">
        <x:v>2080</x:v>
      </x:c>
      <x:c r="G483" s="126">
        <x:v>15152</x:v>
      </x:c>
      <x:c r="H483" s="126" t="e">
        <x:f>IF(G483="","",IF(G483&lt;参数与口径!$E$6,1,MATCH(G483,等级配置!$C$4:$C$103,1)))</x:f>
        <x:v>#NAME?</x:v>
      </x:c>
      <x:c r="I483" s="58" t="e">
        <x:f>IF(H483="","",INDEX(等级配置!$B$4:$B$103,H483))</x:f>
        <x:v>#NAME?</x:v>
      </x:c>
      <x:c r="J483" s="58" t="e">
        <x:f>IF(AND(D483="当前已婚",G483&lt;参数与口径!$E$6),"存量兼容Lv1",IF(G483&gt;=等级配置!$C$103,"Lv100溢出","正常"))</x:f>
        <x:v>#NAME?</x:v>
      </x:c>
      <x:c r="K483" s="20" t="str">
        <x:f t="shared" si="7"/>
      </x:c>
    </x:row>
    <x:row r="484" ht="17">
      <x:c r="A484" s="58" t="s">
        <x:v>2081</x:v>
      </x:c>
      <x:c r="B484" s="58" t="s">
        <x:v>2082</x:v>
      </x:c>
      <x:c r="C484" s="58" t="s">
        <x:v>2083</x:v>
      </x:c>
      <x:c r="D484" s="58" t="s">
        <x:v>1295</x:v>
      </x:c>
      <x:c r="E484" s="18" t="s">
        <x:v>2084</x:v>
      </x:c>
      <x:c r="F484" s="18" t="s">
        <x:v>2085</x:v>
      </x:c>
      <x:c r="G484" s="126">
        <x:v>15121</x:v>
      </x:c>
      <x:c r="H484" s="126" t="e">
        <x:f>IF(G484="","",IF(G484&lt;参数与口径!$E$6,1,MATCH(G484,等级配置!$C$4:$C$103,1)))</x:f>
        <x:v>#NAME?</x:v>
      </x:c>
      <x:c r="I484" s="58" t="e">
        <x:f>IF(H484="","",INDEX(等级配置!$B$4:$B$103,H484))</x:f>
        <x:v>#NAME?</x:v>
      </x:c>
      <x:c r="J484" s="58" t="e">
        <x:f>IF(AND(D484="当前已婚",G484&lt;参数与口径!$E$6),"存量兼容Lv1",IF(G484&gt;=等级配置!$C$103,"Lv100溢出","正常"))</x:f>
        <x:v>#NAME?</x:v>
      </x:c>
      <x:c r="K484" s="20" t="str">
        <x:f t="shared" si="7"/>
      </x:c>
    </x:row>
    <x:row r="485" ht="17">
      <x:c r="A485" s="58" t="s">
        <x:v>2086</x:v>
      </x:c>
      <x:c r="B485" s="58" t="s">
        <x:v>797</x:v>
      </x:c>
      <x:c r="C485" s="58" t="s">
        <x:v>2087</x:v>
      </x:c>
      <x:c r="D485" s="58" t="s">
        <x:v>1295</x:v>
      </x:c>
      <x:c r="E485" s="18" t="s">
        <x:v>2088</x:v>
      </x:c>
      <x:c r="F485" s="18" t="s">
        <x:v>2089</x:v>
      </x:c>
      <x:c r="G485" s="126">
        <x:v>14861</x:v>
      </x:c>
      <x:c r="H485" s="126" t="e">
        <x:f>IF(G485="","",IF(G485&lt;参数与口径!$E$6,1,MATCH(G485,等级配置!$C$4:$C$103,1)))</x:f>
        <x:v>#NAME?</x:v>
      </x:c>
      <x:c r="I485" s="58" t="e">
        <x:f>IF(H485="","",INDEX(等级配置!$B$4:$B$103,H485))</x:f>
        <x:v>#NAME?</x:v>
      </x:c>
      <x:c r="J485" s="58" t="e">
        <x:f>IF(AND(D485="当前已婚",G485&lt;参数与口径!$E$6),"存量兼容Lv1",IF(G485&gt;=等级配置!$C$103,"Lv100溢出","正常"))</x:f>
        <x:v>#NAME?</x:v>
      </x:c>
      <x:c r="K485" s="20" t="str">
        <x:f t="shared" si="7"/>
      </x:c>
    </x:row>
    <x:row r="486" ht="17">
      <x:c r="A486" s="58" t="s">
        <x:v>2090</x:v>
      </x:c>
      <x:c r="B486" s="58" t="s">
        <x:v>2091</x:v>
      </x:c>
      <x:c r="C486" s="58" t="s">
        <x:v>2092</x:v>
      </x:c>
      <x:c r="D486" s="58" t="s">
        <x:v>1295</x:v>
      </x:c>
      <x:c r="E486" s="18" t="s">
        <x:v>2093</x:v>
      </x:c>
      <x:c r="F486" s="18" t="s">
        <x:v>2094</x:v>
      </x:c>
      <x:c r="G486" s="126">
        <x:v>14767</x:v>
      </x:c>
      <x:c r="H486" s="126" t="e">
        <x:f>IF(G486="","",IF(G486&lt;参数与口径!$E$6,1,MATCH(G486,等级配置!$C$4:$C$103,1)))</x:f>
        <x:v>#NAME?</x:v>
      </x:c>
      <x:c r="I486" s="58" t="e">
        <x:f>IF(H486="","",INDEX(等级配置!$B$4:$B$103,H486))</x:f>
        <x:v>#NAME?</x:v>
      </x:c>
      <x:c r="J486" s="58" t="e">
        <x:f>IF(AND(D486="当前已婚",G486&lt;参数与口径!$E$6),"存量兼容Lv1",IF(G486&gt;=等级配置!$C$103,"Lv100溢出","正常"))</x:f>
        <x:v>#NAME?</x:v>
      </x:c>
      <x:c r="K486" s="20" t="str">
        <x:f t="shared" si="7"/>
      </x:c>
    </x:row>
    <x:row r="487" ht="17">
      <x:c r="A487" s="58" t="s">
        <x:v>2095</x:v>
      </x:c>
      <x:c r="B487" s="58" t="s">
        <x:v>2096</x:v>
      </x:c>
      <x:c r="C487" s="58" t="s">
        <x:v>2097</x:v>
      </x:c>
      <x:c r="D487" s="58" t="s">
        <x:v>1295</x:v>
      </x:c>
      <x:c r="E487" s="18" t="s">
        <x:v>2098</x:v>
      </x:c>
      <x:c r="F487" s="18" t="s">
        <x:v>2099</x:v>
      </x:c>
      <x:c r="G487" s="126">
        <x:v>14645</x:v>
      </x:c>
      <x:c r="H487" s="126" t="e">
        <x:f>IF(G487="","",IF(G487&lt;参数与口径!$E$6,1,MATCH(G487,等级配置!$C$4:$C$103,1)))</x:f>
        <x:v>#NAME?</x:v>
      </x:c>
      <x:c r="I487" s="58" t="e">
        <x:f>IF(H487="","",INDEX(等级配置!$B$4:$B$103,H487))</x:f>
        <x:v>#NAME?</x:v>
      </x:c>
      <x:c r="J487" s="58" t="e">
        <x:f>IF(AND(D487="当前已婚",G487&lt;参数与口径!$E$6),"存量兼容Lv1",IF(G487&gt;=等级配置!$C$103,"Lv100溢出","正常"))</x:f>
        <x:v>#NAME?</x:v>
      </x:c>
      <x:c r="K487" s="20" t="str">
        <x:f t="shared" si="7"/>
      </x:c>
    </x:row>
    <x:row r="488" ht="17">
      <x:c r="A488" s="58" t="s">
        <x:v>2100</x:v>
      </x:c>
      <x:c r="B488" s="58" t="s">
        <x:v>2101</x:v>
      </x:c>
      <x:c r="C488" s="58" t="s">
        <x:v>2102</x:v>
      </x:c>
      <x:c r="D488" s="58" t="s">
        <x:v>1295</x:v>
      </x:c>
      <x:c r="E488" s="18" t="s">
        <x:v>2103</x:v>
      </x:c>
      <x:c r="F488" s="18" t="s">
        <x:v>2104</x:v>
      </x:c>
      <x:c r="G488" s="126">
        <x:v>14636</x:v>
      </x:c>
      <x:c r="H488" s="126" t="e">
        <x:f>IF(G488="","",IF(G488&lt;参数与口径!$E$6,1,MATCH(G488,等级配置!$C$4:$C$103,1)))</x:f>
        <x:v>#NAME?</x:v>
      </x:c>
      <x:c r="I488" s="58" t="e">
        <x:f>IF(H488="","",INDEX(等级配置!$B$4:$B$103,H488))</x:f>
        <x:v>#NAME?</x:v>
      </x:c>
      <x:c r="J488" s="58" t="e">
        <x:f>IF(AND(D488="当前已婚",G488&lt;参数与口径!$E$6),"存量兼容Lv1",IF(G488&gt;=等级配置!$C$103,"Lv100溢出","正常"))</x:f>
        <x:v>#NAME?</x:v>
      </x:c>
      <x:c r="K488" s="20" t="str">
        <x:f t="shared" si="7"/>
      </x:c>
    </x:row>
    <x:row r="489" ht="17">
      <x:c r="A489" s="58" t="s">
        <x:v>2105</x:v>
      </x:c>
      <x:c r="B489" s="58" t="s">
        <x:v>2106</x:v>
      </x:c>
      <x:c r="C489" s="58" t="s">
        <x:v>2107</x:v>
      </x:c>
      <x:c r="D489" s="58" t="s">
        <x:v>1295</x:v>
      </x:c>
      <x:c r="E489" s="18" t="s">
        <x:v>2108</x:v>
      </x:c>
      <x:c r="F489" s="18" t="s">
        <x:v>2109</x:v>
      </x:c>
      <x:c r="G489" s="126">
        <x:v>14531</x:v>
      </x:c>
      <x:c r="H489" s="126" t="e">
        <x:f>IF(G489="","",IF(G489&lt;参数与口径!$E$6,1,MATCH(G489,等级配置!$C$4:$C$103,1)))</x:f>
        <x:v>#NAME?</x:v>
      </x:c>
      <x:c r="I489" s="58" t="e">
        <x:f>IF(H489="","",INDEX(等级配置!$B$4:$B$103,H489))</x:f>
        <x:v>#NAME?</x:v>
      </x:c>
      <x:c r="J489" s="58" t="e">
        <x:f>IF(AND(D489="当前已婚",G489&lt;参数与口径!$E$6),"存量兼容Lv1",IF(G489&gt;=等级配置!$C$103,"Lv100溢出","正常"))</x:f>
        <x:v>#NAME?</x:v>
      </x:c>
      <x:c r="K489" s="20" t="str">
        <x:f t="shared" si="7"/>
      </x:c>
    </x:row>
    <x:row r="490" ht="17">
      <x:c r="A490" s="58" t="s">
        <x:v>2110</x:v>
      </x:c>
      <x:c r="B490" s="58" t="s">
        <x:v>968</x:v>
      </x:c>
      <x:c r="C490" s="58" t="s">
        <x:v>1382</x:v>
      </x:c>
      <x:c r="D490" s="58" t="s">
        <x:v>1295</x:v>
      </x:c>
      <x:c r="E490" s="18" t="s">
        <x:v>2111</x:v>
      </x:c>
      <x:c r="F490" s="18" t="s">
        <x:v>2112</x:v>
      </x:c>
      <x:c r="G490" s="126">
        <x:v>14301</x:v>
      </x:c>
      <x:c r="H490" s="126" t="e">
        <x:f>IF(G490="","",IF(G490&lt;参数与口径!$E$6,1,MATCH(G490,等级配置!$C$4:$C$103,1)))</x:f>
        <x:v>#NAME?</x:v>
      </x:c>
      <x:c r="I490" s="58" t="e">
        <x:f>IF(H490="","",INDEX(等级配置!$B$4:$B$103,H490))</x:f>
        <x:v>#NAME?</x:v>
      </x:c>
      <x:c r="J490" s="58" t="e">
        <x:f>IF(AND(D490="当前已婚",G490&lt;参数与口径!$E$6),"存量兼容Lv1",IF(G490&gt;=等级配置!$C$103,"Lv100溢出","正常"))</x:f>
        <x:v>#NAME?</x:v>
      </x:c>
      <x:c r="K490" s="20" t="str">
        <x:f t="shared" si="7"/>
      </x:c>
    </x:row>
    <x:row r="491" ht="17">
      <x:c r="A491" s="58" t="s">
        <x:v>2113</x:v>
      </x:c>
      <x:c r="B491" s="58" t="s">
        <x:v>2114</x:v>
      </x:c>
      <x:c r="C491" s="58" t="s">
        <x:v>630</x:v>
      </x:c>
      <x:c r="D491" s="58" t="s">
        <x:v>1295</x:v>
      </x:c>
      <x:c r="E491" s="18" t="s">
        <x:v>2115</x:v>
      </x:c>
      <x:c r="F491" s="18" t="s">
        <x:v>2116</x:v>
      </x:c>
      <x:c r="G491" s="126">
        <x:v>14037</x:v>
      </x:c>
      <x:c r="H491" s="126" t="e">
        <x:f>IF(G491="","",IF(G491&lt;参数与口径!$E$6,1,MATCH(G491,等级配置!$C$4:$C$103,1)))</x:f>
        <x:v>#NAME?</x:v>
      </x:c>
      <x:c r="I491" s="58" t="e">
        <x:f>IF(H491="","",INDEX(等级配置!$B$4:$B$103,H491))</x:f>
        <x:v>#NAME?</x:v>
      </x:c>
      <x:c r="J491" s="58" t="e">
        <x:f>IF(AND(D491="当前已婚",G491&lt;参数与口径!$E$6),"存量兼容Lv1",IF(G491&gt;=等级配置!$C$103,"Lv100溢出","正常"))</x:f>
        <x:v>#NAME?</x:v>
      </x:c>
      <x:c r="K491" s="20" t="str">
        <x:f t="shared" si="7"/>
      </x:c>
    </x:row>
    <x:row r="492" ht="17">
      <x:c r="A492" s="58" t="s">
        <x:v>2117</x:v>
      </x:c>
      <x:c r="B492" s="58" t="s">
        <x:v>2118</x:v>
      </x:c>
      <x:c r="C492" s="58" t="s">
        <x:v>2119</x:v>
      </x:c>
      <x:c r="D492" s="58" t="s">
        <x:v>1295</x:v>
      </x:c>
      <x:c r="E492" s="18" t="s">
        <x:v>2120</x:v>
      </x:c>
      <x:c r="F492" s="18" t="s">
        <x:v>2121</x:v>
      </x:c>
      <x:c r="G492" s="126">
        <x:v>13862</x:v>
      </x:c>
      <x:c r="H492" s="126" t="e">
        <x:f>IF(G492="","",IF(G492&lt;参数与口径!$E$6,1,MATCH(G492,等级配置!$C$4:$C$103,1)))</x:f>
        <x:v>#NAME?</x:v>
      </x:c>
      <x:c r="I492" s="58" t="e">
        <x:f>IF(H492="","",INDEX(等级配置!$B$4:$B$103,H492))</x:f>
        <x:v>#NAME?</x:v>
      </x:c>
      <x:c r="J492" s="58" t="e">
        <x:f>IF(AND(D492="当前已婚",G492&lt;参数与口径!$E$6),"存量兼容Lv1",IF(G492&gt;=等级配置!$C$103,"Lv100溢出","正常"))</x:f>
        <x:v>#NAME?</x:v>
      </x:c>
      <x:c r="K492" s="20" t="str">
        <x:f t="shared" si="7"/>
      </x:c>
    </x:row>
    <x:row r="493" ht="17">
      <x:c r="A493" s="58" t="s">
        <x:v>2122</x:v>
      </x:c>
      <x:c r="B493" s="58" t="s">
        <x:v>2123</x:v>
      </x:c>
      <x:c r="C493" s="58" t="s">
        <x:v>2124</x:v>
      </x:c>
      <x:c r="D493" s="58" t="s">
        <x:v>1295</x:v>
      </x:c>
      <x:c r="E493" s="18" t="s">
        <x:v>2125</x:v>
      </x:c>
      <x:c r="F493" s="18" t="s">
        <x:v>2126</x:v>
      </x:c>
      <x:c r="G493" s="126">
        <x:v>13620</x:v>
      </x:c>
      <x:c r="H493" s="126" t="e">
        <x:f>IF(G493="","",IF(G493&lt;参数与口径!$E$6,1,MATCH(G493,等级配置!$C$4:$C$103,1)))</x:f>
        <x:v>#NAME?</x:v>
      </x:c>
      <x:c r="I493" s="58" t="e">
        <x:f>IF(H493="","",INDEX(等级配置!$B$4:$B$103,H493))</x:f>
        <x:v>#NAME?</x:v>
      </x:c>
      <x:c r="J493" s="58" t="e">
        <x:f>IF(AND(D493="当前已婚",G493&lt;参数与口径!$E$6),"存量兼容Lv1",IF(G493&gt;=等级配置!$C$103,"Lv100溢出","正常"))</x:f>
        <x:v>#NAME?</x:v>
      </x:c>
      <x:c r="K493" s="20" t="str">
        <x:f t="shared" si="7"/>
      </x:c>
    </x:row>
    <x:row r="494" ht="17">
      <x:c r="A494" s="58" t="s">
        <x:v>2127</x:v>
      </x:c>
      <x:c r="B494" s="58" t="s">
        <x:v>2128</x:v>
      </x:c>
      <x:c r="C494" s="58" t="s">
        <x:v>2129</x:v>
      </x:c>
      <x:c r="D494" s="58" t="s">
        <x:v>1295</x:v>
      </x:c>
      <x:c r="E494" s="18" t="s">
        <x:v>2130</x:v>
      </x:c>
      <x:c r="F494" s="18" t="s">
        <x:v>2131</x:v>
      </x:c>
      <x:c r="G494" s="126">
        <x:v>13482</x:v>
      </x:c>
      <x:c r="H494" s="126" t="e">
        <x:f>IF(G494="","",IF(G494&lt;参数与口径!$E$6,1,MATCH(G494,等级配置!$C$4:$C$103,1)))</x:f>
        <x:v>#NAME?</x:v>
      </x:c>
      <x:c r="I494" s="58" t="e">
        <x:f>IF(H494="","",INDEX(等级配置!$B$4:$B$103,H494))</x:f>
        <x:v>#NAME?</x:v>
      </x:c>
      <x:c r="J494" s="58" t="e">
        <x:f>IF(AND(D494="当前已婚",G494&lt;参数与口径!$E$6),"存量兼容Lv1",IF(G494&gt;=等级配置!$C$103,"Lv100溢出","正常"))</x:f>
        <x:v>#NAME?</x:v>
      </x:c>
      <x:c r="K494" s="20" t="str">
        <x:f t="shared" si="7"/>
      </x:c>
    </x:row>
    <x:row r="495" ht="17">
      <x:c r="A495" s="58" t="s">
        <x:v>2132</x:v>
      </x:c>
      <x:c r="B495" s="58" t="s">
        <x:v>149</x:v>
      </x:c>
      <x:c r="C495" s="58" t="s">
        <x:v>2133</x:v>
      </x:c>
      <x:c r="D495" s="58" t="s">
        <x:v>1295</x:v>
      </x:c>
      <x:c r="E495" s="18" t="s">
        <x:v>2134</x:v>
      </x:c>
      <x:c r="F495" s="18" t="s">
        <x:v>2135</x:v>
      </x:c>
      <x:c r="G495" s="126">
        <x:v>13127</x:v>
      </x:c>
      <x:c r="H495" s="126" t="e">
        <x:f>IF(G495="","",IF(G495&lt;参数与口径!$E$6,1,MATCH(G495,等级配置!$C$4:$C$103,1)))</x:f>
        <x:v>#NAME?</x:v>
      </x:c>
      <x:c r="I495" s="58" t="e">
        <x:f>IF(H495="","",INDEX(等级配置!$B$4:$B$103,H495))</x:f>
        <x:v>#NAME?</x:v>
      </x:c>
      <x:c r="J495" s="58" t="e">
        <x:f>IF(AND(D495="当前已婚",G495&lt;参数与口径!$E$6),"存量兼容Lv1",IF(G495&gt;=等级配置!$C$103,"Lv100溢出","正常"))</x:f>
        <x:v>#NAME?</x:v>
      </x:c>
      <x:c r="K495" s="20" t="str">
        <x:f t="shared" si="7"/>
      </x:c>
    </x:row>
    <x:row r="496" ht="17">
      <x:c r="A496" s="58" t="s">
        <x:v>2136</x:v>
      </x:c>
      <x:c r="B496" s="58" t="s">
        <x:v>2137</x:v>
      </x:c>
      <x:c r="C496" s="58" t="s">
        <x:v>2138</x:v>
      </x:c>
      <x:c r="D496" s="58" t="s">
        <x:v>1295</x:v>
      </x:c>
      <x:c r="E496" s="18" t="s">
        <x:v>2139</x:v>
      </x:c>
      <x:c r="F496" s="18" t="s">
        <x:v>2140</x:v>
      </x:c>
      <x:c r="G496" s="126">
        <x:v>13003</x:v>
      </x:c>
      <x:c r="H496" s="126" t="e">
        <x:f>IF(G496="","",IF(G496&lt;参数与口径!$E$6,1,MATCH(G496,等级配置!$C$4:$C$103,1)))</x:f>
        <x:v>#NAME?</x:v>
      </x:c>
      <x:c r="I496" s="58" t="e">
        <x:f>IF(H496="","",INDEX(等级配置!$B$4:$B$103,H496))</x:f>
        <x:v>#NAME?</x:v>
      </x:c>
      <x:c r="J496" s="58" t="e">
        <x:f>IF(AND(D496="当前已婚",G496&lt;参数与口径!$E$6),"存量兼容Lv1",IF(G496&gt;=等级配置!$C$103,"Lv100溢出","正常"))</x:f>
        <x:v>#NAME?</x:v>
      </x:c>
      <x:c r="K496" s="20" t="str">
        <x:f t="shared" si="7"/>
      </x:c>
    </x:row>
    <x:row r="497" ht="17">
      <x:c r="A497" s="58" t="s">
        <x:v>2141</x:v>
      </x:c>
      <x:c r="B497" s="58" t="s">
        <x:v>2142</x:v>
      </x:c>
      <x:c r="C497" s="58" t="s">
        <x:v>2114</x:v>
      </x:c>
      <x:c r="D497" s="58" t="s">
        <x:v>1295</x:v>
      </x:c>
      <x:c r="E497" s="18" t="s">
        <x:v>2143</x:v>
      </x:c>
      <x:c r="F497" s="18" t="s">
        <x:v>2144</x:v>
      </x:c>
      <x:c r="G497" s="126">
        <x:v>12896</x:v>
      </x:c>
      <x:c r="H497" s="126" t="e">
        <x:f>IF(G497="","",IF(G497&lt;参数与口径!$E$6,1,MATCH(G497,等级配置!$C$4:$C$103,1)))</x:f>
        <x:v>#NAME?</x:v>
      </x:c>
      <x:c r="I497" s="58" t="e">
        <x:f>IF(H497="","",INDEX(等级配置!$B$4:$B$103,H497))</x:f>
        <x:v>#NAME?</x:v>
      </x:c>
      <x:c r="J497" s="58" t="e">
        <x:f>IF(AND(D497="当前已婚",G497&lt;参数与口径!$E$6),"存量兼容Lv1",IF(G497&gt;=等级配置!$C$103,"Lv100溢出","正常"))</x:f>
        <x:v>#NAME?</x:v>
      </x:c>
      <x:c r="K497" s="20" t="str">
        <x:f t="shared" si="7"/>
      </x:c>
    </x:row>
    <x:row r="498" ht="17">
      <x:c r="A498" s="58" t="s">
        <x:v>2145</x:v>
      </x:c>
      <x:c r="B498" s="58" t="s">
        <x:v>2146</x:v>
      </x:c>
      <x:c r="C498" s="58" t="s">
        <x:v>2147</x:v>
      </x:c>
      <x:c r="D498" s="58" t="s">
        <x:v>1295</x:v>
      </x:c>
      <x:c r="E498" s="18" t="s">
        <x:v>2148</x:v>
      </x:c>
      <x:c r="F498" s="18" t="s">
        <x:v>2149</x:v>
      </x:c>
      <x:c r="G498" s="126">
        <x:v>12670</x:v>
      </x:c>
      <x:c r="H498" s="126" t="e">
        <x:f>IF(G498="","",IF(G498&lt;参数与口径!$E$6,1,MATCH(G498,等级配置!$C$4:$C$103,1)))</x:f>
        <x:v>#NAME?</x:v>
      </x:c>
      <x:c r="I498" s="58" t="e">
        <x:f>IF(H498="","",INDEX(等级配置!$B$4:$B$103,H498))</x:f>
        <x:v>#NAME?</x:v>
      </x:c>
      <x:c r="J498" s="58" t="e">
        <x:f>IF(AND(D498="当前已婚",G498&lt;参数与口径!$E$6),"存量兼容Lv1",IF(G498&gt;=等级配置!$C$103,"Lv100溢出","正常"))</x:f>
        <x:v>#NAME?</x:v>
      </x:c>
      <x:c r="K498" s="20" t="str">
        <x:f t="shared" si="7"/>
      </x:c>
    </x:row>
    <x:row r="499" ht="17">
      <x:c r="A499" s="58" t="s">
        <x:v>2150</x:v>
      </x:c>
      <x:c r="B499" s="58" t="s">
        <x:v>2046</x:v>
      </x:c>
      <x:c r="C499" s="58" t="s">
        <x:v>2151</x:v>
      </x:c>
      <x:c r="D499" s="58" t="s">
        <x:v>1295</x:v>
      </x:c>
      <x:c r="E499" s="18" t="s">
        <x:v>2152</x:v>
      </x:c>
      <x:c r="F499" s="18" t="s">
        <x:v>2153</x:v>
      </x:c>
      <x:c r="G499" s="126">
        <x:v>12630</x:v>
      </x:c>
      <x:c r="H499" s="126" t="e">
        <x:f>IF(G499="","",IF(G499&lt;参数与口径!$E$6,1,MATCH(G499,等级配置!$C$4:$C$103,1)))</x:f>
        <x:v>#NAME?</x:v>
      </x:c>
      <x:c r="I499" s="58" t="e">
        <x:f>IF(H499="","",INDEX(等级配置!$B$4:$B$103,H499))</x:f>
        <x:v>#NAME?</x:v>
      </x:c>
      <x:c r="J499" s="58" t="e">
        <x:f>IF(AND(D499="当前已婚",G499&lt;参数与口径!$E$6),"存量兼容Lv1",IF(G499&gt;=等级配置!$C$103,"Lv100溢出","正常"))</x:f>
        <x:v>#NAME?</x:v>
      </x:c>
      <x:c r="K499" s="20" t="str">
        <x:f t="shared" si="7"/>
      </x:c>
    </x:row>
    <x:row r="500" ht="17">
      <x:c r="A500" s="58" t="s">
        <x:v>2154</x:v>
      </x:c>
      <x:c r="B500" s="58" t="s">
        <x:v>1642</x:v>
      </x:c>
      <x:c r="C500" s="58" t="s">
        <x:v>2155</x:v>
      </x:c>
      <x:c r="D500" s="58" t="s">
        <x:v>1295</x:v>
      </x:c>
      <x:c r="E500" s="18" t="s">
        <x:v>2156</x:v>
      </x:c>
      <x:c r="F500" s="18" t="s">
        <x:v>2157</x:v>
      </x:c>
      <x:c r="G500" s="126">
        <x:v>12470</x:v>
      </x:c>
      <x:c r="H500" s="126" t="e">
        <x:f>IF(G500="","",IF(G500&lt;参数与口径!$E$6,1,MATCH(G500,等级配置!$C$4:$C$103,1)))</x:f>
        <x:v>#NAME?</x:v>
      </x:c>
      <x:c r="I500" s="58" t="e">
        <x:f>IF(H500="","",INDEX(等级配置!$B$4:$B$103,H500))</x:f>
        <x:v>#NAME?</x:v>
      </x:c>
      <x:c r="J500" s="58" t="e">
        <x:f>IF(AND(D500="当前已婚",G500&lt;参数与口径!$E$6),"存量兼容Lv1",IF(G500&gt;=等级配置!$C$103,"Lv100溢出","正常"))</x:f>
        <x:v>#NAME?</x:v>
      </x:c>
      <x:c r="K500" s="20" t="str">
        <x:f t="shared" si="7"/>
      </x:c>
    </x:row>
    <x:row r="501" ht="17">
      <x:c r="A501" s="58" t="s">
        <x:v>2158</x:v>
      </x:c>
      <x:c r="B501" s="58" t="s">
        <x:v>2159</x:v>
      </x:c>
      <x:c r="C501" s="58" t="s">
        <x:v>2160</x:v>
      </x:c>
      <x:c r="D501" s="58" t="s">
        <x:v>1295</x:v>
      </x:c>
      <x:c r="E501" s="18" t="s">
        <x:v>2161</x:v>
      </x:c>
      <x:c r="F501" s="18" t="s">
        <x:v>2162</x:v>
      </x:c>
      <x:c r="G501" s="126">
        <x:v>12460</x:v>
      </x:c>
      <x:c r="H501" s="126" t="e">
        <x:f>IF(G501="","",IF(G501&lt;参数与口径!$E$6,1,MATCH(G501,等级配置!$C$4:$C$103,1)))</x:f>
        <x:v>#NAME?</x:v>
      </x:c>
      <x:c r="I501" s="58" t="e">
        <x:f>IF(H501="","",INDEX(等级配置!$B$4:$B$103,H501))</x:f>
        <x:v>#NAME?</x:v>
      </x:c>
      <x:c r="J501" s="58" t="e">
        <x:f>IF(AND(D501="当前已婚",G501&lt;参数与口径!$E$6),"存量兼容Lv1",IF(G501&gt;=等级配置!$C$103,"Lv100溢出","正常"))</x:f>
        <x:v>#NAME?</x:v>
      </x:c>
      <x:c r="K501" s="20" t="str">
        <x:f t="shared" si="7"/>
      </x:c>
    </x:row>
    <x:row r="502" ht="17">
      <x:c r="A502" s="58" t="s">
        <x:v>2163</x:v>
      </x:c>
      <x:c r="B502" s="58" t="s">
        <x:v>2164</x:v>
      </x:c>
      <x:c r="C502" s="58" t="s">
        <x:v>2165</x:v>
      </x:c>
      <x:c r="D502" s="58" t="s">
        <x:v>1295</x:v>
      </x:c>
      <x:c r="E502" s="18" t="s">
        <x:v>2166</x:v>
      </x:c>
      <x:c r="F502" s="18" t="s">
        <x:v>2167</x:v>
      </x:c>
      <x:c r="G502" s="126">
        <x:v>12193</x:v>
      </x:c>
      <x:c r="H502" s="126" t="e">
        <x:f>IF(G502="","",IF(G502&lt;参数与口径!$E$6,1,MATCH(G502,等级配置!$C$4:$C$103,1)))</x:f>
        <x:v>#NAME?</x:v>
      </x:c>
      <x:c r="I502" s="58" t="e">
        <x:f>IF(H502="","",INDEX(等级配置!$B$4:$B$103,H502))</x:f>
        <x:v>#NAME?</x:v>
      </x:c>
      <x:c r="J502" s="58" t="e">
        <x:f>IF(AND(D502="当前已婚",G502&lt;参数与口径!$E$6),"存量兼容Lv1",IF(G502&gt;=等级配置!$C$103,"Lv100溢出","正常"))</x:f>
        <x:v>#NAME?</x:v>
      </x:c>
      <x:c r="K502" s="20" t="str">
        <x:f t="shared" si="7"/>
      </x:c>
    </x:row>
    <x:row r="503" ht="17">
      <x:c r="A503" s="58" t="s">
        <x:v>2168</x:v>
      </x:c>
      <x:c r="B503" s="58" t="s">
        <x:v>2169</x:v>
      </x:c>
      <x:c r="C503" s="58" t="s">
        <x:v>2170</x:v>
      </x:c>
      <x:c r="D503" s="58" t="s">
        <x:v>1295</x:v>
      </x:c>
      <x:c r="E503" s="18" t="s">
        <x:v>2171</x:v>
      </x:c>
      <x:c r="F503" s="18" t="s">
        <x:v>2172</x:v>
      </x:c>
      <x:c r="G503" s="126">
        <x:v>11918</x:v>
      </x:c>
      <x:c r="H503" s="126" t="e">
        <x:f>IF(G503="","",IF(G503&lt;参数与口径!$E$6,1,MATCH(G503,等级配置!$C$4:$C$103,1)))</x:f>
        <x:v>#NAME?</x:v>
      </x:c>
      <x:c r="I503" s="58" t="e">
        <x:f>IF(H503="","",INDEX(等级配置!$B$4:$B$103,H503))</x:f>
        <x:v>#NAME?</x:v>
      </x:c>
      <x:c r="J503" s="58" t="e">
        <x:f>IF(AND(D503="当前已婚",G503&lt;参数与口径!$E$6),"存量兼容Lv1",IF(G503&gt;=等级配置!$C$103,"Lv100溢出","正常"))</x:f>
        <x:v>#NAME?</x:v>
      </x:c>
      <x:c r="K503" s="20" t="str">
        <x:f t="shared" si="7"/>
      </x:c>
    </x:row>
    <x:row r="504" ht="17">
      <x:c r="A504" s="58" t="s">
        <x:v>2173</x:v>
      </x:c>
      <x:c r="B504" s="58" t="s">
        <x:v>2174</x:v>
      </x:c>
      <x:c r="C504" s="58" t="s">
        <x:v>2175</x:v>
      </x:c>
      <x:c r="D504" s="58" t="s">
        <x:v>1295</x:v>
      </x:c>
      <x:c r="E504" s="18" t="s">
        <x:v>2176</x:v>
      </x:c>
      <x:c r="F504" s="18" t="s">
        <x:v>2177</x:v>
      </x:c>
      <x:c r="G504" s="126">
        <x:v>11906</x:v>
      </x:c>
      <x:c r="H504" s="126" t="e">
        <x:f>IF(G504="","",IF(G504&lt;参数与口径!$E$6,1,MATCH(G504,等级配置!$C$4:$C$103,1)))</x:f>
        <x:v>#NAME?</x:v>
      </x:c>
      <x:c r="I504" s="58" t="e">
        <x:f>IF(H504="","",INDEX(等级配置!$B$4:$B$103,H504))</x:f>
        <x:v>#NAME?</x:v>
      </x:c>
      <x:c r="J504" s="58" t="e">
        <x:f>IF(AND(D504="当前已婚",G504&lt;参数与口径!$E$6),"存量兼容Lv1",IF(G504&gt;=等级配置!$C$103,"Lv100溢出","正常"))</x:f>
        <x:v>#NAME?</x:v>
      </x:c>
      <x:c r="K504" s="20" t="str">
        <x:f t="shared" si="7"/>
      </x:c>
    </x:row>
    <x:row r="505" ht="17">
      <x:c r="A505" s="58" t="s">
        <x:v>2178</x:v>
      </x:c>
      <x:c r="B505" s="58" t="s">
        <x:v>790</x:v>
      </x:c>
      <x:c r="C505" s="58" t="s">
        <x:v>2179</x:v>
      </x:c>
      <x:c r="D505" s="58" t="s">
        <x:v>1295</x:v>
      </x:c>
      <x:c r="E505" s="18" t="s">
        <x:v>2180</x:v>
      </x:c>
      <x:c r="F505" s="18" t="s">
        <x:v>2181</x:v>
      </x:c>
      <x:c r="G505" s="126">
        <x:v>11735</x:v>
      </x:c>
      <x:c r="H505" s="126" t="e">
        <x:f>IF(G505="","",IF(G505&lt;参数与口径!$E$6,1,MATCH(G505,等级配置!$C$4:$C$103,1)))</x:f>
        <x:v>#NAME?</x:v>
      </x:c>
      <x:c r="I505" s="58" t="e">
        <x:f>IF(H505="","",INDEX(等级配置!$B$4:$B$103,H505))</x:f>
        <x:v>#NAME?</x:v>
      </x:c>
      <x:c r="J505" s="58" t="e">
        <x:f>IF(AND(D505="当前已婚",G505&lt;参数与口径!$E$6),"存量兼容Lv1",IF(G505&gt;=等级配置!$C$103,"Lv100溢出","正常"))</x:f>
        <x:v>#NAME?</x:v>
      </x:c>
      <x:c r="K505" s="20" t="str">
        <x:f t="shared" si="7"/>
      </x:c>
    </x:row>
    <x:row r="506" ht="17">
      <x:c r="A506" s="58" t="s">
        <x:v>2182</x:v>
      </x:c>
      <x:c r="B506" s="58" t="s">
        <x:v>2183</x:v>
      </x:c>
      <x:c r="C506" s="58" t="s">
        <x:v>2184</x:v>
      </x:c>
      <x:c r="D506" s="58" t="s">
        <x:v>1295</x:v>
      </x:c>
      <x:c r="E506" s="18" t="s">
        <x:v>2185</x:v>
      </x:c>
      <x:c r="F506" s="18" t="s">
        <x:v>2186</x:v>
      </x:c>
      <x:c r="G506" s="126">
        <x:v>11616</x:v>
      </x:c>
      <x:c r="H506" s="126" t="e">
        <x:f>IF(G506="","",IF(G506&lt;参数与口径!$E$6,1,MATCH(G506,等级配置!$C$4:$C$103,1)))</x:f>
        <x:v>#NAME?</x:v>
      </x:c>
      <x:c r="I506" s="58" t="e">
        <x:f>IF(H506="","",INDEX(等级配置!$B$4:$B$103,H506))</x:f>
        <x:v>#NAME?</x:v>
      </x:c>
      <x:c r="J506" s="58" t="e">
        <x:f>IF(AND(D506="当前已婚",G506&lt;参数与口径!$E$6),"存量兼容Lv1",IF(G506&gt;=等级配置!$C$103,"Lv100溢出","正常"))</x:f>
        <x:v>#NAME?</x:v>
      </x:c>
      <x:c r="K506" s="20" t="str">
        <x:f t="shared" si="7"/>
      </x:c>
    </x:row>
    <x:row r="507" ht="17">
      <x:c r="A507" s="58" t="s">
        <x:v>2187</x:v>
      </x:c>
      <x:c r="B507" s="58" t="s">
        <x:v>2188</x:v>
      </x:c>
      <x:c r="C507" s="58" t="s">
        <x:v>241</x:v>
      </x:c>
      <x:c r="D507" s="58" t="s">
        <x:v>1295</x:v>
      </x:c>
      <x:c r="E507" s="18" t="s">
        <x:v>2189</x:v>
      </x:c>
      <x:c r="F507" s="18" t="s">
        <x:v>2190</x:v>
      </x:c>
      <x:c r="G507" s="126">
        <x:v>11380</x:v>
      </x:c>
      <x:c r="H507" s="126" t="e">
        <x:f>IF(G507="","",IF(G507&lt;参数与口径!$E$6,1,MATCH(G507,等级配置!$C$4:$C$103,1)))</x:f>
        <x:v>#NAME?</x:v>
      </x:c>
      <x:c r="I507" s="58" t="e">
        <x:f>IF(H507="","",INDEX(等级配置!$B$4:$B$103,H507))</x:f>
        <x:v>#NAME?</x:v>
      </x:c>
      <x:c r="J507" s="58" t="e">
        <x:f>IF(AND(D507="当前已婚",G507&lt;参数与口径!$E$6),"存量兼容Lv1",IF(G507&gt;=等级配置!$C$103,"Lv100溢出","正常"))</x:f>
        <x:v>#NAME?</x:v>
      </x:c>
      <x:c r="K507" s="20" t="str">
        <x:f t="shared" si="7"/>
      </x:c>
    </x:row>
    <x:row r="508" ht="17">
      <x:c r="A508" s="58" t="s">
        <x:v>2191</x:v>
      </x:c>
      <x:c r="B508" s="58" t="s">
        <x:v>2006</x:v>
      </x:c>
      <x:c r="C508" s="58" t="s">
        <x:v>2192</x:v>
      </x:c>
      <x:c r="D508" s="58" t="s">
        <x:v>1295</x:v>
      </x:c>
      <x:c r="E508" s="18" t="s">
        <x:v>2193</x:v>
      </x:c>
      <x:c r="F508" s="18" t="s">
        <x:v>2194</x:v>
      </x:c>
      <x:c r="G508" s="126">
        <x:v>11181</x:v>
      </x:c>
      <x:c r="H508" s="126" t="e">
        <x:f>IF(G508="","",IF(G508&lt;参数与口径!$E$6,1,MATCH(G508,等级配置!$C$4:$C$103,1)))</x:f>
        <x:v>#NAME?</x:v>
      </x:c>
      <x:c r="I508" s="58" t="e">
        <x:f>IF(H508="","",INDEX(等级配置!$B$4:$B$103,H508))</x:f>
        <x:v>#NAME?</x:v>
      </x:c>
      <x:c r="J508" s="58" t="e">
        <x:f>IF(AND(D508="当前已婚",G508&lt;参数与口径!$E$6),"存量兼容Lv1",IF(G508&gt;=等级配置!$C$103,"Lv100溢出","正常"))</x:f>
        <x:v>#NAME?</x:v>
      </x:c>
      <x:c r="K508" s="20" t="str">
        <x:f t="shared" si="7"/>
      </x:c>
    </x:row>
    <x:row r="509" ht="17">
      <x:c r="A509" s="58" t="s">
        <x:v>2195</x:v>
      </x:c>
      <x:c r="B509" s="58" t="s">
        <x:v>2196</x:v>
      </x:c>
      <x:c r="C509" s="58" t="s">
        <x:v>2197</x:v>
      </x:c>
      <x:c r="D509" s="58" t="s">
        <x:v>1295</x:v>
      </x:c>
      <x:c r="E509" s="18" t="s">
        <x:v>2198</x:v>
      </x:c>
      <x:c r="F509" s="18" t="s">
        <x:v>2199</x:v>
      </x:c>
      <x:c r="G509" s="126">
        <x:v>10884</x:v>
      </x:c>
      <x:c r="H509" s="126" t="e">
        <x:f>IF(G509="","",IF(G509&lt;参数与口径!$E$6,1,MATCH(G509,等级配置!$C$4:$C$103,1)))</x:f>
        <x:v>#NAME?</x:v>
      </x:c>
      <x:c r="I509" s="58" t="e">
        <x:f>IF(H509="","",INDEX(等级配置!$B$4:$B$103,H509))</x:f>
        <x:v>#NAME?</x:v>
      </x:c>
      <x:c r="J509" s="58" t="e">
        <x:f>IF(AND(D509="当前已婚",G509&lt;参数与口径!$E$6),"存量兼容Lv1",IF(G509&gt;=等级配置!$C$103,"Lv100溢出","正常"))</x:f>
        <x:v>#NAME?</x:v>
      </x:c>
      <x:c r="K509" s="20" t="str">
        <x:f t="shared" si="7"/>
      </x:c>
    </x:row>
    <x:row r="510" ht="17">
      <x:c r="A510" s="58" t="s">
        <x:v>2200</x:v>
      </x:c>
      <x:c r="B510" s="58" t="s">
        <x:v>2201</x:v>
      </x:c>
      <x:c r="C510" s="58" t="s">
        <x:v>2202</x:v>
      </x:c>
      <x:c r="D510" s="58" t="s">
        <x:v>1295</x:v>
      </x:c>
      <x:c r="E510" s="18" t="s">
        <x:v>2203</x:v>
      </x:c>
      <x:c r="F510" s="18" t="s">
        <x:v>2204</x:v>
      </x:c>
      <x:c r="G510" s="126">
        <x:v>10824</x:v>
      </x:c>
      <x:c r="H510" s="126" t="e">
        <x:f>IF(G510="","",IF(G510&lt;参数与口径!$E$6,1,MATCH(G510,等级配置!$C$4:$C$103,1)))</x:f>
        <x:v>#NAME?</x:v>
      </x:c>
      <x:c r="I510" s="58" t="e">
        <x:f>IF(H510="","",INDEX(等级配置!$B$4:$B$103,H510))</x:f>
        <x:v>#NAME?</x:v>
      </x:c>
      <x:c r="J510" s="58" t="e">
        <x:f>IF(AND(D510="当前已婚",G510&lt;参数与口径!$E$6),"存量兼容Lv1",IF(G510&gt;=等级配置!$C$103,"Lv100溢出","正常"))</x:f>
        <x:v>#NAME?</x:v>
      </x:c>
      <x:c r="K510" s="20" t="str">
        <x:f t="shared" si="7"/>
      </x:c>
    </x:row>
    <x:row r="511" ht="17">
      <x:c r="A511" s="58" t="s">
        <x:v>2205</x:v>
      </x:c>
      <x:c r="B511" s="58" t="s">
        <x:v>2206</x:v>
      </x:c>
      <x:c r="C511" s="58" t="s">
        <x:v>2207</x:v>
      </x:c>
      <x:c r="D511" s="58" t="s">
        <x:v>1295</x:v>
      </x:c>
      <x:c r="E511" s="18" t="s">
        <x:v>2208</x:v>
      </x:c>
      <x:c r="F511" s="18" t="s">
        <x:v>2209</x:v>
      </x:c>
      <x:c r="G511" s="126">
        <x:v>10595</x:v>
      </x:c>
      <x:c r="H511" s="126" t="e">
        <x:f>IF(G511="","",IF(G511&lt;参数与口径!$E$6,1,MATCH(G511,等级配置!$C$4:$C$103,1)))</x:f>
        <x:v>#NAME?</x:v>
      </x:c>
      <x:c r="I511" s="58" t="e">
        <x:f>IF(H511="","",INDEX(等级配置!$B$4:$B$103,H511))</x:f>
        <x:v>#NAME?</x:v>
      </x:c>
      <x:c r="J511" s="58" t="e">
        <x:f>IF(AND(D511="当前已婚",G511&lt;参数与口径!$E$6),"存量兼容Lv1",IF(G511&gt;=等级配置!$C$103,"Lv100溢出","正常"))</x:f>
        <x:v>#NAME?</x:v>
      </x:c>
      <x:c r="K511" s="20" t="str">
        <x:f t="shared" si="7"/>
      </x:c>
    </x:row>
    <x:row r="512" ht="17">
      <x:c r="A512" s="58" t="s">
        <x:v>2210</x:v>
      </x:c>
      <x:c r="B512" s="58" t="s">
        <x:v>686</x:v>
      </x:c>
      <x:c r="C512" s="58" t="s">
        <x:v>2211</x:v>
      </x:c>
      <x:c r="D512" s="58" t="s">
        <x:v>1295</x:v>
      </x:c>
      <x:c r="E512" s="18" t="s">
        <x:v>2212</x:v>
      </x:c>
      <x:c r="F512" s="18" t="s">
        <x:v>2213</x:v>
      </x:c>
      <x:c r="G512" s="126">
        <x:v>10524</x:v>
      </x:c>
      <x:c r="H512" s="126" t="e">
        <x:f>IF(G512="","",IF(G512&lt;参数与口径!$E$6,1,MATCH(G512,等级配置!$C$4:$C$103,1)))</x:f>
        <x:v>#NAME?</x:v>
      </x:c>
      <x:c r="I512" s="58" t="e">
        <x:f>IF(H512="","",INDEX(等级配置!$B$4:$B$103,H512))</x:f>
        <x:v>#NAME?</x:v>
      </x:c>
      <x:c r="J512" s="58" t="e">
        <x:f>IF(AND(D512="当前已婚",G512&lt;参数与口径!$E$6),"存量兼容Lv1",IF(G512&gt;=等级配置!$C$103,"Lv100溢出","正常"))</x:f>
        <x:v>#NAME?</x:v>
      </x:c>
      <x:c r="K512" s="20" t="str">
        <x:f t="shared" si="7"/>
      </x:c>
    </x:row>
    <x:row r="513" ht="17">
      <x:c r="A513" s="58" t="s">
        <x:v>2214</x:v>
      </x:c>
      <x:c r="B513" s="58" t="s">
        <x:v>2215</x:v>
      </x:c>
      <x:c r="C513" s="58" t="s">
        <x:v>2216</x:v>
      </x:c>
      <x:c r="D513" s="58" t="s">
        <x:v>1295</x:v>
      </x:c>
      <x:c r="E513" s="18" t="s">
        <x:v>2217</x:v>
      </x:c>
      <x:c r="F513" s="18" t="s">
        <x:v>2218</x:v>
      </x:c>
      <x:c r="G513" s="126">
        <x:v>10487</x:v>
      </x:c>
      <x:c r="H513" s="126" t="e">
        <x:f>IF(G513="","",IF(G513&lt;参数与口径!$E$6,1,MATCH(G513,等级配置!$C$4:$C$103,1)))</x:f>
        <x:v>#NAME?</x:v>
      </x:c>
      <x:c r="I513" s="58" t="e">
        <x:f>IF(H513="","",INDEX(等级配置!$B$4:$B$103,H513))</x:f>
        <x:v>#NAME?</x:v>
      </x:c>
      <x:c r="J513" s="58" t="e">
        <x:f>IF(AND(D513="当前已婚",G513&lt;参数与口径!$E$6),"存量兼容Lv1",IF(G513&gt;=等级配置!$C$103,"Lv100溢出","正常"))</x:f>
        <x:v>#NAME?</x:v>
      </x:c>
      <x:c r="K513" s="20" t="str">
        <x:f t="shared" si="7"/>
      </x:c>
    </x:row>
    <x:row r="514" ht="17">
      <x:c r="A514" s="58" t="s">
        <x:v>2219</x:v>
      </x:c>
      <x:c r="B514" s="58" t="s">
        <x:v>2220</x:v>
      </x:c>
      <x:c r="C514" s="58" t="s">
        <x:v>2221</x:v>
      </x:c>
      <x:c r="D514" s="58" t="s">
        <x:v>1295</x:v>
      </x:c>
      <x:c r="E514" s="18" t="s">
        <x:v>2222</x:v>
      </x:c>
      <x:c r="F514" s="18" t="s">
        <x:v>2223</x:v>
      </x:c>
      <x:c r="G514" s="126">
        <x:v>10329</x:v>
      </x:c>
      <x:c r="H514" s="126" t="e">
        <x:f>IF(G514="","",IF(G514&lt;参数与口径!$E$6,1,MATCH(G514,等级配置!$C$4:$C$103,1)))</x:f>
        <x:v>#NAME?</x:v>
      </x:c>
      <x:c r="I514" s="58" t="e">
        <x:f>IF(H514="","",INDEX(等级配置!$B$4:$B$103,H514))</x:f>
        <x:v>#NAME?</x:v>
      </x:c>
      <x:c r="J514" s="58" t="e">
        <x:f>IF(AND(D514="当前已婚",G514&lt;参数与口径!$E$6),"存量兼容Lv1",IF(G514&gt;=等级配置!$C$103,"Lv100溢出","正常"))</x:f>
        <x:v>#NAME?</x:v>
      </x:c>
      <x:c r="K514" s="20" t="str">
        <x:f t="shared" ref="K514:K577" si="8">IF(AND(D514="当前已婚",F514&lt;&gt;""),"当前已婚但存在离婚日期",IF(AND(D514="当前已婚",G514=0),"当前CP亲密值为0",""))</x:f>
      </x:c>
    </x:row>
    <x:row r="515" ht="17">
      <x:c r="A515" s="58" t="s">
        <x:v>2224</x:v>
      </x:c>
      <x:c r="B515" s="58" t="s">
        <x:v>846</x:v>
      </x:c>
      <x:c r="C515" s="58" t="s">
        <x:v>2225</x:v>
      </x:c>
      <x:c r="D515" s="58" t="s">
        <x:v>1295</x:v>
      </x:c>
      <x:c r="E515" s="18" t="s">
        <x:v>2226</x:v>
      </x:c>
      <x:c r="F515" s="18" t="s">
        <x:v>2227</x:v>
      </x:c>
      <x:c r="G515" s="126">
        <x:v>10236</x:v>
      </x:c>
      <x:c r="H515" s="126" t="e">
        <x:f>IF(G515="","",IF(G515&lt;参数与口径!$E$6,1,MATCH(G515,等级配置!$C$4:$C$103,1)))</x:f>
        <x:v>#NAME?</x:v>
      </x:c>
      <x:c r="I515" s="58" t="e">
        <x:f>IF(H515="","",INDEX(等级配置!$B$4:$B$103,H515))</x:f>
        <x:v>#NAME?</x:v>
      </x:c>
      <x:c r="J515" s="58" t="e">
        <x:f>IF(AND(D515="当前已婚",G515&lt;参数与口径!$E$6),"存量兼容Lv1",IF(G515&gt;=等级配置!$C$103,"Lv100溢出","正常"))</x:f>
        <x:v>#NAME?</x:v>
      </x:c>
      <x:c r="K515" s="20" t="str">
        <x:f t="shared" si="8"/>
      </x:c>
    </x:row>
    <x:row r="516" ht="17">
      <x:c r="A516" s="58" t="s">
        <x:v>2228</x:v>
      </x:c>
      <x:c r="B516" s="58" t="s">
        <x:v>2229</x:v>
      </x:c>
      <x:c r="C516" s="58" t="s">
        <x:v>2230</x:v>
      </x:c>
      <x:c r="D516" s="58" t="s">
        <x:v>1295</x:v>
      </x:c>
      <x:c r="E516" s="18" t="s">
        <x:v>2231</x:v>
      </x:c>
      <x:c r="F516" s="18" t="s">
        <x:v>2232</x:v>
      </x:c>
      <x:c r="G516" s="126">
        <x:v>10137</x:v>
      </x:c>
      <x:c r="H516" s="126" t="e">
        <x:f>IF(G516="","",IF(G516&lt;参数与口径!$E$6,1,MATCH(G516,等级配置!$C$4:$C$103,1)))</x:f>
        <x:v>#NAME?</x:v>
      </x:c>
      <x:c r="I516" s="58" t="e">
        <x:f>IF(H516="","",INDEX(等级配置!$B$4:$B$103,H516))</x:f>
        <x:v>#NAME?</x:v>
      </x:c>
      <x:c r="J516" s="58" t="e">
        <x:f>IF(AND(D516="当前已婚",G516&lt;参数与口径!$E$6),"存量兼容Lv1",IF(G516&gt;=等级配置!$C$103,"Lv100溢出","正常"))</x:f>
        <x:v>#NAME?</x:v>
      </x:c>
      <x:c r="K516" s="20" t="str">
        <x:f t="shared" si="8"/>
      </x:c>
    </x:row>
    <x:row r="517" ht="17">
      <x:c r="A517" s="58" t="s">
        <x:v>2233</x:v>
      </x:c>
      <x:c r="B517" s="58" t="s">
        <x:v>2234</x:v>
      </x:c>
      <x:c r="C517" s="58" t="s">
        <x:v>2235</x:v>
      </x:c>
      <x:c r="D517" s="58" t="s">
        <x:v>1295</x:v>
      </x:c>
      <x:c r="E517" s="18" t="s">
        <x:v>2236</x:v>
      </x:c>
      <x:c r="F517" s="18" t="s">
        <x:v>2237</x:v>
      </x:c>
      <x:c r="G517" s="126">
        <x:v>10133</x:v>
      </x:c>
      <x:c r="H517" s="126" t="e">
        <x:f>IF(G517="","",IF(G517&lt;参数与口径!$E$6,1,MATCH(G517,等级配置!$C$4:$C$103,1)))</x:f>
        <x:v>#NAME?</x:v>
      </x:c>
      <x:c r="I517" s="58" t="e">
        <x:f>IF(H517="","",INDEX(等级配置!$B$4:$B$103,H517))</x:f>
        <x:v>#NAME?</x:v>
      </x:c>
      <x:c r="J517" s="58" t="e">
        <x:f>IF(AND(D517="当前已婚",G517&lt;参数与口径!$E$6),"存量兼容Lv1",IF(G517&gt;=等级配置!$C$103,"Lv100溢出","正常"))</x:f>
        <x:v>#NAME?</x:v>
      </x:c>
      <x:c r="K517" s="20" t="str">
        <x:f t="shared" si="8"/>
      </x:c>
    </x:row>
    <x:row r="518" ht="17">
      <x:c r="A518" s="58" t="s">
        <x:v>2238</x:v>
      </x:c>
      <x:c r="B518" s="58" t="s">
        <x:v>1565</x:v>
      </x:c>
      <x:c r="C518" s="58" t="s">
        <x:v>2239</x:v>
      </x:c>
      <x:c r="D518" s="58" t="s">
        <x:v>1295</x:v>
      </x:c>
      <x:c r="E518" s="18" t="s">
        <x:v>2240</x:v>
      </x:c>
      <x:c r="F518" s="18" t="s">
        <x:v>2241</x:v>
      </x:c>
      <x:c r="G518" s="126">
        <x:v>10035</x:v>
      </x:c>
      <x:c r="H518" s="126" t="e">
        <x:f>IF(G518="","",IF(G518&lt;参数与口径!$E$6,1,MATCH(G518,等级配置!$C$4:$C$103,1)))</x:f>
        <x:v>#NAME?</x:v>
      </x:c>
      <x:c r="I518" s="58" t="e">
        <x:f>IF(H518="","",INDEX(等级配置!$B$4:$B$103,H518))</x:f>
        <x:v>#NAME?</x:v>
      </x:c>
      <x:c r="J518" s="58" t="e">
        <x:f>IF(AND(D518="当前已婚",G518&lt;参数与口径!$E$6),"存量兼容Lv1",IF(G518&gt;=等级配置!$C$103,"Lv100溢出","正常"))</x:f>
        <x:v>#NAME?</x:v>
      </x:c>
      <x:c r="K518" s="20" t="str">
        <x:f t="shared" si="8"/>
      </x:c>
    </x:row>
    <x:row r="519" ht="17">
      <x:c r="A519" s="58" t="s">
        <x:v>2242</x:v>
      </x:c>
      <x:c r="B519" s="58" t="s">
        <x:v>2243</x:v>
      </x:c>
      <x:c r="C519" s="58" t="s">
        <x:v>2244</x:v>
      </x:c>
      <x:c r="D519" s="58" t="s">
        <x:v>1295</x:v>
      </x:c>
      <x:c r="E519" s="18" t="s">
        <x:v>2245</x:v>
      </x:c>
      <x:c r="F519" s="18" t="s">
        <x:v>2246</x:v>
      </x:c>
      <x:c r="G519" s="126">
        <x:v>9915</x:v>
      </x:c>
      <x:c r="H519" s="126" t="e">
        <x:f>IF(G519="","",IF(G519&lt;参数与口径!$E$6,1,MATCH(G519,等级配置!$C$4:$C$103,1)))</x:f>
        <x:v>#NAME?</x:v>
      </x:c>
      <x:c r="I519" s="58" t="e">
        <x:f>IF(H519="","",INDEX(等级配置!$B$4:$B$103,H519))</x:f>
        <x:v>#NAME?</x:v>
      </x:c>
      <x:c r="J519" s="58" t="e">
        <x:f>IF(AND(D519="当前已婚",G519&lt;参数与口径!$E$6),"存量兼容Lv1",IF(G519&gt;=等级配置!$C$103,"Lv100溢出","正常"))</x:f>
        <x:v>#NAME?</x:v>
      </x:c>
      <x:c r="K519" s="20" t="str">
        <x:f t="shared" si="8"/>
      </x:c>
    </x:row>
    <x:row r="520" ht="17">
      <x:c r="A520" s="58" t="s">
        <x:v>2247</x:v>
      </x:c>
      <x:c r="B520" s="58" t="s">
        <x:v>2248</x:v>
      </x:c>
      <x:c r="C520" s="58" t="s">
        <x:v>2249</x:v>
      </x:c>
      <x:c r="D520" s="58" t="s">
        <x:v>1295</x:v>
      </x:c>
      <x:c r="E520" s="18" t="s">
        <x:v>2250</x:v>
      </x:c>
      <x:c r="F520" s="18" t="s">
        <x:v>2251</x:v>
      </x:c>
      <x:c r="G520" s="126">
        <x:v>9867</x:v>
      </x:c>
      <x:c r="H520" s="126" t="e">
        <x:f>IF(G520="","",IF(G520&lt;参数与口径!$E$6,1,MATCH(G520,等级配置!$C$4:$C$103,1)))</x:f>
        <x:v>#NAME?</x:v>
      </x:c>
      <x:c r="I520" s="58" t="e">
        <x:f>IF(H520="","",INDEX(等级配置!$B$4:$B$103,H520))</x:f>
        <x:v>#NAME?</x:v>
      </x:c>
      <x:c r="J520" s="58" t="e">
        <x:f>IF(AND(D520="当前已婚",G520&lt;参数与口径!$E$6),"存量兼容Lv1",IF(G520&gt;=等级配置!$C$103,"Lv100溢出","正常"))</x:f>
        <x:v>#NAME?</x:v>
      </x:c>
      <x:c r="K520" s="20" t="str">
        <x:f t="shared" si="8"/>
      </x:c>
    </x:row>
    <x:row r="521" ht="17">
      <x:c r="A521" s="58" t="s">
        <x:v>2252</x:v>
      </x:c>
      <x:c r="B521" s="58" t="s">
        <x:v>2253</x:v>
      </x:c>
      <x:c r="C521" s="58" t="s">
        <x:v>2254</x:v>
      </x:c>
      <x:c r="D521" s="58" t="s">
        <x:v>1295</x:v>
      </x:c>
      <x:c r="E521" s="18" t="s">
        <x:v>2255</x:v>
      </x:c>
      <x:c r="F521" s="18" t="s">
        <x:v>2256</x:v>
      </x:c>
      <x:c r="G521" s="126">
        <x:v>9448</x:v>
      </x:c>
      <x:c r="H521" s="126" t="e">
        <x:f>IF(G521="","",IF(G521&lt;参数与口径!$E$6,1,MATCH(G521,等级配置!$C$4:$C$103,1)))</x:f>
        <x:v>#NAME?</x:v>
      </x:c>
      <x:c r="I521" s="58" t="e">
        <x:f>IF(H521="","",INDEX(等级配置!$B$4:$B$103,H521))</x:f>
        <x:v>#NAME?</x:v>
      </x:c>
      <x:c r="J521" s="58" t="e">
        <x:f>IF(AND(D521="当前已婚",G521&lt;参数与口径!$E$6),"存量兼容Lv1",IF(G521&gt;=等级配置!$C$103,"Lv100溢出","正常"))</x:f>
        <x:v>#NAME?</x:v>
      </x:c>
      <x:c r="K521" s="20" t="str">
        <x:f t="shared" si="8"/>
      </x:c>
    </x:row>
    <x:row r="522" ht="17">
      <x:c r="A522" s="58" t="s">
        <x:v>2257</x:v>
      </x:c>
      <x:c r="B522" s="58" t="s">
        <x:v>2258</x:v>
      </x:c>
      <x:c r="C522" s="58" t="s">
        <x:v>2259</x:v>
      </x:c>
      <x:c r="D522" s="58" t="s">
        <x:v>1295</x:v>
      </x:c>
      <x:c r="E522" s="18" t="s">
        <x:v>2260</x:v>
      </x:c>
      <x:c r="F522" s="18" t="s">
        <x:v>2261</x:v>
      </x:c>
      <x:c r="G522" s="126">
        <x:v>9444</x:v>
      </x:c>
      <x:c r="H522" s="126" t="e">
        <x:f>IF(G522="","",IF(G522&lt;参数与口径!$E$6,1,MATCH(G522,等级配置!$C$4:$C$103,1)))</x:f>
        <x:v>#NAME?</x:v>
      </x:c>
      <x:c r="I522" s="58" t="e">
        <x:f>IF(H522="","",INDEX(等级配置!$B$4:$B$103,H522))</x:f>
        <x:v>#NAME?</x:v>
      </x:c>
      <x:c r="J522" s="58" t="e">
        <x:f>IF(AND(D522="当前已婚",G522&lt;参数与口径!$E$6),"存量兼容Lv1",IF(G522&gt;=等级配置!$C$103,"Lv100溢出","正常"))</x:f>
        <x:v>#NAME?</x:v>
      </x:c>
      <x:c r="K522" s="20" t="str">
        <x:f t="shared" si="8"/>
      </x:c>
    </x:row>
    <x:row r="523" ht="17">
      <x:c r="A523" s="58" t="s">
        <x:v>2262</x:v>
      </x:c>
      <x:c r="B523" s="58" t="s">
        <x:v>2263</x:v>
      </x:c>
      <x:c r="C523" s="58" t="s">
        <x:v>2264</x:v>
      </x:c>
      <x:c r="D523" s="58" t="s">
        <x:v>1295</x:v>
      </x:c>
      <x:c r="E523" s="18" t="s">
        <x:v>2265</x:v>
      </x:c>
      <x:c r="F523" s="18" t="s">
        <x:v>2266</x:v>
      </x:c>
      <x:c r="G523" s="126">
        <x:v>9407</x:v>
      </x:c>
      <x:c r="H523" s="126" t="e">
        <x:f>IF(G523="","",IF(G523&lt;参数与口径!$E$6,1,MATCH(G523,等级配置!$C$4:$C$103,1)))</x:f>
        <x:v>#NAME?</x:v>
      </x:c>
      <x:c r="I523" s="58" t="e">
        <x:f>IF(H523="","",INDEX(等级配置!$B$4:$B$103,H523))</x:f>
        <x:v>#NAME?</x:v>
      </x:c>
      <x:c r="J523" s="58" t="e">
        <x:f>IF(AND(D523="当前已婚",G523&lt;参数与口径!$E$6),"存量兼容Lv1",IF(G523&gt;=等级配置!$C$103,"Lv100溢出","正常"))</x:f>
        <x:v>#NAME?</x:v>
      </x:c>
      <x:c r="K523" s="20" t="str">
        <x:f t="shared" si="8"/>
      </x:c>
    </x:row>
    <x:row r="524" ht="17">
      <x:c r="A524" s="58" t="s">
        <x:v>2267</x:v>
      </x:c>
      <x:c r="B524" s="58" t="s">
        <x:v>2268</x:v>
      </x:c>
      <x:c r="C524" s="58" t="s">
        <x:v>2269</x:v>
      </x:c>
      <x:c r="D524" s="58" t="s">
        <x:v>1295</x:v>
      </x:c>
      <x:c r="E524" s="18" t="s">
        <x:v>2270</x:v>
      </x:c>
      <x:c r="F524" s="18" t="s">
        <x:v>2271</x:v>
      </x:c>
      <x:c r="G524" s="126">
        <x:v>9214</x:v>
      </x:c>
      <x:c r="H524" s="126" t="e">
        <x:f>IF(G524="","",IF(G524&lt;参数与口径!$E$6,1,MATCH(G524,等级配置!$C$4:$C$103,1)))</x:f>
        <x:v>#NAME?</x:v>
      </x:c>
      <x:c r="I524" s="58" t="e">
        <x:f>IF(H524="","",INDEX(等级配置!$B$4:$B$103,H524))</x:f>
        <x:v>#NAME?</x:v>
      </x:c>
      <x:c r="J524" s="58" t="e">
        <x:f>IF(AND(D524="当前已婚",G524&lt;参数与口径!$E$6),"存量兼容Lv1",IF(G524&gt;=等级配置!$C$103,"Lv100溢出","正常"))</x:f>
        <x:v>#NAME?</x:v>
      </x:c>
      <x:c r="K524" s="20" t="str">
        <x:f t="shared" si="8"/>
      </x:c>
    </x:row>
    <x:row r="525" ht="17">
      <x:c r="A525" s="58" t="s">
        <x:v>2272</x:v>
      </x:c>
      <x:c r="B525" s="58" t="s">
        <x:v>2273</x:v>
      </x:c>
      <x:c r="C525" s="58" t="s">
        <x:v>751</x:v>
      </x:c>
      <x:c r="D525" s="58" t="s">
        <x:v>1295</x:v>
      </x:c>
      <x:c r="E525" s="18" t="s">
        <x:v>2274</x:v>
      </x:c>
      <x:c r="F525" s="18" t="s">
        <x:v>2275</x:v>
      </x:c>
      <x:c r="G525" s="126">
        <x:v>9181</x:v>
      </x:c>
      <x:c r="H525" s="126" t="e">
        <x:f>IF(G525="","",IF(G525&lt;参数与口径!$E$6,1,MATCH(G525,等级配置!$C$4:$C$103,1)))</x:f>
        <x:v>#NAME?</x:v>
      </x:c>
      <x:c r="I525" s="58" t="e">
        <x:f>IF(H525="","",INDEX(等级配置!$B$4:$B$103,H525))</x:f>
        <x:v>#NAME?</x:v>
      </x:c>
      <x:c r="J525" s="58" t="e">
        <x:f>IF(AND(D525="当前已婚",G525&lt;参数与口径!$E$6),"存量兼容Lv1",IF(G525&gt;=等级配置!$C$103,"Lv100溢出","正常"))</x:f>
        <x:v>#NAME?</x:v>
      </x:c>
      <x:c r="K525" s="20" t="str">
        <x:f t="shared" si="8"/>
      </x:c>
    </x:row>
    <x:row r="526" ht="17">
      <x:c r="A526" s="58" t="s">
        <x:v>2276</x:v>
      </x:c>
      <x:c r="B526" s="58" t="s">
        <x:v>2277</x:v>
      </x:c>
      <x:c r="C526" s="58" t="s">
        <x:v>2278</x:v>
      </x:c>
      <x:c r="D526" s="58" t="s">
        <x:v>1295</x:v>
      </x:c>
      <x:c r="E526" s="18" t="s">
        <x:v>2279</x:v>
      </x:c>
      <x:c r="F526" s="18" t="s">
        <x:v>2280</x:v>
      </x:c>
      <x:c r="G526" s="126">
        <x:v>9150</x:v>
      </x:c>
      <x:c r="H526" s="126" t="e">
        <x:f>IF(G526="","",IF(G526&lt;参数与口径!$E$6,1,MATCH(G526,等级配置!$C$4:$C$103,1)))</x:f>
        <x:v>#NAME?</x:v>
      </x:c>
      <x:c r="I526" s="58" t="e">
        <x:f>IF(H526="","",INDEX(等级配置!$B$4:$B$103,H526))</x:f>
        <x:v>#NAME?</x:v>
      </x:c>
      <x:c r="J526" s="58" t="e">
        <x:f>IF(AND(D526="当前已婚",G526&lt;参数与口径!$E$6),"存量兼容Lv1",IF(G526&gt;=等级配置!$C$103,"Lv100溢出","正常"))</x:f>
        <x:v>#NAME?</x:v>
      </x:c>
      <x:c r="K526" s="20" t="str">
        <x:f t="shared" si="8"/>
      </x:c>
    </x:row>
    <x:row r="527" ht="17">
      <x:c r="A527" s="58" t="s">
        <x:v>2281</x:v>
      </x:c>
      <x:c r="B527" s="58" t="s">
        <x:v>2282</x:v>
      </x:c>
      <x:c r="C527" s="58" t="s">
        <x:v>732</x:v>
      </x:c>
      <x:c r="D527" s="58" t="s">
        <x:v>1295</x:v>
      </x:c>
      <x:c r="E527" s="18" t="s">
        <x:v>2283</x:v>
      </x:c>
      <x:c r="F527" s="18" t="s">
        <x:v>2284</x:v>
      </x:c>
      <x:c r="G527" s="126">
        <x:v>8998</x:v>
      </x:c>
      <x:c r="H527" s="126" t="e">
        <x:f>IF(G527="","",IF(G527&lt;参数与口径!$E$6,1,MATCH(G527,等级配置!$C$4:$C$103,1)))</x:f>
        <x:v>#NAME?</x:v>
      </x:c>
      <x:c r="I527" s="58" t="e">
        <x:f>IF(H527="","",INDEX(等级配置!$B$4:$B$103,H527))</x:f>
        <x:v>#NAME?</x:v>
      </x:c>
      <x:c r="J527" s="58" t="e">
        <x:f>IF(AND(D527="当前已婚",G527&lt;参数与口径!$E$6),"存量兼容Lv1",IF(G527&gt;=等级配置!$C$103,"Lv100溢出","正常"))</x:f>
        <x:v>#NAME?</x:v>
      </x:c>
      <x:c r="K527" s="20" t="str">
        <x:f t="shared" si="8"/>
      </x:c>
    </x:row>
    <x:row r="528" ht="17">
      <x:c r="A528" s="58" t="s">
        <x:v>2285</x:v>
      </x:c>
      <x:c r="B528" s="58" t="s">
        <x:v>2286</x:v>
      </x:c>
      <x:c r="C528" s="58" t="s">
        <x:v>2287</x:v>
      </x:c>
      <x:c r="D528" s="58" t="s">
        <x:v>1295</x:v>
      </x:c>
      <x:c r="E528" s="18" t="s">
        <x:v>2288</x:v>
      </x:c>
      <x:c r="F528" s="18" t="s">
        <x:v>2289</x:v>
      </x:c>
      <x:c r="G528" s="126">
        <x:v>8964</x:v>
      </x:c>
      <x:c r="H528" s="126" t="e">
        <x:f>IF(G528="","",IF(G528&lt;参数与口径!$E$6,1,MATCH(G528,等级配置!$C$4:$C$103,1)))</x:f>
        <x:v>#NAME?</x:v>
      </x:c>
      <x:c r="I528" s="58" t="e">
        <x:f>IF(H528="","",INDEX(等级配置!$B$4:$B$103,H528))</x:f>
        <x:v>#NAME?</x:v>
      </x:c>
      <x:c r="J528" s="58" t="e">
        <x:f>IF(AND(D528="当前已婚",G528&lt;参数与口径!$E$6),"存量兼容Lv1",IF(G528&gt;=等级配置!$C$103,"Lv100溢出","正常"))</x:f>
        <x:v>#NAME?</x:v>
      </x:c>
      <x:c r="K528" s="20" t="str">
        <x:f t="shared" si="8"/>
      </x:c>
    </x:row>
    <x:row r="529" ht="17">
      <x:c r="A529" s="58" t="s">
        <x:v>2290</x:v>
      </x:c>
      <x:c r="B529" s="58" t="s">
        <x:v>2291</x:v>
      </x:c>
      <x:c r="C529" s="58" t="s">
        <x:v>2292</x:v>
      </x:c>
      <x:c r="D529" s="58" t="s">
        <x:v>1295</x:v>
      </x:c>
      <x:c r="E529" s="18" t="s">
        <x:v>2293</x:v>
      </x:c>
      <x:c r="F529" s="18" t="s">
        <x:v>2294</x:v>
      </x:c>
      <x:c r="G529" s="126">
        <x:v>8765</x:v>
      </x:c>
      <x:c r="H529" s="126" t="e">
        <x:f>IF(G529="","",IF(G529&lt;参数与口径!$E$6,1,MATCH(G529,等级配置!$C$4:$C$103,1)))</x:f>
        <x:v>#NAME?</x:v>
      </x:c>
      <x:c r="I529" s="58" t="e">
        <x:f>IF(H529="","",INDEX(等级配置!$B$4:$B$103,H529))</x:f>
        <x:v>#NAME?</x:v>
      </x:c>
      <x:c r="J529" s="58" t="e">
        <x:f>IF(AND(D529="当前已婚",G529&lt;参数与口径!$E$6),"存量兼容Lv1",IF(G529&gt;=等级配置!$C$103,"Lv100溢出","正常"))</x:f>
        <x:v>#NAME?</x:v>
      </x:c>
      <x:c r="K529" s="20" t="str">
        <x:f t="shared" si="8"/>
      </x:c>
    </x:row>
    <x:row r="530" ht="17">
      <x:c r="A530" s="58" t="s">
        <x:v>2295</x:v>
      </x:c>
      <x:c r="B530" s="58" t="s">
        <x:v>2296</x:v>
      </x:c>
      <x:c r="C530" s="58" t="s">
        <x:v>2297</x:v>
      </x:c>
      <x:c r="D530" s="58" t="s">
        <x:v>1295</x:v>
      </x:c>
      <x:c r="E530" s="18" t="s">
        <x:v>2298</x:v>
      </x:c>
      <x:c r="F530" s="18" t="s">
        <x:v>2299</x:v>
      </x:c>
      <x:c r="G530" s="126">
        <x:v>8477</x:v>
      </x:c>
      <x:c r="H530" s="126" t="e">
        <x:f>IF(G530="","",IF(G530&lt;参数与口径!$E$6,1,MATCH(G530,等级配置!$C$4:$C$103,1)))</x:f>
        <x:v>#NAME?</x:v>
      </x:c>
      <x:c r="I530" s="58" t="e">
        <x:f>IF(H530="","",INDEX(等级配置!$B$4:$B$103,H530))</x:f>
        <x:v>#NAME?</x:v>
      </x:c>
      <x:c r="J530" s="58" t="e">
        <x:f>IF(AND(D530="当前已婚",G530&lt;参数与口径!$E$6),"存量兼容Lv1",IF(G530&gt;=等级配置!$C$103,"Lv100溢出","正常"))</x:f>
        <x:v>#NAME?</x:v>
      </x:c>
      <x:c r="K530" s="20" t="str">
        <x:f t="shared" si="8"/>
      </x:c>
    </x:row>
    <x:row r="531" ht="17">
      <x:c r="A531" s="58" t="s">
        <x:v>2300</x:v>
      </x:c>
      <x:c r="B531" s="58" t="s">
        <x:v>1923</x:v>
      </x:c>
      <x:c r="C531" s="58" t="s">
        <x:v>2301</x:v>
      </x:c>
      <x:c r="D531" s="58" t="s">
        <x:v>1295</x:v>
      </x:c>
      <x:c r="E531" s="18" t="s">
        <x:v>2302</x:v>
      </x:c>
      <x:c r="F531" s="18" t="s">
        <x:v>2303</x:v>
      </x:c>
      <x:c r="G531" s="126">
        <x:v>8331</x:v>
      </x:c>
      <x:c r="H531" s="126" t="e">
        <x:f>IF(G531="","",IF(G531&lt;参数与口径!$E$6,1,MATCH(G531,等级配置!$C$4:$C$103,1)))</x:f>
        <x:v>#NAME?</x:v>
      </x:c>
      <x:c r="I531" s="58" t="e">
        <x:f>IF(H531="","",INDEX(等级配置!$B$4:$B$103,H531))</x:f>
        <x:v>#NAME?</x:v>
      </x:c>
      <x:c r="J531" s="58" t="e">
        <x:f>IF(AND(D531="当前已婚",G531&lt;参数与口径!$E$6),"存量兼容Lv1",IF(G531&gt;=等级配置!$C$103,"Lv100溢出","正常"))</x:f>
        <x:v>#NAME?</x:v>
      </x:c>
      <x:c r="K531" s="20" t="str">
        <x:f t="shared" si="8"/>
      </x:c>
    </x:row>
    <x:row r="532" ht="17">
      <x:c r="A532" s="58" t="s">
        <x:v>2304</x:v>
      </x:c>
      <x:c r="B532" s="58" t="s">
        <x:v>1860</x:v>
      </x:c>
      <x:c r="C532" s="58" t="s">
        <x:v>2305</x:v>
      </x:c>
      <x:c r="D532" s="58" t="s">
        <x:v>1295</x:v>
      </x:c>
      <x:c r="E532" s="18" t="s">
        <x:v>2306</x:v>
      </x:c>
      <x:c r="F532" s="18" t="s">
        <x:v>2307</x:v>
      </x:c>
      <x:c r="G532" s="126">
        <x:v>8127</x:v>
      </x:c>
      <x:c r="H532" s="126" t="e">
        <x:f>IF(G532="","",IF(G532&lt;参数与口径!$E$6,1,MATCH(G532,等级配置!$C$4:$C$103,1)))</x:f>
        <x:v>#NAME?</x:v>
      </x:c>
      <x:c r="I532" s="58" t="e">
        <x:f>IF(H532="","",INDEX(等级配置!$B$4:$B$103,H532))</x:f>
        <x:v>#NAME?</x:v>
      </x:c>
      <x:c r="J532" s="58" t="e">
        <x:f>IF(AND(D532="当前已婚",G532&lt;参数与口径!$E$6),"存量兼容Lv1",IF(G532&gt;=等级配置!$C$103,"Lv100溢出","正常"))</x:f>
        <x:v>#NAME?</x:v>
      </x:c>
      <x:c r="K532" s="20" t="str">
        <x:f t="shared" si="8"/>
      </x:c>
    </x:row>
    <x:row r="533" ht="17">
      <x:c r="A533" s="58" t="s">
        <x:v>2308</x:v>
      </x:c>
      <x:c r="B533" s="58" t="s">
        <x:v>2309</x:v>
      </x:c>
      <x:c r="C533" s="58" t="s">
        <x:v>2310</x:v>
      </x:c>
      <x:c r="D533" s="58" t="s">
        <x:v>1295</x:v>
      </x:c>
      <x:c r="E533" s="18" t="s">
        <x:v>2311</x:v>
      </x:c>
      <x:c r="F533" s="18" t="s">
        <x:v>2312</x:v>
      </x:c>
      <x:c r="G533" s="126">
        <x:v>8063</x:v>
      </x:c>
      <x:c r="H533" s="126" t="e">
        <x:f>IF(G533="","",IF(G533&lt;参数与口径!$E$6,1,MATCH(G533,等级配置!$C$4:$C$103,1)))</x:f>
        <x:v>#NAME?</x:v>
      </x:c>
      <x:c r="I533" s="58" t="e">
        <x:f>IF(H533="","",INDEX(等级配置!$B$4:$B$103,H533))</x:f>
        <x:v>#NAME?</x:v>
      </x:c>
      <x:c r="J533" s="58" t="e">
        <x:f>IF(AND(D533="当前已婚",G533&lt;参数与口径!$E$6),"存量兼容Lv1",IF(G533&gt;=等级配置!$C$103,"Lv100溢出","正常"))</x:f>
        <x:v>#NAME?</x:v>
      </x:c>
      <x:c r="K533" s="20" t="str">
        <x:f t="shared" si="8"/>
      </x:c>
    </x:row>
    <x:row r="534" ht="17">
      <x:c r="A534" s="58" t="s">
        <x:v>2313</x:v>
      </x:c>
      <x:c r="B534" s="58" t="s">
        <x:v>2314</x:v>
      </x:c>
      <x:c r="C534" s="58" t="s">
        <x:v>2315</x:v>
      </x:c>
      <x:c r="D534" s="58" t="s">
        <x:v>1295</x:v>
      </x:c>
      <x:c r="E534" s="18" t="s">
        <x:v>2316</x:v>
      </x:c>
      <x:c r="F534" s="18" t="s">
        <x:v>2317</x:v>
      </x:c>
      <x:c r="G534" s="126">
        <x:v>8055</x:v>
      </x:c>
      <x:c r="H534" s="126" t="e">
        <x:f>IF(G534="","",IF(G534&lt;参数与口径!$E$6,1,MATCH(G534,等级配置!$C$4:$C$103,1)))</x:f>
        <x:v>#NAME?</x:v>
      </x:c>
      <x:c r="I534" s="58" t="e">
        <x:f>IF(H534="","",INDEX(等级配置!$B$4:$B$103,H534))</x:f>
        <x:v>#NAME?</x:v>
      </x:c>
      <x:c r="J534" s="58" t="e">
        <x:f>IF(AND(D534="当前已婚",G534&lt;参数与口径!$E$6),"存量兼容Lv1",IF(G534&gt;=等级配置!$C$103,"Lv100溢出","正常"))</x:f>
        <x:v>#NAME?</x:v>
      </x:c>
      <x:c r="K534" s="20" t="str">
        <x:f t="shared" si="8"/>
      </x:c>
    </x:row>
    <x:row r="535" ht="17">
      <x:c r="A535" s="58" t="s">
        <x:v>2318</x:v>
      </x:c>
      <x:c r="B535" s="58" t="s">
        <x:v>2319</x:v>
      </x:c>
      <x:c r="C535" s="58" t="s">
        <x:v>2264</x:v>
      </x:c>
      <x:c r="D535" s="58" t="s">
        <x:v>1295</x:v>
      </x:c>
      <x:c r="E535" s="18" t="s">
        <x:v>2320</x:v>
      </x:c>
      <x:c r="F535" s="18" t="s">
        <x:v>2321</x:v>
      </x:c>
      <x:c r="G535" s="126">
        <x:v>8025</x:v>
      </x:c>
      <x:c r="H535" s="126" t="e">
        <x:f>IF(G535="","",IF(G535&lt;参数与口径!$E$6,1,MATCH(G535,等级配置!$C$4:$C$103,1)))</x:f>
        <x:v>#NAME?</x:v>
      </x:c>
      <x:c r="I535" s="58" t="e">
        <x:f>IF(H535="","",INDEX(等级配置!$B$4:$B$103,H535))</x:f>
        <x:v>#NAME?</x:v>
      </x:c>
      <x:c r="J535" s="58" t="e">
        <x:f>IF(AND(D535="当前已婚",G535&lt;参数与口径!$E$6),"存量兼容Lv1",IF(G535&gt;=等级配置!$C$103,"Lv100溢出","正常"))</x:f>
        <x:v>#NAME?</x:v>
      </x:c>
      <x:c r="K535" s="20" t="str">
        <x:f t="shared" si="8"/>
      </x:c>
    </x:row>
    <x:row r="536" ht="17">
      <x:c r="A536" s="58" t="s">
        <x:v>2322</x:v>
      </x:c>
      <x:c r="B536" s="58" t="s">
        <x:v>2323</x:v>
      </x:c>
      <x:c r="C536" s="58" t="s">
        <x:v>2324</x:v>
      </x:c>
      <x:c r="D536" s="58" t="s">
        <x:v>1295</x:v>
      </x:c>
      <x:c r="E536" s="18" t="s">
        <x:v>2325</x:v>
      </x:c>
      <x:c r="F536" s="18" t="s">
        <x:v>2326</x:v>
      </x:c>
      <x:c r="G536" s="126">
        <x:v>7931</x:v>
      </x:c>
      <x:c r="H536" s="126" t="e">
        <x:f>IF(G536="","",IF(G536&lt;参数与口径!$E$6,1,MATCH(G536,等级配置!$C$4:$C$103,1)))</x:f>
        <x:v>#NAME?</x:v>
      </x:c>
      <x:c r="I536" s="58" t="e">
        <x:f>IF(H536="","",INDEX(等级配置!$B$4:$B$103,H536))</x:f>
        <x:v>#NAME?</x:v>
      </x:c>
      <x:c r="J536" s="58" t="e">
        <x:f>IF(AND(D536="当前已婚",G536&lt;参数与口径!$E$6),"存量兼容Lv1",IF(G536&gt;=等级配置!$C$103,"Lv100溢出","正常"))</x:f>
        <x:v>#NAME?</x:v>
      </x:c>
      <x:c r="K536" s="20" t="str">
        <x:f t="shared" si="8"/>
      </x:c>
    </x:row>
    <x:row r="537" ht="17">
      <x:c r="A537" s="58" t="s">
        <x:v>2327</x:v>
      </x:c>
      <x:c r="B537" s="58" t="s">
        <x:v>2328</x:v>
      </x:c>
      <x:c r="C537" s="58" t="s">
        <x:v>2329</x:v>
      </x:c>
      <x:c r="D537" s="58" t="s">
        <x:v>1295</x:v>
      </x:c>
      <x:c r="E537" s="18" t="s">
        <x:v>2330</x:v>
      </x:c>
      <x:c r="F537" s="18" t="s">
        <x:v>2331</x:v>
      </x:c>
      <x:c r="G537" s="126">
        <x:v>7911</x:v>
      </x:c>
      <x:c r="H537" s="126" t="e">
        <x:f>IF(G537="","",IF(G537&lt;参数与口径!$E$6,1,MATCH(G537,等级配置!$C$4:$C$103,1)))</x:f>
        <x:v>#NAME?</x:v>
      </x:c>
      <x:c r="I537" s="58" t="e">
        <x:f>IF(H537="","",INDEX(等级配置!$B$4:$B$103,H537))</x:f>
        <x:v>#NAME?</x:v>
      </x:c>
      <x:c r="J537" s="58" t="e">
        <x:f>IF(AND(D537="当前已婚",G537&lt;参数与口径!$E$6),"存量兼容Lv1",IF(G537&gt;=等级配置!$C$103,"Lv100溢出","正常"))</x:f>
        <x:v>#NAME?</x:v>
      </x:c>
      <x:c r="K537" s="20" t="str">
        <x:f t="shared" si="8"/>
      </x:c>
    </x:row>
    <x:row r="538" ht="17">
      <x:c r="A538" s="58" t="s">
        <x:v>2332</x:v>
      </x:c>
      <x:c r="B538" s="58" t="s">
        <x:v>2333</x:v>
      </x:c>
      <x:c r="C538" s="58" t="s">
        <x:v>2334</x:v>
      </x:c>
      <x:c r="D538" s="58" t="s">
        <x:v>1295</x:v>
      </x:c>
      <x:c r="E538" s="18" t="s">
        <x:v>2335</x:v>
      </x:c>
      <x:c r="F538" s="18" t="s">
        <x:v>2336</x:v>
      </x:c>
      <x:c r="G538" s="126">
        <x:v>7863</x:v>
      </x:c>
      <x:c r="H538" s="126" t="e">
        <x:f>IF(G538="","",IF(G538&lt;参数与口径!$E$6,1,MATCH(G538,等级配置!$C$4:$C$103,1)))</x:f>
        <x:v>#NAME?</x:v>
      </x:c>
      <x:c r="I538" s="58" t="e">
        <x:f>IF(H538="","",INDEX(等级配置!$B$4:$B$103,H538))</x:f>
        <x:v>#NAME?</x:v>
      </x:c>
      <x:c r="J538" s="58" t="e">
        <x:f>IF(AND(D538="当前已婚",G538&lt;参数与口径!$E$6),"存量兼容Lv1",IF(G538&gt;=等级配置!$C$103,"Lv100溢出","正常"))</x:f>
        <x:v>#NAME?</x:v>
      </x:c>
      <x:c r="K538" s="20" t="str">
        <x:f t="shared" si="8"/>
      </x:c>
    </x:row>
    <x:row r="539" ht="17">
      <x:c r="A539" s="58" t="s">
        <x:v>2337</x:v>
      </x:c>
      <x:c r="B539" s="58" t="s">
        <x:v>2338</x:v>
      </x:c>
      <x:c r="C539" s="58" t="s">
        <x:v>2339</x:v>
      </x:c>
      <x:c r="D539" s="58" t="s">
        <x:v>1295</x:v>
      </x:c>
      <x:c r="E539" s="18" t="s">
        <x:v>2340</x:v>
      </x:c>
      <x:c r="F539" s="18" t="s">
        <x:v>2341</x:v>
      </x:c>
      <x:c r="G539" s="126">
        <x:v>7704</x:v>
      </x:c>
      <x:c r="H539" s="126" t="e">
        <x:f>IF(G539="","",IF(G539&lt;参数与口径!$E$6,1,MATCH(G539,等级配置!$C$4:$C$103,1)))</x:f>
        <x:v>#NAME?</x:v>
      </x:c>
      <x:c r="I539" s="58" t="e">
        <x:f>IF(H539="","",INDEX(等级配置!$B$4:$B$103,H539))</x:f>
        <x:v>#NAME?</x:v>
      </x:c>
      <x:c r="J539" s="58" t="e">
        <x:f>IF(AND(D539="当前已婚",G539&lt;参数与口径!$E$6),"存量兼容Lv1",IF(G539&gt;=等级配置!$C$103,"Lv100溢出","正常"))</x:f>
        <x:v>#NAME?</x:v>
      </x:c>
      <x:c r="K539" s="20" t="str">
        <x:f t="shared" si="8"/>
      </x:c>
    </x:row>
    <x:row r="540" ht="17">
      <x:c r="A540" s="58" t="s">
        <x:v>2342</x:v>
      </x:c>
      <x:c r="B540" s="58" t="s">
        <x:v>2343</x:v>
      </x:c>
      <x:c r="C540" s="58" t="s">
        <x:v>2344</x:v>
      </x:c>
      <x:c r="D540" s="58" t="s">
        <x:v>1295</x:v>
      </x:c>
      <x:c r="E540" s="18" t="s">
        <x:v>2345</x:v>
      </x:c>
      <x:c r="F540" s="18" t="s">
        <x:v>2346</x:v>
      </x:c>
      <x:c r="G540" s="126">
        <x:v>7674</x:v>
      </x:c>
      <x:c r="H540" s="126" t="e">
        <x:f>IF(G540="","",IF(G540&lt;参数与口径!$E$6,1,MATCH(G540,等级配置!$C$4:$C$103,1)))</x:f>
        <x:v>#NAME?</x:v>
      </x:c>
      <x:c r="I540" s="58" t="e">
        <x:f>IF(H540="","",INDEX(等级配置!$B$4:$B$103,H540))</x:f>
        <x:v>#NAME?</x:v>
      </x:c>
      <x:c r="J540" s="58" t="e">
        <x:f>IF(AND(D540="当前已婚",G540&lt;参数与口径!$E$6),"存量兼容Lv1",IF(G540&gt;=等级配置!$C$103,"Lv100溢出","正常"))</x:f>
        <x:v>#NAME?</x:v>
      </x:c>
      <x:c r="K540" s="20" t="str">
        <x:f t="shared" si="8"/>
      </x:c>
    </x:row>
    <x:row r="541" ht="17">
      <x:c r="A541" s="58" t="s">
        <x:v>2347</x:v>
      </x:c>
      <x:c r="B541" s="58" t="s">
        <x:v>2348</x:v>
      </x:c>
      <x:c r="C541" s="58" t="s">
        <x:v>2349</x:v>
      </x:c>
      <x:c r="D541" s="58" t="s">
        <x:v>1295</x:v>
      </x:c>
      <x:c r="E541" s="18" t="s">
        <x:v>2350</x:v>
      </x:c>
      <x:c r="F541" s="18" t="s">
        <x:v>2351</x:v>
      </x:c>
      <x:c r="G541" s="126">
        <x:v>7627</x:v>
      </x:c>
      <x:c r="H541" s="126" t="e">
        <x:f>IF(G541="","",IF(G541&lt;参数与口径!$E$6,1,MATCH(G541,等级配置!$C$4:$C$103,1)))</x:f>
        <x:v>#NAME?</x:v>
      </x:c>
      <x:c r="I541" s="58" t="e">
        <x:f>IF(H541="","",INDEX(等级配置!$B$4:$B$103,H541))</x:f>
        <x:v>#NAME?</x:v>
      </x:c>
      <x:c r="J541" s="58" t="e">
        <x:f>IF(AND(D541="当前已婚",G541&lt;参数与口径!$E$6),"存量兼容Lv1",IF(G541&gt;=等级配置!$C$103,"Lv100溢出","正常"))</x:f>
        <x:v>#NAME?</x:v>
      </x:c>
      <x:c r="K541" s="20" t="str">
        <x:f t="shared" si="8"/>
      </x:c>
    </x:row>
    <x:row r="542" ht="17">
      <x:c r="A542" s="58" t="s">
        <x:v>2352</x:v>
      </x:c>
      <x:c r="B542" s="58" t="s">
        <x:v>2353</x:v>
      </x:c>
      <x:c r="C542" s="58" t="s">
        <x:v>2354</x:v>
      </x:c>
      <x:c r="D542" s="58" t="s">
        <x:v>1295</x:v>
      </x:c>
      <x:c r="E542" s="18" t="s">
        <x:v>2355</x:v>
      </x:c>
      <x:c r="F542" s="18" t="s">
        <x:v>2356</x:v>
      </x:c>
      <x:c r="G542" s="126">
        <x:v>7620</x:v>
      </x:c>
      <x:c r="H542" s="126" t="e">
        <x:f>IF(G542="","",IF(G542&lt;参数与口径!$E$6,1,MATCH(G542,等级配置!$C$4:$C$103,1)))</x:f>
        <x:v>#NAME?</x:v>
      </x:c>
      <x:c r="I542" s="58" t="e">
        <x:f>IF(H542="","",INDEX(等级配置!$B$4:$B$103,H542))</x:f>
        <x:v>#NAME?</x:v>
      </x:c>
      <x:c r="J542" s="58" t="e">
        <x:f>IF(AND(D542="当前已婚",G542&lt;参数与口径!$E$6),"存量兼容Lv1",IF(G542&gt;=等级配置!$C$103,"Lv100溢出","正常"))</x:f>
        <x:v>#NAME?</x:v>
      </x:c>
      <x:c r="K542" s="20" t="str">
        <x:f t="shared" si="8"/>
      </x:c>
    </x:row>
    <x:row r="543" ht="17">
      <x:c r="A543" s="58" t="s">
        <x:v>2357</x:v>
      </x:c>
      <x:c r="B543" s="58" t="s">
        <x:v>2358</x:v>
      </x:c>
      <x:c r="C543" s="58" t="s">
        <x:v>2359</x:v>
      </x:c>
      <x:c r="D543" s="58" t="s">
        <x:v>1295</x:v>
      </x:c>
      <x:c r="E543" s="18" t="s">
        <x:v>2360</x:v>
      </x:c>
      <x:c r="F543" s="18" t="s">
        <x:v>2361</x:v>
      </x:c>
      <x:c r="G543" s="126">
        <x:v>7429</x:v>
      </x:c>
      <x:c r="H543" s="126" t="e">
        <x:f>IF(G543="","",IF(G543&lt;参数与口径!$E$6,1,MATCH(G543,等级配置!$C$4:$C$103,1)))</x:f>
        <x:v>#NAME?</x:v>
      </x:c>
      <x:c r="I543" s="58" t="e">
        <x:f>IF(H543="","",INDEX(等级配置!$B$4:$B$103,H543))</x:f>
        <x:v>#NAME?</x:v>
      </x:c>
      <x:c r="J543" s="58" t="e">
        <x:f>IF(AND(D543="当前已婚",G543&lt;参数与口径!$E$6),"存量兼容Lv1",IF(G543&gt;=等级配置!$C$103,"Lv100溢出","正常"))</x:f>
        <x:v>#NAME?</x:v>
      </x:c>
      <x:c r="K543" s="20" t="str">
        <x:f t="shared" si="8"/>
      </x:c>
    </x:row>
    <x:row r="544" ht="17">
      <x:c r="A544" s="58" t="s">
        <x:v>2362</x:v>
      </x:c>
      <x:c r="B544" s="58" t="s">
        <x:v>2363</x:v>
      </x:c>
      <x:c r="C544" s="58" t="s">
        <x:v>2364</x:v>
      </x:c>
      <x:c r="D544" s="58" t="s">
        <x:v>1295</x:v>
      </x:c>
      <x:c r="E544" s="18" t="s">
        <x:v>2365</x:v>
      </x:c>
      <x:c r="F544" s="18" t="s">
        <x:v>2366</x:v>
      </x:c>
      <x:c r="G544" s="126">
        <x:v>7227</x:v>
      </x:c>
      <x:c r="H544" s="126" t="e">
        <x:f>IF(G544="","",IF(G544&lt;参数与口径!$E$6,1,MATCH(G544,等级配置!$C$4:$C$103,1)))</x:f>
        <x:v>#NAME?</x:v>
      </x:c>
      <x:c r="I544" s="58" t="e">
        <x:f>IF(H544="","",INDEX(等级配置!$B$4:$B$103,H544))</x:f>
        <x:v>#NAME?</x:v>
      </x:c>
      <x:c r="J544" s="58" t="e">
        <x:f>IF(AND(D544="当前已婚",G544&lt;参数与口径!$E$6),"存量兼容Lv1",IF(G544&gt;=等级配置!$C$103,"Lv100溢出","正常"))</x:f>
        <x:v>#NAME?</x:v>
      </x:c>
      <x:c r="K544" s="20" t="str">
        <x:f t="shared" si="8"/>
      </x:c>
    </x:row>
    <x:row r="545" ht="17">
      <x:c r="A545" s="58" t="s">
        <x:v>2367</x:v>
      </x:c>
      <x:c r="B545" s="58" t="s">
        <x:v>2368</x:v>
      </x:c>
      <x:c r="C545" s="58" t="s">
        <x:v>2369</x:v>
      </x:c>
      <x:c r="D545" s="58" t="s">
        <x:v>1295</x:v>
      </x:c>
      <x:c r="E545" s="18" t="s">
        <x:v>2370</x:v>
      </x:c>
      <x:c r="F545" s="18" t="s">
        <x:v>2371</x:v>
      </x:c>
      <x:c r="G545" s="126">
        <x:v>7226</x:v>
      </x:c>
      <x:c r="H545" s="126" t="e">
        <x:f>IF(G545="","",IF(G545&lt;参数与口径!$E$6,1,MATCH(G545,等级配置!$C$4:$C$103,1)))</x:f>
        <x:v>#NAME?</x:v>
      </x:c>
      <x:c r="I545" s="58" t="e">
        <x:f>IF(H545="","",INDEX(等级配置!$B$4:$B$103,H545))</x:f>
        <x:v>#NAME?</x:v>
      </x:c>
      <x:c r="J545" s="58" t="e">
        <x:f>IF(AND(D545="当前已婚",G545&lt;参数与口径!$E$6),"存量兼容Lv1",IF(G545&gt;=等级配置!$C$103,"Lv100溢出","正常"))</x:f>
        <x:v>#NAME?</x:v>
      </x:c>
      <x:c r="K545" s="20" t="str">
        <x:f t="shared" si="8"/>
      </x:c>
    </x:row>
    <x:row r="546" ht="17">
      <x:c r="A546" s="58" t="s">
        <x:v>2372</x:v>
      </x:c>
      <x:c r="B546" s="58" t="s">
        <x:v>2373</x:v>
      </x:c>
      <x:c r="C546" s="58" t="s">
        <x:v>631</x:v>
      </x:c>
      <x:c r="D546" s="58" t="s">
        <x:v>1295</x:v>
      </x:c>
      <x:c r="E546" s="18" t="s">
        <x:v>2374</x:v>
      </x:c>
      <x:c r="F546" s="18" t="s">
        <x:v>2375</x:v>
      </x:c>
      <x:c r="G546" s="126">
        <x:v>7204</x:v>
      </x:c>
      <x:c r="H546" s="126" t="e">
        <x:f>IF(G546="","",IF(G546&lt;参数与口径!$E$6,1,MATCH(G546,等级配置!$C$4:$C$103,1)))</x:f>
        <x:v>#NAME?</x:v>
      </x:c>
      <x:c r="I546" s="58" t="e">
        <x:f>IF(H546="","",INDEX(等级配置!$B$4:$B$103,H546))</x:f>
        <x:v>#NAME?</x:v>
      </x:c>
      <x:c r="J546" s="58" t="e">
        <x:f>IF(AND(D546="当前已婚",G546&lt;参数与口径!$E$6),"存量兼容Lv1",IF(G546&gt;=等级配置!$C$103,"Lv100溢出","正常"))</x:f>
        <x:v>#NAME?</x:v>
      </x:c>
      <x:c r="K546" s="20" t="str">
        <x:f t="shared" si="8"/>
      </x:c>
    </x:row>
    <x:row r="547" ht="17">
      <x:c r="A547" s="58" t="s">
        <x:v>2376</x:v>
      </x:c>
      <x:c r="B547" s="58" t="s">
        <x:v>2377</x:v>
      </x:c>
      <x:c r="C547" s="58" t="s">
        <x:v>2378</x:v>
      </x:c>
      <x:c r="D547" s="58" t="s">
        <x:v>1295</x:v>
      </x:c>
      <x:c r="E547" s="18" t="s">
        <x:v>2379</x:v>
      </x:c>
      <x:c r="F547" s="18" t="s">
        <x:v>2380</x:v>
      </x:c>
      <x:c r="G547" s="126">
        <x:v>7192</x:v>
      </x:c>
      <x:c r="H547" s="126" t="e">
        <x:f>IF(G547="","",IF(G547&lt;参数与口径!$E$6,1,MATCH(G547,等级配置!$C$4:$C$103,1)))</x:f>
        <x:v>#NAME?</x:v>
      </x:c>
      <x:c r="I547" s="58" t="e">
        <x:f>IF(H547="","",INDEX(等级配置!$B$4:$B$103,H547))</x:f>
        <x:v>#NAME?</x:v>
      </x:c>
      <x:c r="J547" s="58" t="e">
        <x:f>IF(AND(D547="当前已婚",G547&lt;参数与口径!$E$6),"存量兼容Lv1",IF(G547&gt;=等级配置!$C$103,"Lv100溢出","正常"))</x:f>
        <x:v>#NAME?</x:v>
      </x:c>
      <x:c r="K547" s="20" t="str">
        <x:f t="shared" si="8"/>
      </x:c>
    </x:row>
    <x:row r="548" ht="17">
      <x:c r="A548" s="58" t="s">
        <x:v>2381</x:v>
      </x:c>
      <x:c r="B548" s="58" t="s">
        <x:v>2382</x:v>
      </x:c>
      <x:c r="C548" s="58" t="s">
        <x:v>2354</x:v>
      </x:c>
      <x:c r="D548" s="58" t="s">
        <x:v>1295</x:v>
      </x:c>
      <x:c r="E548" s="18" t="s">
        <x:v>2383</x:v>
      </x:c>
      <x:c r="F548" s="18" t="s">
        <x:v>2384</x:v>
      </x:c>
      <x:c r="G548" s="126">
        <x:v>6801</x:v>
      </x:c>
      <x:c r="H548" s="126" t="e">
        <x:f>IF(G548="","",IF(G548&lt;参数与口径!$E$6,1,MATCH(G548,等级配置!$C$4:$C$103,1)))</x:f>
        <x:v>#NAME?</x:v>
      </x:c>
      <x:c r="I548" s="58" t="e">
        <x:f>IF(H548="","",INDEX(等级配置!$B$4:$B$103,H548))</x:f>
        <x:v>#NAME?</x:v>
      </x:c>
      <x:c r="J548" s="58" t="e">
        <x:f>IF(AND(D548="当前已婚",G548&lt;参数与口径!$E$6),"存量兼容Lv1",IF(G548&gt;=等级配置!$C$103,"Lv100溢出","正常"))</x:f>
        <x:v>#NAME?</x:v>
      </x:c>
      <x:c r="K548" s="20" t="str">
        <x:f t="shared" si="8"/>
      </x:c>
    </x:row>
    <x:row r="549" ht="17">
      <x:c r="A549" s="58" t="s">
        <x:v>2385</x:v>
      </x:c>
      <x:c r="B549" s="58" t="s">
        <x:v>2386</x:v>
      </x:c>
      <x:c r="C549" s="58" t="s">
        <x:v>2387</x:v>
      </x:c>
      <x:c r="D549" s="58" t="s">
        <x:v>1295</x:v>
      </x:c>
      <x:c r="E549" s="18" t="s">
        <x:v>2388</x:v>
      </x:c>
      <x:c r="F549" s="18" t="s">
        <x:v>2389</x:v>
      </x:c>
      <x:c r="G549" s="126">
        <x:v>6631</x:v>
      </x:c>
      <x:c r="H549" s="126" t="e">
        <x:f>IF(G549="","",IF(G549&lt;参数与口径!$E$6,1,MATCH(G549,等级配置!$C$4:$C$103,1)))</x:f>
        <x:v>#NAME?</x:v>
      </x:c>
      <x:c r="I549" s="58" t="e">
        <x:f>IF(H549="","",INDEX(等级配置!$B$4:$B$103,H549))</x:f>
        <x:v>#NAME?</x:v>
      </x:c>
      <x:c r="J549" s="58" t="e">
        <x:f>IF(AND(D549="当前已婚",G549&lt;参数与口径!$E$6),"存量兼容Lv1",IF(G549&gt;=等级配置!$C$103,"Lv100溢出","正常"))</x:f>
        <x:v>#NAME?</x:v>
      </x:c>
      <x:c r="K549" s="20" t="str">
        <x:f t="shared" si="8"/>
      </x:c>
    </x:row>
    <x:row r="550" ht="17">
      <x:c r="A550" s="58" t="s">
        <x:v>2390</x:v>
      </x:c>
      <x:c r="B550" s="58" t="s">
        <x:v>789</x:v>
      </x:c>
      <x:c r="C550" s="58" t="s">
        <x:v>2391</x:v>
      </x:c>
      <x:c r="D550" s="58" t="s">
        <x:v>1295</x:v>
      </x:c>
      <x:c r="E550" s="18" t="s">
        <x:v>2392</x:v>
      </x:c>
      <x:c r="F550" s="18" t="s">
        <x:v>2393</x:v>
      </x:c>
      <x:c r="G550" s="126">
        <x:v>6475</x:v>
      </x:c>
      <x:c r="H550" s="126" t="e">
        <x:f>IF(G550="","",IF(G550&lt;参数与口径!$E$6,1,MATCH(G550,等级配置!$C$4:$C$103,1)))</x:f>
        <x:v>#NAME?</x:v>
      </x:c>
      <x:c r="I550" s="58" t="e">
        <x:f>IF(H550="","",INDEX(等级配置!$B$4:$B$103,H550))</x:f>
        <x:v>#NAME?</x:v>
      </x:c>
      <x:c r="J550" s="58" t="e">
        <x:f>IF(AND(D550="当前已婚",G550&lt;参数与口径!$E$6),"存量兼容Lv1",IF(G550&gt;=等级配置!$C$103,"Lv100溢出","正常"))</x:f>
        <x:v>#NAME?</x:v>
      </x:c>
      <x:c r="K550" s="20" t="str">
        <x:f t="shared" si="8"/>
      </x:c>
    </x:row>
    <x:row r="551" ht="17">
      <x:c r="A551" s="58" t="s">
        <x:v>2394</x:v>
      </x:c>
      <x:c r="B551" s="58" t="s">
        <x:v>2395</x:v>
      </x:c>
      <x:c r="C551" s="58" t="s">
        <x:v>2396</x:v>
      </x:c>
      <x:c r="D551" s="58" t="s">
        <x:v>1295</x:v>
      </x:c>
      <x:c r="E551" s="18" t="s">
        <x:v>2397</x:v>
      </x:c>
      <x:c r="F551" s="18" t="s">
        <x:v>2398</x:v>
      </x:c>
      <x:c r="G551" s="126">
        <x:v>6320</x:v>
      </x:c>
      <x:c r="H551" s="126" t="e">
        <x:f>IF(G551="","",IF(G551&lt;参数与口径!$E$6,1,MATCH(G551,等级配置!$C$4:$C$103,1)))</x:f>
        <x:v>#NAME?</x:v>
      </x:c>
      <x:c r="I551" s="58" t="e">
        <x:f>IF(H551="","",INDEX(等级配置!$B$4:$B$103,H551))</x:f>
        <x:v>#NAME?</x:v>
      </x:c>
      <x:c r="J551" s="58" t="e">
        <x:f>IF(AND(D551="当前已婚",G551&lt;参数与口径!$E$6),"存量兼容Lv1",IF(G551&gt;=等级配置!$C$103,"Lv100溢出","正常"))</x:f>
        <x:v>#NAME?</x:v>
      </x:c>
      <x:c r="K551" s="20" t="str">
        <x:f t="shared" si="8"/>
      </x:c>
    </x:row>
    <x:row r="552" ht="17">
      <x:c r="A552" s="58" t="s">
        <x:v>2399</x:v>
      </x:c>
      <x:c r="B552" s="58" t="s">
        <x:v>2400</x:v>
      </x:c>
      <x:c r="C552" s="58" t="s">
        <x:v>2207</x:v>
      </x:c>
      <x:c r="D552" s="58" t="s">
        <x:v>1295</x:v>
      </x:c>
      <x:c r="E552" s="18" t="s">
        <x:v>2401</x:v>
      </x:c>
      <x:c r="F552" s="18" t="s">
        <x:v>2402</x:v>
      </x:c>
      <x:c r="G552" s="126">
        <x:v>6283</x:v>
      </x:c>
      <x:c r="H552" s="126" t="e">
        <x:f>IF(G552="","",IF(G552&lt;参数与口径!$E$6,1,MATCH(G552,等级配置!$C$4:$C$103,1)))</x:f>
        <x:v>#NAME?</x:v>
      </x:c>
      <x:c r="I552" s="58" t="e">
        <x:f>IF(H552="","",INDEX(等级配置!$B$4:$B$103,H552))</x:f>
        <x:v>#NAME?</x:v>
      </x:c>
      <x:c r="J552" s="58" t="e">
        <x:f>IF(AND(D552="当前已婚",G552&lt;参数与口径!$E$6),"存量兼容Lv1",IF(G552&gt;=等级配置!$C$103,"Lv100溢出","正常"))</x:f>
        <x:v>#NAME?</x:v>
      </x:c>
      <x:c r="K552" s="20" t="str">
        <x:f t="shared" si="8"/>
      </x:c>
    </x:row>
    <x:row r="553" ht="17">
      <x:c r="A553" s="58" t="s">
        <x:v>2403</x:v>
      </x:c>
      <x:c r="B553" s="58" t="s">
        <x:v>2333</x:v>
      </x:c>
      <x:c r="C553" s="58" t="s">
        <x:v>2404</x:v>
      </x:c>
      <x:c r="D553" s="58" t="s">
        <x:v>1295</x:v>
      </x:c>
      <x:c r="E553" s="18" t="s">
        <x:v>2405</x:v>
      </x:c>
      <x:c r="F553" s="18" t="s">
        <x:v>2406</x:v>
      </x:c>
      <x:c r="G553" s="126">
        <x:v>6271</x:v>
      </x:c>
      <x:c r="H553" s="126" t="e">
        <x:f>IF(G553="","",IF(G553&lt;参数与口径!$E$6,1,MATCH(G553,等级配置!$C$4:$C$103,1)))</x:f>
        <x:v>#NAME?</x:v>
      </x:c>
      <x:c r="I553" s="58" t="e">
        <x:f>IF(H553="","",INDEX(等级配置!$B$4:$B$103,H553))</x:f>
        <x:v>#NAME?</x:v>
      </x:c>
      <x:c r="J553" s="58" t="e">
        <x:f>IF(AND(D553="当前已婚",G553&lt;参数与口径!$E$6),"存量兼容Lv1",IF(G553&gt;=等级配置!$C$103,"Lv100溢出","正常"))</x:f>
        <x:v>#NAME?</x:v>
      </x:c>
      <x:c r="K553" s="20" t="str">
        <x:f t="shared" si="8"/>
      </x:c>
    </x:row>
    <x:row r="554" ht="17">
      <x:c r="A554" s="58" t="s">
        <x:v>2407</x:v>
      </x:c>
      <x:c r="B554" s="58" t="s">
        <x:v>2408</x:v>
      </x:c>
      <x:c r="C554" s="58" t="s">
        <x:v>2409</x:v>
      </x:c>
      <x:c r="D554" s="58" t="s">
        <x:v>1295</x:v>
      </x:c>
      <x:c r="E554" s="18" t="s">
        <x:v>2410</x:v>
      </x:c>
      <x:c r="F554" s="18" t="s">
        <x:v>2411</x:v>
      </x:c>
      <x:c r="G554" s="126">
        <x:v>6209</x:v>
      </x:c>
      <x:c r="H554" s="126" t="e">
        <x:f>IF(G554="","",IF(G554&lt;参数与口径!$E$6,1,MATCH(G554,等级配置!$C$4:$C$103,1)))</x:f>
        <x:v>#NAME?</x:v>
      </x:c>
      <x:c r="I554" s="58" t="e">
        <x:f>IF(H554="","",INDEX(等级配置!$B$4:$B$103,H554))</x:f>
        <x:v>#NAME?</x:v>
      </x:c>
      <x:c r="J554" s="58" t="e">
        <x:f>IF(AND(D554="当前已婚",G554&lt;参数与口径!$E$6),"存量兼容Lv1",IF(G554&gt;=等级配置!$C$103,"Lv100溢出","正常"))</x:f>
        <x:v>#NAME?</x:v>
      </x:c>
      <x:c r="K554" s="20" t="str">
        <x:f t="shared" si="8"/>
      </x:c>
    </x:row>
    <x:row r="555" ht="17">
      <x:c r="A555" s="58" t="s">
        <x:v>2412</x:v>
      </x:c>
      <x:c r="B555" s="58" t="s">
        <x:v>2413</x:v>
      </x:c>
      <x:c r="C555" s="58" t="s">
        <x:v>2414</x:v>
      </x:c>
      <x:c r="D555" s="58" t="s">
        <x:v>1295</x:v>
      </x:c>
      <x:c r="E555" s="18" t="s">
        <x:v>2415</x:v>
      </x:c>
      <x:c r="F555" s="18" t="s">
        <x:v>2416</x:v>
      </x:c>
      <x:c r="G555" s="126">
        <x:v>6205</x:v>
      </x:c>
      <x:c r="H555" s="126" t="e">
        <x:f>IF(G555="","",IF(G555&lt;参数与口径!$E$6,1,MATCH(G555,等级配置!$C$4:$C$103,1)))</x:f>
        <x:v>#NAME?</x:v>
      </x:c>
      <x:c r="I555" s="58" t="e">
        <x:f>IF(H555="","",INDEX(等级配置!$B$4:$B$103,H555))</x:f>
        <x:v>#NAME?</x:v>
      </x:c>
      <x:c r="J555" s="58" t="e">
        <x:f>IF(AND(D555="当前已婚",G555&lt;参数与口径!$E$6),"存量兼容Lv1",IF(G555&gt;=等级配置!$C$103,"Lv100溢出","正常"))</x:f>
        <x:v>#NAME?</x:v>
      </x:c>
      <x:c r="K555" s="20" t="str">
        <x:f t="shared" si="8"/>
      </x:c>
    </x:row>
    <x:row r="556" ht="17">
      <x:c r="A556" s="58" t="s">
        <x:v>2417</x:v>
      </x:c>
      <x:c r="B556" s="58" t="s">
        <x:v>900</x:v>
      </x:c>
      <x:c r="C556" s="58" t="s">
        <x:v>2418</x:v>
      </x:c>
      <x:c r="D556" s="58" t="s">
        <x:v>1295</x:v>
      </x:c>
      <x:c r="E556" s="18" t="s">
        <x:v>2419</x:v>
      </x:c>
      <x:c r="F556" s="18" t="s">
        <x:v>2420</x:v>
      </x:c>
      <x:c r="G556" s="126">
        <x:v>5868</x:v>
      </x:c>
      <x:c r="H556" s="126" t="e">
        <x:f>IF(G556="","",IF(G556&lt;参数与口径!$E$6,1,MATCH(G556,等级配置!$C$4:$C$103,1)))</x:f>
        <x:v>#NAME?</x:v>
      </x:c>
      <x:c r="I556" s="58" t="e">
        <x:f>IF(H556="","",INDEX(等级配置!$B$4:$B$103,H556))</x:f>
        <x:v>#NAME?</x:v>
      </x:c>
      <x:c r="J556" s="58" t="e">
        <x:f>IF(AND(D556="当前已婚",G556&lt;参数与口径!$E$6),"存量兼容Lv1",IF(G556&gt;=等级配置!$C$103,"Lv100溢出","正常"))</x:f>
        <x:v>#NAME?</x:v>
      </x:c>
      <x:c r="K556" s="20" t="str">
        <x:f t="shared" si="8"/>
      </x:c>
    </x:row>
    <x:row r="557" ht="17">
      <x:c r="A557" s="58" t="s">
        <x:v>2421</x:v>
      </x:c>
      <x:c r="B557" s="58" t="s">
        <x:v>2422</x:v>
      </x:c>
      <x:c r="C557" s="58" t="s">
        <x:v>2423</x:v>
      </x:c>
      <x:c r="D557" s="58" t="s">
        <x:v>1295</x:v>
      </x:c>
      <x:c r="E557" s="18" t="s">
        <x:v>2424</x:v>
      </x:c>
      <x:c r="F557" s="18" t="s">
        <x:v>2425</x:v>
      </x:c>
      <x:c r="G557" s="126">
        <x:v>5854</x:v>
      </x:c>
      <x:c r="H557" s="126" t="e">
        <x:f>IF(G557="","",IF(G557&lt;参数与口径!$E$6,1,MATCH(G557,等级配置!$C$4:$C$103,1)))</x:f>
        <x:v>#NAME?</x:v>
      </x:c>
      <x:c r="I557" s="58" t="e">
        <x:f>IF(H557="","",INDEX(等级配置!$B$4:$B$103,H557))</x:f>
        <x:v>#NAME?</x:v>
      </x:c>
      <x:c r="J557" s="58" t="e">
        <x:f>IF(AND(D557="当前已婚",G557&lt;参数与口径!$E$6),"存量兼容Lv1",IF(G557&gt;=等级配置!$C$103,"Lv100溢出","正常"))</x:f>
        <x:v>#NAME?</x:v>
      </x:c>
      <x:c r="K557" s="20" t="str">
        <x:f t="shared" si="8"/>
      </x:c>
    </x:row>
    <x:row r="558" ht="17">
      <x:c r="A558" s="58" t="s">
        <x:v>2426</x:v>
      </x:c>
      <x:c r="B558" s="58" t="s">
        <x:v>2427</x:v>
      </x:c>
      <x:c r="C558" s="58" t="s">
        <x:v>2428</x:v>
      </x:c>
      <x:c r="D558" s="58" t="s">
        <x:v>1295</x:v>
      </x:c>
      <x:c r="E558" s="18" t="s">
        <x:v>2429</x:v>
      </x:c>
      <x:c r="F558" s="18" t="s">
        <x:v>2430</x:v>
      </x:c>
      <x:c r="G558" s="126">
        <x:v>5829</x:v>
      </x:c>
      <x:c r="H558" s="126" t="e">
        <x:f>IF(G558="","",IF(G558&lt;参数与口径!$E$6,1,MATCH(G558,等级配置!$C$4:$C$103,1)))</x:f>
        <x:v>#NAME?</x:v>
      </x:c>
      <x:c r="I558" s="58" t="e">
        <x:f>IF(H558="","",INDEX(等级配置!$B$4:$B$103,H558))</x:f>
        <x:v>#NAME?</x:v>
      </x:c>
      <x:c r="J558" s="58" t="e">
        <x:f>IF(AND(D558="当前已婚",G558&lt;参数与口径!$E$6),"存量兼容Lv1",IF(G558&gt;=等级配置!$C$103,"Lv100溢出","正常"))</x:f>
        <x:v>#NAME?</x:v>
      </x:c>
      <x:c r="K558" s="20" t="str">
        <x:f t="shared" si="8"/>
      </x:c>
    </x:row>
    <x:row r="559" ht="17">
      <x:c r="A559" s="58" t="s">
        <x:v>2431</x:v>
      </x:c>
      <x:c r="B559" s="58" t="s">
        <x:v>2432</x:v>
      </x:c>
      <x:c r="C559" s="58" t="s">
        <x:v>2433</x:v>
      </x:c>
      <x:c r="D559" s="58" t="s">
        <x:v>1295</x:v>
      </x:c>
      <x:c r="E559" s="18" t="s">
        <x:v>2434</x:v>
      </x:c>
      <x:c r="F559" s="18" t="s">
        <x:v>2435</x:v>
      </x:c>
      <x:c r="G559" s="126">
        <x:v>5825</x:v>
      </x:c>
      <x:c r="H559" s="126" t="e">
        <x:f>IF(G559="","",IF(G559&lt;参数与口径!$E$6,1,MATCH(G559,等级配置!$C$4:$C$103,1)))</x:f>
        <x:v>#NAME?</x:v>
      </x:c>
      <x:c r="I559" s="58" t="e">
        <x:f>IF(H559="","",INDEX(等级配置!$B$4:$B$103,H559))</x:f>
        <x:v>#NAME?</x:v>
      </x:c>
      <x:c r="J559" s="58" t="e">
        <x:f>IF(AND(D559="当前已婚",G559&lt;参数与口径!$E$6),"存量兼容Lv1",IF(G559&gt;=等级配置!$C$103,"Lv100溢出","正常"))</x:f>
        <x:v>#NAME?</x:v>
      </x:c>
      <x:c r="K559" s="20" t="str">
        <x:f t="shared" si="8"/>
      </x:c>
    </x:row>
    <x:row r="560" ht="17">
      <x:c r="A560" s="58" t="s">
        <x:v>2436</x:v>
      </x:c>
      <x:c r="B560" s="58" t="s">
        <x:v>128</x:v>
      </x:c>
      <x:c r="C560" s="58" t="s">
        <x:v>2437</x:v>
      </x:c>
      <x:c r="D560" s="58" t="s">
        <x:v>1295</x:v>
      </x:c>
      <x:c r="E560" s="18" t="s">
        <x:v>2438</x:v>
      </x:c>
      <x:c r="F560" s="18" t="s">
        <x:v>2439</x:v>
      </x:c>
      <x:c r="G560" s="126">
        <x:v>5657</x:v>
      </x:c>
      <x:c r="H560" s="126" t="e">
        <x:f>IF(G560="","",IF(G560&lt;参数与口径!$E$6,1,MATCH(G560,等级配置!$C$4:$C$103,1)))</x:f>
        <x:v>#NAME?</x:v>
      </x:c>
      <x:c r="I560" s="58" t="e">
        <x:f>IF(H560="","",INDEX(等级配置!$B$4:$B$103,H560))</x:f>
        <x:v>#NAME?</x:v>
      </x:c>
      <x:c r="J560" s="58" t="e">
        <x:f>IF(AND(D560="当前已婚",G560&lt;参数与口径!$E$6),"存量兼容Lv1",IF(G560&gt;=等级配置!$C$103,"Lv100溢出","正常"))</x:f>
        <x:v>#NAME?</x:v>
      </x:c>
      <x:c r="K560" s="20" t="str">
        <x:f t="shared" si="8"/>
      </x:c>
    </x:row>
    <x:row r="561" ht="17">
      <x:c r="A561" s="58" t="s">
        <x:v>2440</x:v>
      </x:c>
      <x:c r="B561" s="58" t="s">
        <x:v>1870</x:v>
      </x:c>
      <x:c r="C561" s="58" t="s">
        <x:v>2441</x:v>
      </x:c>
      <x:c r="D561" s="58" t="s">
        <x:v>1295</x:v>
      </x:c>
      <x:c r="E561" s="18" t="s">
        <x:v>2442</x:v>
      </x:c>
      <x:c r="F561" s="18" t="s">
        <x:v>2443</x:v>
      </x:c>
      <x:c r="G561" s="126">
        <x:v>5613</x:v>
      </x:c>
      <x:c r="H561" s="126" t="e">
        <x:f>IF(G561="","",IF(G561&lt;参数与口径!$E$6,1,MATCH(G561,等级配置!$C$4:$C$103,1)))</x:f>
        <x:v>#NAME?</x:v>
      </x:c>
      <x:c r="I561" s="58" t="e">
        <x:f>IF(H561="","",INDEX(等级配置!$B$4:$B$103,H561))</x:f>
        <x:v>#NAME?</x:v>
      </x:c>
      <x:c r="J561" s="58" t="e">
        <x:f>IF(AND(D561="当前已婚",G561&lt;参数与口径!$E$6),"存量兼容Lv1",IF(G561&gt;=等级配置!$C$103,"Lv100溢出","正常"))</x:f>
        <x:v>#NAME?</x:v>
      </x:c>
      <x:c r="K561" s="20" t="str">
        <x:f t="shared" si="8"/>
      </x:c>
    </x:row>
    <x:row r="562" ht="17">
      <x:c r="A562" s="58" t="s">
        <x:v>2444</x:v>
      </x:c>
      <x:c r="B562" s="58" t="s">
        <x:v>2445</x:v>
      </x:c>
      <x:c r="C562" s="58" t="s">
        <x:v>2446</x:v>
      </x:c>
      <x:c r="D562" s="58" t="s">
        <x:v>1295</x:v>
      </x:c>
      <x:c r="E562" s="18" t="s">
        <x:v>2447</x:v>
      </x:c>
      <x:c r="F562" s="18" t="s">
        <x:v>2448</x:v>
      </x:c>
      <x:c r="G562" s="126">
        <x:v>5511</x:v>
      </x:c>
      <x:c r="H562" s="126" t="e">
        <x:f>IF(G562="","",IF(G562&lt;参数与口径!$E$6,1,MATCH(G562,等级配置!$C$4:$C$103,1)))</x:f>
        <x:v>#NAME?</x:v>
      </x:c>
      <x:c r="I562" s="58" t="e">
        <x:f>IF(H562="","",INDEX(等级配置!$B$4:$B$103,H562))</x:f>
        <x:v>#NAME?</x:v>
      </x:c>
      <x:c r="J562" s="58" t="e">
        <x:f>IF(AND(D562="当前已婚",G562&lt;参数与口径!$E$6),"存量兼容Lv1",IF(G562&gt;=等级配置!$C$103,"Lv100溢出","正常"))</x:f>
        <x:v>#NAME?</x:v>
      </x:c>
      <x:c r="K562" s="20" t="str">
        <x:f t="shared" si="8"/>
      </x:c>
    </x:row>
    <x:row r="563" ht="17">
      <x:c r="A563" s="58" t="s">
        <x:v>2449</x:v>
      </x:c>
      <x:c r="B563" s="58" t="s">
        <x:v>2450</x:v>
      </x:c>
      <x:c r="C563" s="58" t="s">
        <x:v>2451</x:v>
      </x:c>
      <x:c r="D563" s="58" t="s">
        <x:v>1295</x:v>
      </x:c>
      <x:c r="E563" s="18" t="s">
        <x:v>2452</x:v>
      </x:c>
      <x:c r="F563" s="18" t="s">
        <x:v>2453</x:v>
      </x:c>
      <x:c r="G563" s="126">
        <x:v>5394</x:v>
      </x:c>
      <x:c r="H563" s="126" t="e">
        <x:f>IF(G563="","",IF(G563&lt;参数与口径!$E$6,1,MATCH(G563,等级配置!$C$4:$C$103,1)))</x:f>
        <x:v>#NAME?</x:v>
      </x:c>
      <x:c r="I563" s="58" t="e">
        <x:f>IF(H563="","",INDEX(等级配置!$B$4:$B$103,H563))</x:f>
        <x:v>#NAME?</x:v>
      </x:c>
      <x:c r="J563" s="58" t="e">
        <x:f>IF(AND(D563="当前已婚",G563&lt;参数与口径!$E$6),"存量兼容Lv1",IF(G563&gt;=等级配置!$C$103,"Lv100溢出","正常"))</x:f>
        <x:v>#NAME?</x:v>
      </x:c>
      <x:c r="K563" s="20" t="str">
        <x:f t="shared" si="8"/>
      </x:c>
    </x:row>
    <x:row r="564" ht="17">
      <x:c r="A564" s="58" t="s">
        <x:v>2454</x:v>
      </x:c>
      <x:c r="B564" s="58" t="s">
        <x:v>2455</x:v>
      </x:c>
      <x:c r="C564" s="58" t="s">
        <x:v>2456</x:v>
      </x:c>
      <x:c r="D564" s="58" t="s">
        <x:v>1295</x:v>
      </x:c>
      <x:c r="E564" s="18" t="s">
        <x:v>2457</x:v>
      </x:c>
      <x:c r="F564" s="18" t="s">
        <x:v>2458</x:v>
      </x:c>
      <x:c r="G564" s="126">
        <x:v>5341</x:v>
      </x:c>
      <x:c r="H564" s="126" t="e">
        <x:f>IF(G564="","",IF(G564&lt;参数与口径!$E$6,1,MATCH(G564,等级配置!$C$4:$C$103,1)))</x:f>
        <x:v>#NAME?</x:v>
      </x:c>
      <x:c r="I564" s="58" t="e">
        <x:f>IF(H564="","",INDEX(等级配置!$B$4:$B$103,H564))</x:f>
        <x:v>#NAME?</x:v>
      </x:c>
      <x:c r="J564" s="58" t="e">
        <x:f>IF(AND(D564="当前已婚",G564&lt;参数与口径!$E$6),"存量兼容Lv1",IF(G564&gt;=等级配置!$C$103,"Lv100溢出","正常"))</x:f>
        <x:v>#NAME?</x:v>
      </x:c>
      <x:c r="K564" s="20" t="str">
        <x:f t="shared" si="8"/>
      </x:c>
    </x:row>
    <x:row r="565" ht="17">
      <x:c r="A565" s="58" t="s">
        <x:v>2459</x:v>
      </x:c>
      <x:c r="B565" s="58" t="s">
        <x:v>2460</x:v>
      </x:c>
      <x:c r="C565" s="58" t="s">
        <x:v>2461</x:v>
      </x:c>
      <x:c r="D565" s="58" t="s">
        <x:v>1295</x:v>
      </x:c>
      <x:c r="E565" s="18" t="s">
        <x:v>2462</x:v>
      </x:c>
      <x:c r="F565" s="18" t="s">
        <x:v>2463</x:v>
      </x:c>
      <x:c r="G565" s="126">
        <x:v>5155</x:v>
      </x:c>
      <x:c r="H565" s="126" t="e">
        <x:f>IF(G565="","",IF(G565&lt;参数与口径!$E$6,1,MATCH(G565,等级配置!$C$4:$C$103,1)))</x:f>
        <x:v>#NAME?</x:v>
      </x:c>
      <x:c r="I565" s="58" t="e">
        <x:f>IF(H565="","",INDEX(等级配置!$B$4:$B$103,H565))</x:f>
        <x:v>#NAME?</x:v>
      </x:c>
      <x:c r="J565" s="58" t="e">
        <x:f>IF(AND(D565="当前已婚",G565&lt;参数与口径!$E$6),"存量兼容Lv1",IF(G565&gt;=等级配置!$C$103,"Lv100溢出","正常"))</x:f>
        <x:v>#NAME?</x:v>
      </x:c>
      <x:c r="K565" s="20" t="str">
        <x:f t="shared" si="8"/>
      </x:c>
    </x:row>
    <x:row r="566" ht="17">
      <x:c r="A566" s="58" t="s">
        <x:v>2464</x:v>
      </x:c>
      <x:c r="B566" s="58" t="s">
        <x:v>2400</x:v>
      </x:c>
      <x:c r="C566" s="58" t="s">
        <x:v>2465</x:v>
      </x:c>
      <x:c r="D566" s="58" t="s">
        <x:v>1295</x:v>
      </x:c>
      <x:c r="E566" s="18" t="s">
        <x:v>2466</x:v>
      </x:c>
      <x:c r="F566" s="18" t="s">
        <x:v>2467</x:v>
      </x:c>
      <x:c r="G566" s="126">
        <x:v>5092</x:v>
      </x:c>
      <x:c r="H566" s="126" t="e">
        <x:f>IF(G566="","",IF(G566&lt;参数与口径!$E$6,1,MATCH(G566,等级配置!$C$4:$C$103,1)))</x:f>
        <x:v>#NAME?</x:v>
      </x:c>
      <x:c r="I566" s="58" t="e">
        <x:f>IF(H566="","",INDEX(等级配置!$B$4:$B$103,H566))</x:f>
        <x:v>#NAME?</x:v>
      </x:c>
      <x:c r="J566" s="58" t="e">
        <x:f>IF(AND(D566="当前已婚",G566&lt;参数与口径!$E$6),"存量兼容Lv1",IF(G566&gt;=等级配置!$C$103,"Lv100溢出","正常"))</x:f>
        <x:v>#NAME?</x:v>
      </x:c>
      <x:c r="K566" s="20" t="str">
        <x:f t="shared" si="8"/>
      </x:c>
    </x:row>
    <x:row r="567" ht="17">
      <x:c r="A567" s="58" t="s">
        <x:v>2468</x:v>
      </x:c>
      <x:c r="B567" s="58" t="s">
        <x:v>2469</x:v>
      </x:c>
      <x:c r="C567" s="58" t="s">
        <x:v>2470</x:v>
      </x:c>
      <x:c r="D567" s="58" t="s">
        <x:v>1295</x:v>
      </x:c>
      <x:c r="E567" s="18" t="s">
        <x:v>2471</x:v>
      </x:c>
      <x:c r="F567" s="18" t="s">
        <x:v>2472</x:v>
      </x:c>
      <x:c r="G567" s="126">
        <x:v>4704</x:v>
      </x:c>
      <x:c r="H567" s="126" t="e">
        <x:f>IF(G567="","",IF(G567&lt;参数与口径!$E$6,1,MATCH(G567,等级配置!$C$4:$C$103,1)))</x:f>
        <x:v>#NAME?</x:v>
      </x:c>
      <x:c r="I567" s="58" t="e">
        <x:f>IF(H567="","",INDEX(等级配置!$B$4:$B$103,H567))</x:f>
        <x:v>#NAME?</x:v>
      </x:c>
      <x:c r="J567" s="58" t="e">
        <x:f>IF(AND(D567="当前已婚",G567&lt;参数与口径!$E$6),"存量兼容Lv1",IF(G567&gt;=等级配置!$C$103,"Lv100溢出","正常"))</x:f>
        <x:v>#NAME?</x:v>
      </x:c>
      <x:c r="K567" s="20" t="str">
        <x:f t="shared" si="8"/>
      </x:c>
    </x:row>
    <x:row r="568" ht="17">
      <x:c r="A568" s="58" t="s">
        <x:v>2473</x:v>
      </x:c>
      <x:c r="B568" s="58" t="s">
        <x:v>2474</x:v>
      </x:c>
      <x:c r="C568" s="58" t="s">
        <x:v>1894</x:v>
      </x:c>
      <x:c r="D568" s="58" t="s">
        <x:v>1295</x:v>
      </x:c>
      <x:c r="E568" s="18" t="s">
        <x:v>2475</x:v>
      </x:c>
      <x:c r="F568" s="18" t="s">
        <x:v>2476</x:v>
      </x:c>
      <x:c r="G568" s="126">
        <x:v>4597</x:v>
      </x:c>
      <x:c r="H568" s="126" t="e">
        <x:f>IF(G568="","",IF(G568&lt;参数与口径!$E$6,1,MATCH(G568,等级配置!$C$4:$C$103,1)))</x:f>
        <x:v>#NAME?</x:v>
      </x:c>
      <x:c r="I568" s="58" t="e">
        <x:f>IF(H568="","",INDEX(等级配置!$B$4:$B$103,H568))</x:f>
        <x:v>#NAME?</x:v>
      </x:c>
      <x:c r="J568" s="58" t="e">
        <x:f>IF(AND(D568="当前已婚",G568&lt;参数与口径!$E$6),"存量兼容Lv1",IF(G568&gt;=等级配置!$C$103,"Lv100溢出","正常"))</x:f>
        <x:v>#NAME?</x:v>
      </x:c>
      <x:c r="K568" s="20" t="str">
        <x:f t="shared" si="8"/>
      </x:c>
    </x:row>
    <x:row r="569" ht="17">
      <x:c r="A569" s="58" t="s">
        <x:v>2477</x:v>
      </x:c>
      <x:c r="B569" s="58" t="s">
        <x:v>2478</x:v>
      </x:c>
      <x:c r="C569" s="58" t="s">
        <x:v>2433</x:v>
      </x:c>
      <x:c r="D569" s="58" t="s">
        <x:v>1295</x:v>
      </x:c>
      <x:c r="E569" s="18" t="s">
        <x:v>2479</x:v>
      </x:c>
      <x:c r="F569" s="18" t="s">
        <x:v>2480</x:v>
      </x:c>
      <x:c r="G569" s="126">
        <x:v>4563</x:v>
      </x:c>
      <x:c r="H569" s="126" t="e">
        <x:f>IF(G569="","",IF(G569&lt;参数与口径!$E$6,1,MATCH(G569,等级配置!$C$4:$C$103,1)))</x:f>
        <x:v>#NAME?</x:v>
      </x:c>
      <x:c r="I569" s="58" t="e">
        <x:f>IF(H569="","",INDEX(等级配置!$B$4:$B$103,H569))</x:f>
        <x:v>#NAME?</x:v>
      </x:c>
      <x:c r="J569" s="58" t="e">
        <x:f>IF(AND(D569="当前已婚",G569&lt;参数与口径!$E$6),"存量兼容Lv1",IF(G569&gt;=等级配置!$C$103,"Lv100溢出","正常"))</x:f>
        <x:v>#NAME?</x:v>
      </x:c>
      <x:c r="K569" s="20" t="str">
        <x:f t="shared" si="8"/>
      </x:c>
    </x:row>
    <x:row r="570" ht="17">
      <x:c r="A570" s="58" t="s">
        <x:v>2481</x:v>
      </x:c>
      <x:c r="B570" s="58" t="s">
        <x:v>2482</x:v>
      </x:c>
      <x:c r="C570" s="58" t="s">
        <x:v>2483</x:v>
      </x:c>
      <x:c r="D570" s="58" t="s">
        <x:v>1295</x:v>
      </x:c>
      <x:c r="E570" s="18" t="s">
        <x:v>2484</x:v>
      </x:c>
      <x:c r="F570" s="18" t="s">
        <x:v>2485</x:v>
      </x:c>
      <x:c r="G570" s="126">
        <x:v>4550</x:v>
      </x:c>
      <x:c r="H570" s="126" t="e">
        <x:f>IF(G570="","",IF(G570&lt;参数与口径!$E$6,1,MATCH(G570,等级配置!$C$4:$C$103,1)))</x:f>
        <x:v>#NAME?</x:v>
      </x:c>
      <x:c r="I570" s="58" t="e">
        <x:f>IF(H570="","",INDEX(等级配置!$B$4:$B$103,H570))</x:f>
        <x:v>#NAME?</x:v>
      </x:c>
      <x:c r="J570" s="58" t="e">
        <x:f>IF(AND(D570="当前已婚",G570&lt;参数与口径!$E$6),"存量兼容Lv1",IF(G570&gt;=等级配置!$C$103,"Lv100溢出","正常"))</x:f>
        <x:v>#NAME?</x:v>
      </x:c>
      <x:c r="K570" s="20" t="str">
        <x:f t="shared" si="8"/>
      </x:c>
    </x:row>
    <x:row r="571" ht="17">
      <x:c r="A571" s="58" t="s">
        <x:v>2486</x:v>
      </x:c>
      <x:c r="B571" s="58" t="s">
        <x:v>2487</x:v>
      </x:c>
      <x:c r="C571" s="58" t="s">
        <x:v>2488</x:v>
      </x:c>
      <x:c r="D571" s="58" t="s">
        <x:v>1295</x:v>
      </x:c>
      <x:c r="E571" s="18" t="s">
        <x:v>2489</x:v>
      </x:c>
      <x:c r="F571" s="18" t="s">
        <x:v>2490</x:v>
      </x:c>
      <x:c r="G571" s="126">
        <x:v>4317</x:v>
      </x:c>
      <x:c r="H571" s="126" t="e">
        <x:f>IF(G571="","",IF(G571&lt;参数与口径!$E$6,1,MATCH(G571,等级配置!$C$4:$C$103,1)))</x:f>
        <x:v>#NAME?</x:v>
      </x:c>
      <x:c r="I571" s="58" t="e">
        <x:f>IF(H571="","",INDEX(等级配置!$B$4:$B$103,H571))</x:f>
        <x:v>#NAME?</x:v>
      </x:c>
      <x:c r="J571" s="58" t="e">
        <x:f>IF(AND(D571="当前已婚",G571&lt;参数与口径!$E$6),"存量兼容Lv1",IF(G571&gt;=等级配置!$C$103,"Lv100溢出","正常"))</x:f>
        <x:v>#NAME?</x:v>
      </x:c>
      <x:c r="K571" s="20" t="str">
        <x:f t="shared" si="8"/>
      </x:c>
    </x:row>
    <x:row r="572" ht="17">
      <x:c r="A572" s="58" t="s">
        <x:v>2491</x:v>
      </x:c>
      <x:c r="B572" s="58" t="s">
        <x:v>2492</x:v>
      </x:c>
      <x:c r="C572" s="58" t="s">
        <x:v>2493</x:v>
      </x:c>
      <x:c r="D572" s="58" t="s">
        <x:v>1295</x:v>
      </x:c>
      <x:c r="E572" s="18" t="s">
        <x:v>2494</x:v>
      </x:c>
      <x:c r="F572" s="18" t="s">
        <x:v>2495</x:v>
      </x:c>
      <x:c r="G572" s="126">
        <x:v>4279</x:v>
      </x:c>
      <x:c r="H572" s="126" t="e">
        <x:f>IF(G572="","",IF(G572&lt;参数与口径!$E$6,1,MATCH(G572,等级配置!$C$4:$C$103,1)))</x:f>
        <x:v>#NAME?</x:v>
      </x:c>
      <x:c r="I572" s="58" t="e">
        <x:f>IF(H572="","",INDEX(等级配置!$B$4:$B$103,H572))</x:f>
        <x:v>#NAME?</x:v>
      </x:c>
      <x:c r="J572" s="58" t="e">
        <x:f>IF(AND(D572="当前已婚",G572&lt;参数与口径!$E$6),"存量兼容Lv1",IF(G572&gt;=等级配置!$C$103,"Lv100溢出","正常"))</x:f>
        <x:v>#NAME?</x:v>
      </x:c>
      <x:c r="K572" s="20" t="str">
        <x:f t="shared" si="8"/>
      </x:c>
    </x:row>
    <x:row r="573" ht="17">
      <x:c r="A573" s="58" t="s">
        <x:v>2496</x:v>
      </x:c>
      <x:c r="B573" s="58" t="s">
        <x:v>2497</x:v>
      </x:c>
      <x:c r="C573" s="58" t="s">
        <x:v>2498</x:v>
      </x:c>
      <x:c r="D573" s="58" t="s">
        <x:v>1295</x:v>
      </x:c>
      <x:c r="E573" s="18" t="s">
        <x:v>2499</x:v>
      </x:c>
      <x:c r="F573" s="18" t="s">
        <x:v>2500</x:v>
      </x:c>
      <x:c r="G573" s="126">
        <x:v>4177</x:v>
      </x:c>
      <x:c r="H573" s="126" t="e">
        <x:f>IF(G573="","",IF(G573&lt;参数与口径!$E$6,1,MATCH(G573,等级配置!$C$4:$C$103,1)))</x:f>
        <x:v>#NAME?</x:v>
      </x:c>
      <x:c r="I573" s="58" t="e">
        <x:f>IF(H573="","",INDEX(等级配置!$B$4:$B$103,H573))</x:f>
        <x:v>#NAME?</x:v>
      </x:c>
      <x:c r="J573" s="58" t="e">
        <x:f>IF(AND(D573="当前已婚",G573&lt;参数与口径!$E$6),"存量兼容Lv1",IF(G573&gt;=等级配置!$C$103,"Lv100溢出","正常"))</x:f>
        <x:v>#NAME?</x:v>
      </x:c>
      <x:c r="K573" s="20" t="str">
        <x:f t="shared" si="8"/>
      </x:c>
    </x:row>
    <x:row r="574" ht="17">
      <x:c r="A574" s="58" t="s">
        <x:v>2501</x:v>
      </x:c>
      <x:c r="B574" s="58" t="s">
        <x:v>2502</x:v>
      </x:c>
      <x:c r="C574" s="58" t="s">
        <x:v>2503</x:v>
      </x:c>
      <x:c r="D574" s="58" t="s">
        <x:v>1295</x:v>
      </x:c>
      <x:c r="E574" s="18" t="s">
        <x:v>2504</x:v>
      </x:c>
      <x:c r="F574" s="18" t="s">
        <x:v>2505</x:v>
      </x:c>
      <x:c r="G574" s="126">
        <x:v>4103</x:v>
      </x:c>
      <x:c r="H574" s="126" t="e">
        <x:f>IF(G574="","",IF(G574&lt;参数与口径!$E$6,1,MATCH(G574,等级配置!$C$4:$C$103,1)))</x:f>
        <x:v>#NAME?</x:v>
      </x:c>
      <x:c r="I574" s="58" t="e">
        <x:f>IF(H574="","",INDEX(等级配置!$B$4:$B$103,H574))</x:f>
        <x:v>#NAME?</x:v>
      </x:c>
      <x:c r="J574" s="58" t="e">
        <x:f>IF(AND(D574="当前已婚",G574&lt;参数与口径!$E$6),"存量兼容Lv1",IF(G574&gt;=等级配置!$C$103,"Lv100溢出","正常"))</x:f>
        <x:v>#NAME?</x:v>
      </x:c>
      <x:c r="K574" s="20" t="str">
        <x:f t="shared" si="8"/>
      </x:c>
    </x:row>
    <x:row r="575" ht="17">
      <x:c r="A575" s="58" t="s">
        <x:v>2506</x:v>
      </x:c>
      <x:c r="B575" s="58" t="s">
        <x:v>2507</x:v>
      </x:c>
      <x:c r="C575" s="58" t="s">
        <x:v>2508</x:v>
      </x:c>
      <x:c r="D575" s="58" t="s">
        <x:v>1295</x:v>
      </x:c>
      <x:c r="E575" s="18" t="s">
        <x:v>2509</x:v>
      </x:c>
      <x:c r="F575" s="18" t="s">
        <x:v>2510</x:v>
      </x:c>
      <x:c r="G575" s="126">
        <x:v>3870</x:v>
      </x:c>
      <x:c r="H575" s="126" t="e">
        <x:f>IF(G575="","",IF(G575&lt;参数与口径!$E$6,1,MATCH(G575,等级配置!$C$4:$C$103,1)))</x:f>
        <x:v>#NAME?</x:v>
      </x:c>
      <x:c r="I575" s="58" t="e">
        <x:f>IF(H575="","",INDEX(等级配置!$B$4:$B$103,H575))</x:f>
        <x:v>#NAME?</x:v>
      </x:c>
      <x:c r="J575" s="58" t="e">
        <x:f>IF(AND(D575="当前已婚",G575&lt;参数与口径!$E$6),"存量兼容Lv1",IF(G575&gt;=等级配置!$C$103,"Lv100溢出","正常"))</x:f>
        <x:v>#NAME?</x:v>
      </x:c>
      <x:c r="K575" s="20" t="str">
        <x:f t="shared" si="8"/>
      </x:c>
    </x:row>
    <x:row r="576" ht="17">
      <x:c r="A576" s="58" t="s">
        <x:v>2511</x:v>
      </x:c>
      <x:c r="B576" s="58" t="s">
        <x:v>2512</x:v>
      </x:c>
      <x:c r="C576" s="58" t="s">
        <x:v>2513</x:v>
      </x:c>
      <x:c r="D576" s="58" t="s">
        <x:v>1295</x:v>
      </x:c>
      <x:c r="E576" s="18" t="s">
        <x:v>2514</x:v>
      </x:c>
      <x:c r="F576" s="18" t="s">
        <x:v>2515</x:v>
      </x:c>
      <x:c r="G576" s="126">
        <x:v>3844</x:v>
      </x:c>
      <x:c r="H576" s="126" t="e">
        <x:f>IF(G576="","",IF(G576&lt;参数与口径!$E$6,1,MATCH(G576,等级配置!$C$4:$C$103,1)))</x:f>
        <x:v>#NAME?</x:v>
      </x:c>
      <x:c r="I576" s="58" t="e">
        <x:f>IF(H576="","",INDEX(等级配置!$B$4:$B$103,H576))</x:f>
        <x:v>#NAME?</x:v>
      </x:c>
      <x:c r="J576" s="58" t="e">
        <x:f>IF(AND(D576="当前已婚",G576&lt;参数与口径!$E$6),"存量兼容Lv1",IF(G576&gt;=等级配置!$C$103,"Lv100溢出","正常"))</x:f>
        <x:v>#NAME?</x:v>
      </x:c>
      <x:c r="K576" s="20" t="str">
        <x:f t="shared" si="8"/>
      </x:c>
    </x:row>
    <x:row r="577" ht="17">
      <x:c r="A577" s="58" t="s">
        <x:v>2516</x:v>
      </x:c>
      <x:c r="B577" s="58" t="s">
        <x:v>2517</x:v>
      </x:c>
      <x:c r="C577" s="58" t="s">
        <x:v>2518</x:v>
      </x:c>
      <x:c r="D577" s="58" t="s">
        <x:v>1295</x:v>
      </x:c>
      <x:c r="E577" s="18" t="s">
        <x:v>2519</x:v>
      </x:c>
      <x:c r="F577" s="18" t="s">
        <x:v>2520</x:v>
      </x:c>
      <x:c r="G577" s="126">
        <x:v>3746</x:v>
      </x:c>
      <x:c r="H577" s="126" t="e">
        <x:f>IF(G577="","",IF(G577&lt;参数与口径!$E$6,1,MATCH(G577,等级配置!$C$4:$C$103,1)))</x:f>
        <x:v>#NAME?</x:v>
      </x:c>
      <x:c r="I577" s="58" t="e">
        <x:f>IF(H577="","",INDEX(等级配置!$B$4:$B$103,H577))</x:f>
        <x:v>#NAME?</x:v>
      </x:c>
      <x:c r="J577" s="58" t="e">
        <x:f>IF(AND(D577="当前已婚",G577&lt;参数与口径!$E$6),"存量兼容Lv1",IF(G577&gt;=等级配置!$C$103,"Lv100溢出","正常"))</x:f>
        <x:v>#NAME?</x:v>
      </x:c>
      <x:c r="K577" s="20" t="str">
        <x:f t="shared" si="8"/>
      </x:c>
    </x:row>
    <x:row r="578" ht="17">
      <x:c r="A578" s="58" t="s">
        <x:v>2521</x:v>
      </x:c>
      <x:c r="B578" s="58" t="s">
        <x:v>1281</x:v>
      </x:c>
      <x:c r="C578" s="58" t="s">
        <x:v>2522</x:v>
      </x:c>
      <x:c r="D578" s="58" t="s">
        <x:v>1295</x:v>
      </x:c>
      <x:c r="E578" s="18" t="s">
        <x:v>2523</x:v>
      </x:c>
      <x:c r="F578" s="18" t="s">
        <x:v>2524</x:v>
      </x:c>
      <x:c r="G578" s="126">
        <x:v>3737</x:v>
      </x:c>
      <x:c r="H578" s="126" t="e">
        <x:f>IF(G578="","",IF(G578&lt;参数与口径!$E$6,1,MATCH(G578,等级配置!$C$4:$C$103,1)))</x:f>
        <x:v>#NAME?</x:v>
      </x:c>
      <x:c r="I578" s="58" t="e">
        <x:f>IF(H578="","",INDEX(等级配置!$B$4:$B$103,H578))</x:f>
        <x:v>#NAME?</x:v>
      </x:c>
      <x:c r="J578" s="58" t="e">
        <x:f>IF(AND(D578="当前已婚",G578&lt;参数与口径!$E$6),"存量兼容Lv1",IF(G578&gt;=等级配置!$C$103,"Lv100溢出","正常"))</x:f>
        <x:v>#NAME?</x:v>
      </x:c>
      <x:c r="K578" s="20" t="str">
        <x:f t="shared" ref="K578:K641" si="9">IF(AND(D578="当前已婚",F578&lt;&gt;""),"当前已婚但存在离婚日期",IF(AND(D578="当前已婚",G578=0),"当前CP亲密值为0",""))</x:f>
      </x:c>
    </x:row>
    <x:row r="579" ht="17">
      <x:c r="A579" s="58" t="s">
        <x:v>2525</x:v>
      </x:c>
      <x:c r="B579" s="58" t="s">
        <x:v>2526</x:v>
      </x:c>
      <x:c r="C579" s="58" t="s">
        <x:v>2527</x:v>
      </x:c>
      <x:c r="D579" s="58" t="s">
        <x:v>1295</x:v>
      </x:c>
      <x:c r="E579" s="18" t="s">
        <x:v>2528</x:v>
      </x:c>
      <x:c r="F579" s="18" t="s">
        <x:v>2529</x:v>
      </x:c>
      <x:c r="G579" s="126">
        <x:v>3614</x:v>
      </x:c>
      <x:c r="H579" s="126" t="e">
        <x:f>IF(G579="","",IF(G579&lt;参数与口径!$E$6,1,MATCH(G579,等级配置!$C$4:$C$103,1)))</x:f>
        <x:v>#NAME?</x:v>
      </x:c>
      <x:c r="I579" s="58" t="e">
        <x:f>IF(H579="","",INDEX(等级配置!$B$4:$B$103,H579))</x:f>
        <x:v>#NAME?</x:v>
      </x:c>
      <x:c r="J579" s="58" t="e">
        <x:f>IF(AND(D579="当前已婚",G579&lt;参数与口径!$E$6),"存量兼容Lv1",IF(G579&gt;=等级配置!$C$103,"Lv100溢出","正常"))</x:f>
        <x:v>#NAME?</x:v>
      </x:c>
      <x:c r="K579" s="20" t="str">
        <x:f t="shared" si="9"/>
      </x:c>
    </x:row>
    <x:row r="580" ht="17">
      <x:c r="A580" s="58" t="s">
        <x:v>2530</x:v>
      </x:c>
      <x:c r="B580" s="58" t="s">
        <x:v>2418</x:v>
      </x:c>
      <x:c r="C580" s="58" t="s">
        <x:v>2531</x:v>
      </x:c>
      <x:c r="D580" s="58" t="s">
        <x:v>1295</x:v>
      </x:c>
      <x:c r="E580" s="18" t="s">
        <x:v>2532</x:v>
      </x:c>
      <x:c r="F580" s="18" t="s">
        <x:v>2533</x:v>
      </x:c>
      <x:c r="G580" s="126">
        <x:v>3470</x:v>
      </x:c>
      <x:c r="H580" s="126" t="e">
        <x:f>IF(G580="","",IF(G580&lt;参数与口径!$E$6,1,MATCH(G580,等级配置!$C$4:$C$103,1)))</x:f>
        <x:v>#NAME?</x:v>
      </x:c>
      <x:c r="I580" s="58" t="e">
        <x:f>IF(H580="","",INDEX(等级配置!$B$4:$B$103,H580))</x:f>
        <x:v>#NAME?</x:v>
      </x:c>
      <x:c r="J580" s="58" t="e">
        <x:f>IF(AND(D580="当前已婚",G580&lt;参数与口径!$E$6),"存量兼容Lv1",IF(G580&gt;=等级配置!$C$103,"Lv100溢出","正常"))</x:f>
        <x:v>#NAME?</x:v>
      </x:c>
      <x:c r="K580" s="20" t="str">
        <x:f t="shared" si="9"/>
      </x:c>
    </x:row>
    <x:row r="581" ht="17">
      <x:c r="A581" s="58" t="s">
        <x:v>2534</x:v>
      </x:c>
      <x:c r="B581" s="58" t="s">
        <x:v>2535</x:v>
      </x:c>
      <x:c r="C581" s="58" t="s">
        <x:v>2536</x:v>
      </x:c>
      <x:c r="D581" s="58" t="s">
        <x:v>1295</x:v>
      </x:c>
      <x:c r="E581" s="18" t="s">
        <x:v>2537</x:v>
      </x:c>
      <x:c r="F581" s="18" t="s">
        <x:v>2538</x:v>
      </x:c>
      <x:c r="G581" s="126">
        <x:v>3446</x:v>
      </x:c>
      <x:c r="H581" s="126" t="e">
        <x:f>IF(G581="","",IF(G581&lt;参数与口径!$E$6,1,MATCH(G581,等级配置!$C$4:$C$103,1)))</x:f>
        <x:v>#NAME?</x:v>
      </x:c>
      <x:c r="I581" s="58" t="e">
        <x:f>IF(H581="","",INDEX(等级配置!$B$4:$B$103,H581))</x:f>
        <x:v>#NAME?</x:v>
      </x:c>
      <x:c r="J581" s="58" t="e">
        <x:f>IF(AND(D581="当前已婚",G581&lt;参数与口径!$E$6),"存量兼容Lv1",IF(G581&gt;=等级配置!$C$103,"Lv100溢出","正常"))</x:f>
        <x:v>#NAME?</x:v>
      </x:c>
      <x:c r="K581" s="20" t="str">
        <x:f t="shared" si="9"/>
      </x:c>
    </x:row>
    <x:row r="582" ht="17">
      <x:c r="A582" s="58" t="s">
        <x:v>2539</x:v>
      </x:c>
      <x:c r="B582" s="58" t="s">
        <x:v>2540</x:v>
      </x:c>
      <x:c r="C582" s="58" t="s">
        <x:v>2536</x:v>
      </x:c>
      <x:c r="D582" s="58" t="s">
        <x:v>1295</x:v>
      </x:c>
      <x:c r="E582" s="18" t="s">
        <x:v>2541</x:v>
      </x:c>
      <x:c r="F582" s="18" t="s">
        <x:v>2542</x:v>
      </x:c>
      <x:c r="G582" s="126">
        <x:v>3368</x:v>
      </x:c>
      <x:c r="H582" s="126" t="e">
        <x:f>IF(G582="","",IF(G582&lt;参数与口径!$E$6,1,MATCH(G582,等级配置!$C$4:$C$103,1)))</x:f>
        <x:v>#NAME?</x:v>
      </x:c>
      <x:c r="I582" s="58" t="e">
        <x:f>IF(H582="","",INDEX(等级配置!$B$4:$B$103,H582))</x:f>
        <x:v>#NAME?</x:v>
      </x:c>
      <x:c r="J582" s="58" t="e">
        <x:f>IF(AND(D582="当前已婚",G582&lt;参数与口径!$E$6),"存量兼容Lv1",IF(G582&gt;=等级配置!$C$103,"Lv100溢出","正常"))</x:f>
        <x:v>#NAME?</x:v>
      </x:c>
      <x:c r="K582" s="20" t="str">
        <x:f t="shared" si="9"/>
      </x:c>
    </x:row>
    <x:row r="583" ht="17">
      <x:c r="A583" s="58" t="s">
        <x:v>2543</x:v>
      </x:c>
      <x:c r="B583" s="58" t="s">
        <x:v>2544</x:v>
      </x:c>
      <x:c r="C583" s="58" t="s">
        <x:v>2545</x:v>
      </x:c>
      <x:c r="D583" s="58" t="s">
        <x:v>1295</x:v>
      </x:c>
      <x:c r="E583" s="18" t="s">
        <x:v>2546</x:v>
      </x:c>
      <x:c r="F583" s="18" t="s">
        <x:v>2547</x:v>
      </x:c>
      <x:c r="G583" s="126">
        <x:v>3326</x:v>
      </x:c>
      <x:c r="H583" s="126" t="e">
        <x:f>IF(G583="","",IF(G583&lt;参数与口径!$E$6,1,MATCH(G583,等级配置!$C$4:$C$103,1)))</x:f>
        <x:v>#NAME?</x:v>
      </x:c>
      <x:c r="I583" s="58" t="e">
        <x:f>IF(H583="","",INDEX(等级配置!$B$4:$B$103,H583))</x:f>
        <x:v>#NAME?</x:v>
      </x:c>
      <x:c r="J583" s="58" t="e">
        <x:f>IF(AND(D583="当前已婚",G583&lt;参数与口径!$E$6),"存量兼容Lv1",IF(G583&gt;=等级配置!$C$103,"Lv100溢出","正常"))</x:f>
        <x:v>#NAME?</x:v>
      </x:c>
      <x:c r="K583" s="20" t="str">
        <x:f t="shared" si="9"/>
      </x:c>
    </x:row>
    <x:row r="584" ht="17">
      <x:c r="A584" s="58" t="s">
        <x:v>2548</x:v>
      </x:c>
      <x:c r="B584" s="58" t="s">
        <x:v>2549</x:v>
      </x:c>
      <x:c r="C584" s="58" t="s">
        <x:v>2550</x:v>
      </x:c>
      <x:c r="D584" s="58" t="s">
        <x:v>1295</x:v>
      </x:c>
      <x:c r="E584" s="18" t="s">
        <x:v>2551</x:v>
      </x:c>
      <x:c r="F584" s="18" t="s">
        <x:v>2552</x:v>
      </x:c>
      <x:c r="G584" s="126">
        <x:v>3288</x:v>
      </x:c>
      <x:c r="H584" s="126" t="e">
        <x:f>IF(G584="","",IF(G584&lt;参数与口径!$E$6,1,MATCH(G584,等级配置!$C$4:$C$103,1)))</x:f>
        <x:v>#NAME?</x:v>
      </x:c>
      <x:c r="I584" s="58" t="e">
        <x:f>IF(H584="","",INDEX(等级配置!$B$4:$B$103,H584))</x:f>
        <x:v>#NAME?</x:v>
      </x:c>
      <x:c r="J584" s="58" t="e">
        <x:f>IF(AND(D584="当前已婚",G584&lt;参数与口径!$E$6),"存量兼容Lv1",IF(G584&gt;=等级配置!$C$103,"Lv100溢出","正常"))</x:f>
        <x:v>#NAME?</x:v>
      </x:c>
      <x:c r="K584" s="20" t="str">
        <x:f t="shared" si="9"/>
      </x:c>
    </x:row>
    <x:row r="585" ht="17">
      <x:c r="A585" s="58" t="s">
        <x:v>2553</x:v>
      </x:c>
      <x:c r="B585" s="58" t="s">
        <x:v>2554</x:v>
      </x:c>
      <x:c r="C585" s="58" t="s">
        <x:v>2555</x:v>
      </x:c>
      <x:c r="D585" s="58" t="s">
        <x:v>1295</x:v>
      </x:c>
      <x:c r="E585" s="18" t="s">
        <x:v>2556</x:v>
      </x:c>
      <x:c r="F585" s="18" t="s">
        <x:v>2557</x:v>
      </x:c>
      <x:c r="G585" s="126">
        <x:v>3024</x:v>
      </x:c>
      <x:c r="H585" s="126" t="e">
        <x:f>IF(G585="","",IF(G585&lt;参数与口径!$E$6,1,MATCH(G585,等级配置!$C$4:$C$103,1)))</x:f>
        <x:v>#NAME?</x:v>
      </x:c>
      <x:c r="I585" s="58" t="e">
        <x:f>IF(H585="","",INDEX(等级配置!$B$4:$B$103,H585))</x:f>
        <x:v>#NAME?</x:v>
      </x:c>
      <x:c r="J585" s="58" t="e">
        <x:f>IF(AND(D585="当前已婚",G585&lt;参数与口径!$E$6),"存量兼容Lv1",IF(G585&gt;=等级配置!$C$103,"Lv100溢出","正常"))</x:f>
        <x:v>#NAME?</x:v>
      </x:c>
      <x:c r="K585" s="20" t="str">
        <x:f t="shared" si="9"/>
      </x:c>
    </x:row>
    <x:row r="586" ht="17">
      <x:c r="A586" s="58" t="s">
        <x:v>2558</x:v>
      </x:c>
      <x:c r="B586" s="58" t="s">
        <x:v>739</x:v>
      </x:c>
      <x:c r="C586" s="58" t="s">
        <x:v>2559</x:v>
      </x:c>
      <x:c r="D586" s="58" t="s">
        <x:v>1295</x:v>
      </x:c>
      <x:c r="E586" s="18" t="s">
        <x:v>2560</x:v>
      </x:c>
      <x:c r="F586" s="18" t="s">
        <x:v>2561</x:v>
      </x:c>
      <x:c r="G586" s="126">
        <x:v>2992</x:v>
      </x:c>
      <x:c r="H586" s="126" t="e">
        <x:f>IF(G586="","",IF(G586&lt;参数与口径!$E$6,1,MATCH(G586,等级配置!$C$4:$C$103,1)))</x:f>
        <x:v>#NAME?</x:v>
      </x:c>
      <x:c r="I586" s="58" t="e">
        <x:f>IF(H586="","",INDEX(等级配置!$B$4:$B$103,H586))</x:f>
        <x:v>#NAME?</x:v>
      </x:c>
      <x:c r="J586" s="58" t="e">
        <x:f>IF(AND(D586="当前已婚",G586&lt;参数与口径!$E$6),"存量兼容Lv1",IF(G586&gt;=等级配置!$C$103,"Lv100溢出","正常"))</x:f>
        <x:v>#NAME?</x:v>
      </x:c>
      <x:c r="K586" s="20" t="str">
        <x:f t="shared" si="9"/>
      </x:c>
    </x:row>
    <x:row r="587" ht="17">
      <x:c r="A587" s="58" t="s">
        <x:v>2562</x:v>
      </x:c>
      <x:c r="B587" s="58" t="s">
        <x:v>2563</x:v>
      </x:c>
      <x:c r="C587" s="58" t="s">
        <x:v>2564</x:v>
      </x:c>
      <x:c r="D587" s="58" t="s">
        <x:v>1295</x:v>
      </x:c>
      <x:c r="E587" s="18" t="s">
        <x:v>2565</x:v>
      </x:c>
      <x:c r="F587" s="18" t="s">
        <x:v>2566</x:v>
      </x:c>
      <x:c r="G587" s="126">
        <x:v>2862</x:v>
      </x:c>
      <x:c r="H587" s="126" t="e">
        <x:f>IF(G587="","",IF(G587&lt;参数与口径!$E$6,1,MATCH(G587,等级配置!$C$4:$C$103,1)))</x:f>
        <x:v>#NAME?</x:v>
      </x:c>
      <x:c r="I587" s="58" t="e">
        <x:f>IF(H587="","",INDEX(等级配置!$B$4:$B$103,H587))</x:f>
        <x:v>#NAME?</x:v>
      </x:c>
      <x:c r="J587" s="58" t="e">
        <x:f>IF(AND(D587="当前已婚",G587&lt;参数与口径!$E$6),"存量兼容Lv1",IF(G587&gt;=等级配置!$C$103,"Lv100溢出","正常"))</x:f>
        <x:v>#NAME?</x:v>
      </x:c>
      <x:c r="K587" s="20" t="str">
        <x:f t="shared" si="9"/>
      </x:c>
    </x:row>
    <x:row r="588" ht="17">
      <x:c r="A588" s="58" t="s">
        <x:v>2567</x:v>
      </x:c>
      <x:c r="B588" s="58" t="s">
        <x:v>2568</x:v>
      </x:c>
      <x:c r="C588" s="58" t="s">
        <x:v>2569</x:v>
      </x:c>
      <x:c r="D588" s="58" t="s">
        <x:v>1295</x:v>
      </x:c>
      <x:c r="E588" s="18" t="s">
        <x:v>2570</x:v>
      </x:c>
      <x:c r="F588" s="18" t="s">
        <x:v>2571</x:v>
      </x:c>
      <x:c r="G588" s="126">
        <x:v>2845</x:v>
      </x:c>
      <x:c r="H588" s="126" t="e">
        <x:f>IF(G588="","",IF(G588&lt;参数与口径!$E$6,1,MATCH(G588,等级配置!$C$4:$C$103,1)))</x:f>
        <x:v>#NAME?</x:v>
      </x:c>
      <x:c r="I588" s="58" t="e">
        <x:f>IF(H588="","",INDEX(等级配置!$B$4:$B$103,H588))</x:f>
        <x:v>#NAME?</x:v>
      </x:c>
      <x:c r="J588" s="58" t="e">
        <x:f>IF(AND(D588="当前已婚",G588&lt;参数与口径!$E$6),"存量兼容Lv1",IF(G588&gt;=等级配置!$C$103,"Lv100溢出","正常"))</x:f>
        <x:v>#NAME?</x:v>
      </x:c>
      <x:c r="K588" s="20" t="str">
        <x:f t="shared" si="9"/>
      </x:c>
    </x:row>
    <x:row r="589" ht="17">
      <x:c r="A589" s="58" t="s">
        <x:v>2572</x:v>
      </x:c>
      <x:c r="B589" s="58" t="s">
        <x:v>520</x:v>
      </x:c>
      <x:c r="C589" s="58" t="s">
        <x:v>2573</x:v>
      </x:c>
      <x:c r="D589" s="58" t="s">
        <x:v>1295</x:v>
      </x:c>
      <x:c r="E589" s="18" t="s">
        <x:v>2574</x:v>
      </x:c>
      <x:c r="F589" s="18" t="s">
        <x:v>2575</x:v>
      </x:c>
      <x:c r="G589" s="126">
        <x:v>2804</x:v>
      </x:c>
      <x:c r="H589" s="126" t="e">
        <x:f>IF(G589="","",IF(G589&lt;参数与口径!$E$6,1,MATCH(G589,等级配置!$C$4:$C$103,1)))</x:f>
        <x:v>#NAME?</x:v>
      </x:c>
      <x:c r="I589" s="58" t="e">
        <x:f>IF(H589="","",INDEX(等级配置!$B$4:$B$103,H589))</x:f>
        <x:v>#NAME?</x:v>
      </x:c>
      <x:c r="J589" s="58" t="e">
        <x:f>IF(AND(D589="当前已婚",G589&lt;参数与口径!$E$6),"存量兼容Lv1",IF(G589&gt;=等级配置!$C$103,"Lv100溢出","正常"))</x:f>
        <x:v>#NAME?</x:v>
      </x:c>
      <x:c r="K589" s="20" t="str">
        <x:f t="shared" si="9"/>
      </x:c>
    </x:row>
    <x:row r="590" ht="17">
      <x:c r="A590" s="58" t="s">
        <x:v>2576</x:v>
      </x:c>
      <x:c r="B590" s="58" t="s">
        <x:v>2577</x:v>
      </x:c>
      <x:c r="C590" s="58" t="s">
        <x:v>2578</x:v>
      </x:c>
      <x:c r="D590" s="58" t="s">
        <x:v>1295</x:v>
      </x:c>
      <x:c r="E590" s="18" t="s">
        <x:v>2579</x:v>
      </x:c>
      <x:c r="F590" s="18" t="s">
        <x:v>2580</x:v>
      </x:c>
      <x:c r="G590" s="126">
        <x:v>2794</x:v>
      </x:c>
      <x:c r="H590" s="126" t="e">
        <x:f>IF(G590="","",IF(G590&lt;参数与口径!$E$6,1,MATCH(G590,等级配置!$C$4:$C$103,1)))</x:f>
        <x:v>#NAME?</x:v>
      </x:c>
      <x:c r="I590" s="58" t="e">
        <x:f>IF(H590="","",INDEX(等级配置!$B$4:$B$103,H590))</x:f>
        <x:v>#NAME?</x:v>
      </x:c>
      <x:c r="J590" s="58" t="e">
        <x:f>IF(AND(D590="当前已婚",G590&lt;参数与口径!$E$6),"存量兼容Lv1",IF(G590&gt;=等级配置!$C$103,"Lv100溢出","正常"))</x:f>
        <x:v>#NAME?</x:v>
      </x:c>
      <x:c r="K590" s="20" t="str">
        <x:f t="shared" si="9"/>
      </x:c>
    </x:row>
    <x:row r="591" ht="17">
      <x:c r="A591" s="58" t="s">
        <x:v>2581</x:v>
      </x:c>
      <x:c r="B591" s="58" t="s">
        <x:v>1642</x:v>
      </x:c>
      <x:c r="C591" s="58" t="s">
        <x:v>2582</x:v>
      </x:c>
      <x:c r="D591" s="58" t="s">
        <x:v>1295</x:v>
      </x:c>
      <x:c r="E591" s="18" t="s">
        <x:v>2583</x:v>
      </x:c>
      <x:c r="F591" s="18" t="s">
        <x:v>2584</x:v>
      </x:c>
      <x:c r="G591" s="126">
        <x:v>2627</x:v>
      </x:c>
      <x:c r="H591" s="126" t="e">
        <x:f>IF(G591="","",IF(G591&lt;参数与口径!$E$6,1,MATCH(G591,等级配置!$C$4:$C$103,1)))</x:f>
        <x:v>#NAME?</x:v>
      </x:c>
      <x:c r="I591" s="58" t="e">
        <x:f>IF(H591="","",INDEX(等级配置!$B$4:$B$103,H591))</x:f>
        <x:v>#NAME?</x:v>
      </x:c>
      <x:c r="J591" s="58" t="e">
        <x:f>IF(AND(D591="当前已婚",G591&lt;参数与口径!$E$6),"存量兼容Lv1",IF(G591&gt;=等级配置!$C$103,"Lv100溢出","正常"))</x:f>
        <x:v>#NAME?</x:v>
      </x:c>
      <x:c r="K591" s="20" t="str">
        <x:f t="shared" si="9"/>
      </x:c>
    </x:row>
    <x:row r="592" ht="17">
      <x:c r="A592" s="58" t="s">
        <x:v>2585</x:v>
      </x:c>
      <x:c r="B592" s="58" t="s">
        <x:v>2586</x:v>
      </x:c>
      <x:c r="C592" s="58" t="s">
        <x:v>2587</x:v>
      </x:c>
      <x:c r="D592" s="58" t="s">
        <x:v>1295</x:v>
      </x:c>
      <x:c r="E592" s="18" t="s">
        <x:v>2588</x:v>
      </x:c>
      <x:c r="F592" s="18" t="s">
        <x:v>2589</x:v>
      </x:c>
      <x:c r="G592" s="126">
        <x:v>2577</x:v>
      </x:c>
      <x:c r="H592" s="126" t="e">
        <x:f>IF(G592="","",IF(G592&lt;参数与口径!$E$6,1,MATCH(G592,等级配置!$C$4:$C$103,1)))</x:f>
        <x:v>#NAME?</x:v>
      </x:c>
      <x:c r="I592" s="58" t="e">
        <x:f>IF(H592="","",INDEX(等级配置!$B$4:$B$103,H592))</x:f>
        <x:v>#NAME?</x:v>
      </x:c>
      <x:c r="J592" s="58" t="e">
        <x:f>IF(AND(D592="当前已婚",G592&lt;参数与口径!$E$6),"存量兼容Lv1",IF(G592&gt;=等级配置!$C$103,"Lv100溢出","正常"))</x:f>
        <x:v>#NAME?</x:v>
      </x:c>
      <x:c r="K592" s="20" t="str">
        <x:f t="shared" si="9"/>
      </x:c>
    </x:row>
    <x:row r="593" ht="17">
      <x:c r="A593" s="58" t="s">
        <x:v>2590</x:v>
      </x:c>
      <x:c r="B593" s="58" t="s">
        <x:v>2591</x:v>
      </x:c>
      <x:c r="C593" s="58" t="s">
        <x:v>2592</x:v>
      </x:c>
      <x:c r="D593" s="58" t="s">
        <x:v>1295</x:v>
      </x:c>
      <x:c r="E593" s="18" t="s">
        <x:v>2593</x:v>
      </x:c>
      <x:c r="F593" s="18"/>
      <x:c r="G593" s="126">
        <x:v>2431</x:v>
      </x:c>
      <x:c r="H593" s="126" t="e">
        <x:f>IF(G593="","",IF(G593&lt;参数与口径!$E$6,1,MATCH(G593,等级配置!$C$4:$C$103,1)))</x:f>
        <x:v>#NAME?</x:v>
      </x:c>
      <x:c r="I593" s="58" t="e">
        <x:f>IF(H593="","",INDEX(等级配置!$B$4:$B$103,H593))</x:f>
        <x:v>#NAME?</x:v>
      </x:c>
      <x:c r="J593" s="58" t="e">
        <x:f>IF(AND(D593="当前已婚",G593&lt;参数与口径!$E$6),"存量兼容Lv1",IF(G593&gt;=等级配置!$C$103,"Lv100溢出","正常"))</x:f>
        <x:v>#NAME?</x:v>
      </x:c>
      <x:c r="K593" s="20" t="str">
        <x:f t="shared" si="9"/>
      </x:c>
    </x:row>
    <x:row r="594" ht="17">
      <x:c r="A594" s="58" t="s">
        <x:v>2594</x:v>
      </x:c>
      <x:c r="B594" s="58" t="s">
        <x:v>2595</x:v>
      </x:c>
      <x:c r="C594" s="58" t="s">
        <x:v>519</x:v>
      </x:c>
      <x:c r="D594" s="58" t="s">
        <x:v>1295</x:v>
      </x:c>
      <x:c r="E594" s="18" t="s">
        <x:v>2596</x:v>
      </x:c>
      <x:c r="F594" s="18" t="s">
        <x:v>2597</x:v>
      </x:c>
      <x:c r="G594" s="126">
        <x:v>2230</x:v>
      </x:c>
      <x:c r="H594" s="126" t="e">
        <x:f>IF(G594="","",IF(G594&lt;参数与口径!$E$6,1,MATCH(G594,等级配置!$C$4:$C$103,1)))</x:f>
        <x:v>#NAME?</x:v>
      </x:c>
      <x:c r="I594" s="58" t="e">
        <x:f>IF(H594="","",INDEX(等级配置!$B$4:$B$103,H594))</x:f>
        <x:v>#NAME?</x:v>
      </x:c>
      <x:c r="J594" s="58" t="e">
        <x:f>IF(AND(D594="当前已婚",G594&lt;参数与口径!$E$6),"存量兼容Lv1",IF(G594&gt;=等级配置!$C$103,"Lv100溢出","正常"))</x:f>
        <x:v>#NAME?</x:v>
      </x:c>
      <x:c r="K594" s="20" t="str">
        <x:f t="shared" si="9"/>
      </x:c>
    </x:row>
    <x:row r="595" ht="17">
      <x:c r="A595" s="58" t="s">
        <x:v>2598</x:v>
      </x:c>
      <x:c r="B595" s="58" t="s">
        <x:v>1937</x:v>
      </x:c>
      <x:c r="C595" s="58" t="s">
        <x:v>2599</x:v>
      </x:c>
      <x:c r="D595" s="58" t="s">
        <x:v>1295</x:v>
      </x:c>
      <x:c r="E595" s="18" t="s">
        <x:v>2600</x:v>
      </x:c>
      <x:c r="F595" s="18" t="s">
        <x:v>2601</x:v>
      </x:c>
      <x:c r="G595" s="126">
        <x:v>1953</x:v>
      </x:c>
      <x:c r="H595" s="126" t="e">
        <x:f>IF(G595="","",IF(G595&lt;参数与口径!$E$6,1,MATCH(G595,等级配置!$C$4:$C$103,1)))</x:f>
        <x:v>#NAME?</x:v>
      </x:c>
      <x:c r="I595" s="58" t="e">
        <x:f>IF(H595="","",INDEX(等级配置!$B$4:$B$103,H595))</x:f>
        <x:v>#NAME?</x:v>
      </x:c>
      <x:c r="J595" s="58" t="e">
        <x:f>IF(AND(D595="当前已婚",G595&lt;参数与口径!$E$6),"存量兼容Lv1",IF(G595&gt;=等级配置!$C$103,"Lv100溢出","正常"))</x:f>
        <x:v>#NAME?</x:v>
      </x:c>
      <x:c r="K595" s="20" t="str">
        <x:f t="shared" si="9"/>
      </x:c>
    </x:row>
    <x:row r="596" ht="17">
      <x:c r="A596" s="58" t="s">
        <x:v>2602</x:v>
      </x:c>
      <x:c r="B596" s="58" t="s">
        <x:v>2603</x:v>
      </x:c>
      <x:c r="C596" s="58" t="s">
        <x:v>2604</x:v>
      </x:c>
      <x:c r="D596" s="58" t="s">
        <x:v>1295</x:v>
      </x:c>
      <x:c r="E596" s="18" t="s">
        <x:v>2605</x:v>
      </x:c>
      <x:c r="F596" s="18" t="s">
        <x:v>2606</x:v>
      </x:c>
      <x:c r="G596" s="126">
        <x:v>1773</x:v>
      </x:c>
      <x:c r="H596" s="126" t="e">
        <x:f>IF(G596="","",IF(G596&lt;参数与口径!$E$6,1,MATCH(G596,等级配置!$C$4:$C$103,1)))</x:f>
        <x:v>#NAME?</x:v>
      </x:c>
      <x:c r="I596" s="58" t="e">
        <x:f>IF(H596="","",INDEX(等级配置!$B$4:$B$103,H596))</x:f>
        <x:v>#NAME?</x:v>
      </x:c>
      <x:c r="J596" s="58" t="e">
        <x:f>IF(AND(D596="当前已婚",G596&lt;参数与口径!$E$6),"存量兼容Lv1",IF(G596&gt;=等级配置!$C$103,"Lv100溢出","正常"))</x:f>
        <x:v>#NAME?</x:v>
      </x:c>
      <x:c r="K596" s="20" t="str">
        <x:f t="shared" si="9"/>
      </x:c>
    </x:row>
    <x:row r="597" ht="17">
      <x:c r="A597" s="58" t="s">
        <x:v>2607</x:v>
      </x:c>
      <x:c r="B597" s="58" t="s">
        <x:v>1436</x:v>
      </x:c>
      <x:c r="C597" s="58" t="s">
        <x:v>2608</x:v>
      </x:c>
      <x:c r="D597" s="58" t="s">
        <x:v>1295</x:v>
      </x:c>
      <x:c r="E597" s="18" t="s">
        <x:v>2609</x:v>
      </x:c>
      <x:c r="F597" s="18" t="s">
        <x:v>2610</x:v>
      </x:c>
      <x:c r="G597" s="126">
        <x:v>1687</x:v>
      </x:c>
      <x:c r="H597" s="126" t="e">
        <x:f>IF(G597="","",IF(G597&lt;参数与口径!$E$6,1,MATCH(G597,等级配置!$C$4:$C$103,1)))</x:f>
        <x:v>#NAME?</x:v>
      </x:c>
      <x:c r="I597" s="58" t="e">
        <x:f>IF(H597="","",INDEX(等级配置!$B$4:$B$103,H597))</x:f>
        <x:v>#NAME?</x:v>
      </x:c>
      <x:c r="J597" s="58" t="e">
        <x:f>IF(AND(D597="当前已婚",G597&lt;参数与口径!$E$6),"存量兼容Lv1",IF(G597&gt;=等级配置!$C$103,"Lv100溢出","正常"))</x:f>
        <x:v>#NAME?</x:v>
      </x:c>
      <x:c r="K597" s="20" t="str">
        <x:f t="shared" si="9"/>
      </x:c>
    </x:row>
    <x:row r="598" ht="17">
      <x:c r="A598" s="58" t="s">
        <x:v>2611</x:v>
      </x:c>
      <x:c r="B598" s="58" t="s">
        <x:v>1847</x:v>
      </x:c>
      <x:c r="C598" s="58" t="s">
        <x:v>2612</x:v>
      </x:c>
      <x:c r="D598" s="58" t="s">
        <x:v>1295</x:v>
      </x:c>
      <x:c r="E598" s="18" t="s">
        <x:v>2613</x:v>
      </x:c>
      <x:c r="F598" s="18" t="s">
        <x:v>2614</x:v>
      </x:c>
      <x:c r="G598" s="126">
        <x:v>1551</x:v>
      </x:c>
      <x:c r="H598" s="126" t="e">
        <x:f>IF(G598="","",IF(G598&lt;参数与口径!$E$6,1,MATCH(G598,等级配置!$C$4:$C$103,1)))</x:f>
        <x:v>#NAME?</x:v>
      </x:c>
      <x:c r="I598" s="58" t="e">
        <x:f>IF(H598="","",INDEX(等级配置!$B$4:$B$103,H598))</x:f>
        <x:v>#NAME?</x:v>
      </x:c>
      <x:c r="J598" s="58" t="e">
        <x:f>IF(AND(D598="当前已婚",G598&lt;参数与口径!$E$6),"存量兼容Lv1",IF(G598&gt;=等级配置!$C$103,"Lv100溢出","正常"))</x:f>
        <x:v>#NAME?</x:v>
      </x:c>
      <x:c r="K598" s="20" t="str">
        <x:f t="shared" si="9"/>
      </x:c>
    </x:row>
    <x:row r="599" ht="17">
      <x:c r="A599" s="58" t="s">
        <x:v>2615</x:v>
      </x:c>
      <x:c r="B599" s="58" t="s">
        <x:v>2616</x:v>
      </x:c>
      <x:c r="C599" s="58" t="s">
        <x:v>2617</x:v>
      </x:c>
      <x:c r="D599" s="58" t="s">
        <x:v>1295</x:v>
      </x:c>
      <x:c r="E599" s="18" t="s">
        <x:v>2618</x:v>
      </x:c>
      <x:c r="F599" s="18" t="s">
        <x:v>2619</x:v>
      </x:c>
      <x:c r="G599" s="126">
        <x:v>1550</x:v>
      </x:c>
      <x:c r="H599" s="126" t="e">
        <x:f>IF(G599="","",IF(G599&lt;参数与口径!$E$6,1,MATCH(G599,等级配置!$C$4:$C$103,1)))</x:f>
        <x:v>#NAME?</x:v>
      </x:c>
      <x:c r="I599" s="58" t="e">
        <x:f>IF(H599="","",INDEX(等级配置!$B$4:$B$103,H599))</x:f>
        <x:v>#NAME?</x:v>
      </x:c>
      <x:c r="J599" s="58" t="e">
        <x:f>IF(AND(D599="当前已婚",G599&lt;参数与口径!$E$6),"存量兼容Lv1",IF(G599&gt;=等级配置!$C$103,"Lv100溢出","正常"))</x:f>
        <x:v>#NAME?</x:v>
      </x:c>
      <x:c r="K599" s="20" t="str">
        <x:f t="shared" si="9"/>
      </x:c>
    </x:row>
    <x:row r="600" ht="17">
      <x:c r="A600" s="58" t="s">
        <x:v>2620</x:v>
      </x:c>
      <x:c r="B600" s="58" t="s">
        <x:v>2621</x:v>
      </x:c>
      <x:c r="C600" s="58" t="s">
        <x:v>2047</x:v>
      </x:c>
      <x:c r="D600" s="58" t="s">
        <x:v>1295</x:v>
      </x:c>
      <x:c r="E600" s="18" t="s">
        <x:v>2622</x:v>
      </x:c>
      <x:c r="F600" s="18" t="s">
        <x:v>2623</x:v>
      </x:c>
      <x:c r="G600" s="126">
        <x:v>1487</x:v>
      </x:c>
      <x:c r="H600" s="126" t="e">
        <x:f>IF(G600="","",IF(G600&lt;参数与口径!$E$6,1,MATCH(G600,等级配置!$C$4:$C$103,1)))</x:f>
        <x:v>#NAME?</x:v>
      </x:c>
      <x:c r="I600" s="58" t="e">
        <x:f>IF(H600="","",INDEX(等级配置!$B$4:$B$103,H600))</x:f>
        <x:v>#NAME?</x:v>
      </x:c>
      <x:c r="J600" s="58" t="e">
        <x:f>IF(AND(D600="当前已婚",G600&lt;参数与口径!$E$6),"存量兼容Lv1",IF(G600&gt;=等级配置!$C$103,"Lv100溢出","正常"))</x:f>
        <x:v>#NAME?</x:v>
      </x:c>
      <x:c r="K600" s="20" t="str">
        <x:f t="shared" si="9"/>
      </x:c>
    </x:row>
    <x:row r="601" ht="17">
      <x:c r="A601" s="58" t="s">
        <x:v>2624</x:v>
      </x:c>
      <x:c r="B601" s="58" t="s">
        <x:v>2625</x:v>
      </x:c>
      <x:c r="C601" s="58" t="s">
        <x:v>2626</x:v>
      </x:c>
      <x:c r="D601" s="58" t="s">
        <x:v>1295</x:v>
      </x:c>
      <x:c r="E601" s="18" t="s">
        <x:v>2627</x:v>
      </x:c>
      <x:c r="F601" s="18" t="s">
        <x:v>2628</x:v>
      </x:c>
      <x:c r="G601" s="126">
        <x:v>1482</x:v>
      </x:c>
      <x:c r="H601" s="126" t="e">
        <x:f>IF(G601="","",IF(G601&lt;参数与口径!$E$6,1,MATCH(G601,等级配置!$C$4:$C$103,1)))</x:f>
        <x:v>#NAME?</x:v>
      </x:c>
      <x:c r="I601" s="58" t="e">
        <x:f>IF(H601="","",INDEX(等级配置!$B$4:$B$103,H601))</x:f>
        <x:v>#NAME?</x:v>
      </x:c>
      <x:c r="J601" s="58" t="e">
        <x:f>IF(AND(D601="当前已婚",G601&lt;参数与口径!$E$6),"存量兼容Lv1",IF(G601&gt;=等级配置!$C$103,"Lv100溢出","正常"))</x:f>
        <x:v>#NAME?</x:v>
      </x:c>
      <x:c r="K601" s="20" t="str">
        <x:f t="shared" si="9"/>
      </x:c>
    </x:row>
    <x:row r="602" ht="17">
      <x:c r="A602" s="58" t="s">
        <x:v>2629</x:v>
      </x:c>
      <x:c r="B602" s="58" t="s">
        <x:v>2630</x:v>
      </x:c>
      <x:c r="C602" s="58" t="s">
        <x:v>280</x:v>
      </x:c>
      <x:c r="D602" s="58" t="s">
        <x:v>1295</x:v>
      </x:c>
      <x:c r="E602" s="18" t="s">
        <x:v>2631</x:v>
      </x:c>
      <x:c r="F602" s="18" t="s">
        <x:v>2632</x:v>
      </x:c>
      <x:c r="G602" s="126">
        <x:v>1420</x:v>
      </x:c>
      <x:c r="H602" s="126" t="e">
        <x:f>IF(G602="","",IF(G602&lt;参数与口径!$E$6,1,MATCH(G602,等级配置!$C$4:$C$103,1)))</x:f>
        <x:v>#NAME?</x:v>
      </x:c>
      <x:c r="I602" s="58" t="e">
        <x:f>IF(H602="","",INDEX(等级配置!$B$4:$B$103,H602))</x:f>
        <x:v>#NAME?</x:v>
      </x:c>
      <x:c r="J602" s="58" t="e">
        <x:f>IF(AND(D602="当前已婚",G602&lt;参数与口径!$E$6),"存量兼容Lv1",IF(G602&gt;=等级配置!$C$103,"Lv100溢出","正常"))</x:f>
        <x:v>#NAME?</x:v>
      </x:c>
      <x:c r="K602" s="20" t="str">
        <x:f t="shared" si="9"/>
      </x:c>
    </x:row>
    <x:row r="603" ht="17">
      <x:c r="A603" s="58" t="s">
        <x:v>2633</x:v>
      </x:c>
      <x:c r="B603" s="58" t="s">
        <x:v>2634</x:v>
      </x:c>
      <x:c r="C603" s="58" t="s">
        <x:v>2635</x:v>
      </x:c>
      <x:c r="D603" s="58" t="s">
        <x:v>1295</x:v>
      </x:c>
      <x:c r="E603" s="18" t="s">
        <x:v>2636</x:v>
      </x:c>
      <x:c r="F603" s="18" t="s">
        <x:v>2637</x:v>
      </x:c>
      <x:c r="G603" s="126">
        <x:v>1377</x:v>
      </x:c>
      <x:c r="H603" s="126" t="e">
        <x:f>IF(G603="","",IF(G603&lt;参数与口径!$E$6,1,MATCH(G603,等级配置!$C$4:$C$103,1)))</x:f>
        <x:v>#NAME?</x:v>
      </x:c>
      <x:c r="I603" s="58" t="e">
        <x:f>IF(H603="","",INDEX(等级配置!$B$4:$B$103,H603))</x:f>
        <x:v>#NAME?</x:v>
      </x:c>
      <x:c r="J603" s="58" t="e">
        <x:f>IF(AND(D603="当前已婚",G603&lt;参数与口径!$E$6),"存量兼容Lv1",IF(G603&gt;=等级配置!$C$103,"Lv100溢出","正常"))</x:f>
        <x:v>#NAME?</x:v>
      </x:c>
      <x:c r="K603" s="20" t="str">
        <x:f t="shared" si="9"/>
      </x:c>
    </x:row>
    <x:row r="604" ht="17">
      <x:c r="A604" s="58" t="s">
        <x:v>2638</x:v>
      </x:c>
      <x:c r="B604" s="58" t="s">
        <x:v>2639</x:v>
      </x:c>
      <x:c r="C604" s="58" t="s">
        <x:v>2640</x:v>
      </x:c>
      <x:c r="D604" s="58" t="s">
        <x:v>1295</x:v>
      </x:c>
      <x:c r="E604" s="18" t="s">
        <x:v>2641</x:v>
      </x:c>
      <x:c r="F604" s="18" t="s">
        <x:v>2642</x:v>
      </x:c>
      <x:c r="G604" s="126">
        <x:v>1295</x:v>
      </x:c>
      <x:c r="H604" s="126" t="e">
        <x:f>IF(G604="","",IF(G604&lt;参数与口径!$E$6,1,MATCH(G604,等级配置!$C$4:$C$103,1)))</x:f>
        <x:v>#NAME?</x:v>
      </x:c>
      <x:c r="I604" s="58" t="e">
        <x:f>IF(H604="","",INDEX(等级配置!$B$4:$B$103,H604))</x:f>
        <x:v>#NAME?</x:v>
      </x:c>
      <x:c r="J604" s="58" t="e">
        <x:f>IF(AND(D604="当前已婚",G604&lt;参数与口径!$E$6),"存量兼容Lv1",IF(G604&gt;=等级配置!$C$103,"Lv100溢出","正常"))</x:f>
        <x:v>#NAME?</x:v>
      </x:c>
      <x:c r="K604" s="20" t="str">
        <x:f t="shared" si="9"/>
      </x:c>
    </x:row>
    <x:row r="605" ht="17">
      <x:c r="A605" s="58" t="s">
        <x:v>2643</x:v>
      </x:c>
      <x:c r="B605" s="58" t="s">
        <x:v>2644</x:v>
      </x:c>
      <x:c r="C605" s="58" t="s">
        <x:v>2645</x:v>
      </x:c>
      <x:c r="D605" s="58" t="s">
        <x:v>1295</x:v>
      </x:c>
      <x:c r="E605" s="18" t="s">
        <x:v>2646</x:v>
      </x:c>
      <x:c r="F605" s="18" t="s">
        <x:v>2647</x:v>
      </x:c>
      <x:c r="G605" s="126">
        <x:v>1283</x:v>
      </x:c>
      <x:c r="H605" s="126" t="e">
        <x:f>IF(G605="","",IF(G605&lt;参数与口径!$E$6,1,MATCH(G605,等级配置!$C$4:$C$103,1)))</x:f>
        <x:v>#NAME?</x:v>
      </x:c>
      <x:c r="I605" s="58" t="e">
        <x:f>IF(H605="","",INDEX(等级配置!$B$4:$B$103,H605))</x:f>
        <x:v>#NAME?</x:v>
      </x:c>
      <x:c r="J605" s="58" t="e">
        <x:f>IF(AND(D605="当前已婚",G605&lt;参数与口径!$E$6),"存量兼容Lv1",IF(G605&gt;=等级配置!$C$103,"Lv100溢出","正常"))</x:f>
        <x:v>#NAME?</x:v>
      </x:c>
      <x:c r="K605" s="20" t="str">
        <x:f t="shared" si="9"/>
      </x:c>
    </x:row>
    <x:row r="606" ht="17">
      <x:c r="A606" s="58" t="s">
        <x:v>2648</x:v>
      </x:c>
      <x:c r="B606" s="58" t="s">
        <x:v>2649</x:v>
      </x:c>
      <x:c r="C606" s="58" t="s">
        <x:v>1314</x:v>
      </x:c>
      <x:c r="D606" s="58" t="s">
        <x:v>1295</x:v>
      </x:c>
      <x:c r="E606" s="18" t="s">
        <x:v>2650</x:v>
      </x:c>
      <x:c r="F606" s="18" t="s">
        <x:v>2651</x:v>
      </x:c>
      <x:c r="G606" s="126">
        <x:v>1202</x:v>
      </x:c>
      <x:c r="H606" s="126" t="e">
        <x:f>IF(G606="","",IF(G606&lt;参数与口径!$E$6,1,MATCH(G606,等级配置!$C$4:$C$103,1)))</x:f>
        <x:v>#NAME?</x:v>
      </x:c>
      <x:c r="I606" s="58" t="e">
        <x:f>IF(H606="","",INDEX(等级配置!$B$4:$B$103,H606))</x:f>
        <x:v>#NAME?</x:v>
      </x:c>
      <x:c r="J606" s="58" t="e">
        <x:f>IF(AND(D606="当前已婚",G606&lt;参数与口径!$E$6),"存量兼容Lv1",IF(G606&gt;=等级配置!$C$103,"Lv100溢出","正常"))</x:f>
        <x:v>#NAME?</x:v>
      </x:c>
      <x:c r="K606" s="20" t="str">
        <x:f t="shared" si="9"/>
      </x:c>
    </x:row>
    <x:row r="607" ht="17">
      <x:c r="A607" s="58" t="s">
        <x:v>2652</x:v>
      </x:c>
      <x:c r="B607" s="58" t="s">
        <x:v>2653</x:v>
      </x:c>
      <x:c r="C607" s="58" t="s">
        <x:v>2654</x:v>
      </x:c>
      <x:c r="D607" s="58" t="s">
        <x:v>1295</x:v>
      </x:c>
      <x:c r="E607" s="18" t="s">
        <x:v>2655</x:v>
      </x:c>
      <x:c r="F607" s="18" t="s">
        <x:v>2656</x:v>
      </x:c>
      <x:c r="G607" s="126">
        <x:v>1174</x:v>
      </x:c>
      <x:c r="H607" s="126" t="e">
        <x:f>IF(G607="","",IF(G607&lt;参数与口径!$E$6,1,MATCH(G607,等级配置!$C$4:$C$103,1)))</x:f>
        <x:v>#NAME?</x:v>
      </x:c>
      <x:c r="I607" s="58" t="e">
        <x:f>IF(H607="","",INDEX(等级配置!$B$4:$B$103,H607))</x:f>
        <x:v>#NAME?</x:v>
      </x:c>
      <x:c r="J607" s="58" t="e">
        <x:f>IF(AND(D607="当前已婚",G607&lt;参数与口径!$E$6),"存量兼容Lv1",IF(G607&gt;=等级配置!$C$103,"Lv100溢出","正常"))</x:f>
        <x:v>#NAME?</x:v>
      </x:c>
      <x:c r="K607" s="20" t="str">
        <x:f t="shared" si="9"/>
      </x:c>
    </x:row>
    <x:row r="608" ht="17">
      <x:c r="A608" s="58" t="s">
        <x:v>2657</x:v>
      </x:c>
      <x:c r="B608" s="58" t="s">
        <x:v>2658</x:v>
      </x:c>
      <x:c r="C608" s="58" t="s">
        <x:v>1687</x:v>
      </x:c>
      <x:c r="D608" s="58" t="s">
        <x:v>1295</x:v>
      </x:c>
      <x:c r="E608" s="18" t="s">
        <x:v>2659</x:v>
      </x:c>
      <x:c r="F608" s="18" t="s">
        <x:v>2660</x:v>
      </x:c>
      <x:c r="G608" s="126">
        <x:v>1138</x:v>
      </x:c>
      <x:c r="H608" s="126" t="e">
        <x:f>IF(G608="","",IF(G608&lt;参数与口径!$E$6,1,MATCH(G608,等级配置!$C$4:$C$103,1)))</x:f>
        <x:v>#NAME?</x:v>
      </x:c>
      <x:c r="I608" s="58" t="e">
        <x:f>IF(H608="","",INDEX(等级配置!$B$4:$B$103,H608))</x:f>
        <x:v>#NAME?</x:v>
      </x:c>
      <x:c r="J608" s="58" t="e">
        <x:f>IF(AND(D608="当前已婚",G608&lt;参数与口径!$E$6),"存量兼容Lv1",IF(G608&gt;=等级配置!$C$103,"Lv100溢出","正常"))</x:f>
        <x:v>#NAME?</x:v>
      </x:c>
      <x:c r="K608" s="20" t="str">
        <x:f t="shared" si="9"/>
      </x:c>
    </x:row>
    <x:row r="609" ht="17">
      <x:c r="A609" s="58" t="s">
        <x:v>2661</x:v>
      </x:c>
      <x:c r="B609" s="58" t="s">
        <x:v>2662</x:v>
      </x:c>
      <x:c r="C609" s="58" t="s">
        <x:v>101</x:v>
      </x:c>
      <x:c r="D609" s="58" t="s">
        <x:v>1295</x:v>
      </x:c>
      <x:c r="E609" s="18" t="s">
        <x:v>2663</x:v>
      </x:c>
      <x:c r="F609" s="18" t="s">
        <x:v>2664</x:v>
      </x:c>
      <x:c r="G609" s="126">
        <x:v>1127</x:v>
      </x:c>
      <x:c r="H609" s="126" t="e">
        <x:f>IF(G609="","",IF(G609&lt;参数与口径!$E$6,1,MATCH(G609,等级配置!$C$4:$C$103,1)))</x:f>
        <x:v>#NAME?</x:v>
      </x:c>
      <x:c r="I609" s="58" t="e">
        <x:f>IF(H609="","",INDEX(等级配置!$B$4:$B$103,H609))</x:f>
        <x:v>#NAME?</x:v>
      </x:c>
      <x:c r="J609" s="58" t="e">
        <x:f>IF(AND(D609="当前已婚",G609&lt;参数与口径!$E$6),"存量兼容Lv1",IF(G609&gt;=等级配置!$C$103,"Lv100溢出","正常"))</x:f>
        <x:v>#NAME?</x:v>
      </x:c>
      <x:c r="K609" s="20" t="str">
        <x:f t="shared" si="9"/>
      </x:c>
    </x:row>
    <x:row r="610" ht="17">
      <x:c r="A610" s="58" t="s">
        <x:v>2665</x:v>
      </x:c>
      <x:c r="B610" s="58" t="s">
        <x:v>2666</x:v>
      </x:c>
      <x:c r="C610" s="58" t="s">
        <x:v>2667</x:v>
      </x:c>
      <x:c r="D610" s="58" t="s">
        <x:v>1295</x:v>
      </x:c>
      <x:c r="E610" s="18" t="s">
        <x:v>2668</x:v>
      </x:c>
      <x:c r="F610" s="18" t="s">
        <x:v>2669</x:v>
      </x:c>
      <x:c r="G610" s="126">
        <x:v>982</x:v>
      </x:c>
      <x:c r="H610" s="126" t="e">
        <x:f>IF(G610="","",IF(G610&lt;参数与口径!$E$6,1,MATCH(G610,等级配置!$C$4:$C$103,1)))</x:f>
        <x:v>#NAME?</x:v>
      </x:c>
      <x:c r="I610" s="58" t="e">
        <x:f>IF(H610="","",INDEX(等级配置!$B$4:$B$103,H610))</x:f>
        <x:v>#NAME?</x:v>
      </x:c>
      <x:c r="J610" s="58" t="e">
        <x:f>IF(AND(D610="当前已婚",G610&lt;参数与口径!$E$6),"存量兼容Lv1",IF(G610&gt;=等级配置!$C$103,"Lv100溢出","正常"))</x:f>
        <x:v>#NAME?</x:v>
      </x:c>
      <x:c r="K610" s="20" t="str">
        <x:f t="shared" si="9"/>
      </x:c>
    </x:row>
    <x:row r="611" ht="17">
      <x:c r="A611" s="58" t="s">
        <x:v>2670</x:v>
      </x:c>
      <x:c r="B611" s="58" t="s">
        <x:v>2671</x:v>
      </x:c>
      <x:c r="C611" s="58" t="s">
        <x:v>2672</x:v>
      </x:c>
      <x:c r="D611" s="58" t="s">
        <x:v>1295</x:v>
      </x:c>
      <x:c r="E611" s="18" t="s">
        <x:v>2673</x:v>
      </x:c>
      <x:c r="F611" s="18" t="s">
        <x:v>2674</x:v>
      </x:c>
      <x:c r="G611" s="126">
        <x:v>893</x:v>
      </x:c>
      <x:c r="H611" s="126" t="e">
        <x:f>IF(G611="","",IF(G611&lt;参数与口径!$E$6,1,MATCH(G611,等级配置!$C$4:$C$103,1)))</x:f>
        <x:v>#NAME?</x:v>
      </x:c>
      <x:c r="I611" s="58" t="e">
        <x:f>IF(H611="","",INDEX(等级配置!$B$4:$B$103,H611))</x:f>
        <x:v>#NAME?</x:v>
      </x:c>
      <x:c r="J611" s="58" t="e">
        <x:f>IF(AND(D611="当前已婚",G611&lt;参数与口径!$E$6),"存量兼容Lv1",IF(G611&gt;=等级配置!$C$103,"Lv100溢出","正常"))</x:f>
        <x:v>#NAME?</x:v>
      </x:c>
      <x:c r="K611" s="20" t="str">
        <x:f t="shared" si="9"/>
      </x:c>
    </x:row>
    <x:row r="612" ht="17">
      <x:c r="A612" s="58" t="s">
        <x:v>2675</x:v>
      </x:c>
      <x:c r="B612" s="58" t="s">
        <x:v>2676</x:v>
      </x:c>
      <x:c r="C612" s="58" t="s">
        <x:v>2677</x:v>
      </x:c>
      <x:c r="D612" s="58" t="s">
        <x:v>1295</x:v>
      </x:c>
      <x:c r="E612" s="18" t="s">
        <x:v>2678</x:v>
      </x:c>
      <x:c r="F612" s="18" t="s">
        <x:v>2679</x:v>
      </x:c>
      <x:c r="G612" s="126">
        <x:v>711</x:v>
      </x:c>
      <x:c r="H612" s="126" t="e">
        <x:f>IF(G612="","",IF(G612&lt;参数与口径!$E$6,1,MATCH(G612,等级配置!$C$4:$C$103,1)))</x:f>
        <x:v>#NAME?</x:v>
      </x:c>
      <x:c r="I612" s="58" t="e">
        <x:f>IF(H612="","",INDEX(等级配置!$B$4:$B$103,H612))</x:f>
        <x:v>#NAME?</x:v>
      </x:c>
      <x:c r="J612" s="58" t="e">
        <x:f>IF(AND(D612="当前已婚",G612&lt;参数与口径!$E$6),"存量兼容Lv1",IF(G612&gt;=等级配置!$C$103,"Lv100溢出","正常"))</x:f>
        <x:v>#NAME?</x:v>
      </x:c>
      <x:c r="K612" s="20" t="str">
        <x:f t="shared" si="9"/>
      </x:c>
    </x:row>
    <x:row r="613" ht="17">
      <x:c r="A613" s="58" t="s">
        <x:v>2680</x:v>
      </x:c>
      <x:c r="B613" s="58" t="s">
        <x:v>2681</x:v>
      </x:c>
      <x:c r="C613" s="58" t="s">
        <x:v>2682</x:v>
      </x:c>
      <x:c r="D613" s="58" t="s">
        <x:v>1295</x:v>
      </x:c>
      <x:c r="E613" s="18" t="s">
        <x:v>2683</x:v>
      </x:c>
      <x:c r="F613" s="18" t="s">
        <x:v>2684</x:v>
      </x:c>
      <x:c r="G613" s="126">
        <x:v>710</x:v>
      </x:c>
      <x:c r="H613" s="126" t="e">
        <x:f>IF(G613="","",IF(G613&lt;参数与口径!$E$6,1,MATCH(G613,等级配置!$C$4:$C$103,1)))</x:f>
        <x:v>#NAME?</x:v>
      </x:c>
      <x:c r="I613" s="58" t="e">
        <x:f>IF(H613="","",INDEX(等级配置!$B$4:$B$103,H613))</x:f>
        <x:v>#NAME?</x:v>
      </x:c>
      <x:c r="J613" s="58" t="e">
        <x:f>IF(AND(D613="当前已婚",G613&lt;参数与口径!$E$6),"存量兼容Lv1",IF(G613&gt;=等级配置!$C$103,"Lv100溢出","正常"))</x:f>
        <x:v>#NAME?</x:v>
      </x:c>
      <x:c r="K613" s="20" t="str">
        <x:f t="shared" si="9"/>
      </x:c>
    </x:row>
    <x:row r="614" ht="17">
      <x:c r="A614" s="58" t="s">
        <x:v>2685</x:v>
      </x:c>
      <x:c r="B614" s="58" t="s">
        <x:v>2686</x:v>
      </x:c>
      <x:c r="C614" s="58" t="s">
        <x:v>2687</x:v>
      </x:c>
      <x:c r="D614" s="58" t="s">
        <x:v>1295</x:v>
      </x:c>
      <x:c r="E614" s="18" t="s">
        <x:v>2688</x:v>
      </x:c>
      <x:c r="F614" s="18" t="s">
        <x:v>2689</x:v>
      </x:c>
      <x:c r="G614" s="126">
        <x:v>623</x:v>
      </x:c>
      <x:c r="H614" s="126" t="e">
        <x:f>IF(G614="","",IF(G614&lt;参数与口径!$E$6,1,MATCH(G614,等级配置!$C$4:$C$103,1)))</x:f>
        <x:v>#NAME?</x:v>
      </x:c>
      <x:c r="I614" s="58" t="e">
        <x:f>IF(H614="","",INDEX(等级配置!$B$4:$B$103,H614))</x:f>
        <x:v>#NAME?</x:v>
      </x:c>
      <x:c r="J614" s="58" t="e">
        <x:f>IF(AND(D614="当前已婚",G614&lt;参数与口径!$E$6),"存量兼容Lv1",IF(G614&gt;=等级配置!$C$103,"Lv100溢出","正常"))</x:f>
        <x:v>#NAME?</x:v>
      </x:c>
      <x:c r="K614" s="20" t="str">
        <x:f t="shared" si="9"/>
      </x:c>
    </x:row>
    <x:row r="615" ht="17">
      <x:c r="A615" s="58" t="s">
        <x:v>2690</x:v>
      </x:c>
      <x:c r="B615" s="58" t="s">
        <x:v>2691</x:v>
      </x:c>
      <x:c r="C615" s="58" t="s">
        <x:v>2692</x:v>
      </x:c>
      <x:c r="D615" s="58" t="s">
        <x:v>1295</x:v>
      </x:c>
      <x:c r="E615" s="18" t="s">
        <x:v>2693</x:v>
      </x:c>
      <x:c r="F615" s="18" t="s">
        <x:v>2694</x:v>
      </x:c>
      <x:c r="G615" s="126">
        <x:v>596</x:v>
      </x:c>
      <x:c r="H615" s="126" t="e">
        <x:f>IF(G615="","",IF(G615&lt;参数与口径!$E$6,1,MATCH(G615,等级配置!$C$4:$C$103,1)))</x:f>
        <x:v>#NAME?</x:v>
      </x:c>
      <x:c r="I615" s="58" t="e">
        <x:f>IF(H615="","",INDEX(等级配置!$B$4:$B$103,H615))</x:f>
        <x:v>#NAME?</x:v>
      </x:c>
      <x:c r="J615" s="58" t="e">
        <x:f>IF(AND(D615="当前已婚",G615&lt;参数与口径!$E$6),"存量兼容Lv1",IF(G615&gt;=等级配置!$C$103,"Lv100溢出","正常"))</x:f>
        <x:v>#NAME?</x:v>
      </x:c>
      <x:c r="K615" s="20" t="str">
        <x:f t="shared" si="9"/>
      </x:c>
    </x:row>
    <x:row r="616" ht="17">
      <x:c r="A616" s="58" t="s">
        <x:v>2695</x:v>
      </x:c>
      <x:c r="B616" s="58" t="s">
        <x:v>2696</x:v>
      </x:c>
      <x:c r="C616" s="58" t="s">
        <x:v>2697</x:v>
      </x:c>
      <x:c r="D616" s="58" t="s">
        <x:v>1295</x:v>
      </x:c>
      <x:c r="E616" s="18" t="s">
        <x:v>2698</x:v>
      </x:c>
      <x:c r="F616" s="18" t="s">
        <x:v>2699</x:v>
      </x:c>
      <x:c r="G616" s="126">
        <x:v>503</x:v>
      </x:c>
      <x:c r="H616" s="126" t="e">
        <x:f>IF(G616="","",IF(G616&lt;参数与口径!$E$6,1,MATCH(G616,等级配置!$C$4:$C$103,1)))</x:f>
        <x:v>#NAME?</x:v>
      </x:c>
      <x:c r="I616" s="58" t="e">
        <x:f>IF(H616="","",INDEX(等级配置!$B$4:$B$103,H616))</x:f>
        <x:v>#NAME?</x:v>
      </x:c>
      <x:c r="J616" s="58" t="e">
        <x:f>IF(AND(D616="当前已婚",G616&lt;参数与口径!$E$6),"存量兼容Lv1",IF(G616&gt;=等级配置!$C$103,"Lv100溢出","正常"))</x:f>
        <x:v>#NAME?</x:v>
      </x:c>
      <x:c r="K616" s="20" t="str">
        <x:f t="shared" si="9"/>
      </x:c>
    </x:row>
    <x:row r="617" ht="17">
      <x:c r="A617" s="58" t="s">
        <x:v>2700</x:v>
      </x:c>
      <x:c r="B617" s="58" t="s">
        <x:v>2701</x:v>
      </x:c>
      <x:c r="C617" s="58" t="s">
        <x:v>2702</x:v>
      </x:c>
      <x:c r="D617" s="58" t="s">
        <x:v>1295</x:v>
      </x:c>
      <x:c r="E617" s="18" t="s">
        <x:v>2703</x:v>
      </x:c>
      <x:c r="F617" s="18" t="s">
        <x:v>2704</x:v>
      </x:c>
      <x:c r="G617" s="126">
        <x:v>342</x:v>
      </x:c>
      <x:c r="H617" s="126" t="e">
        <x:f>IF(G617="","",IF(G617&lt;参数与口径!$E$6,1,MATCH(G617,等级配置!$C$4:$C$103,1)))</x:f>
        <x:v>#NAME?</x:v>
      </x:c>
      <x:c r="I617" s="58" t="e">
        <x:f>IF(H617="","",INDEX(等级配置!$B$4:$B$103,H617))</x:f>
        <x:v>#NAME?</x:v>
      </x:c>
      <x:c r="J617" s="58" t="e">
        <x:f>IF(AND(D617="当前已婚",G617&lt;参数与口径!$E$6),"存量兼容Lv1",IF(G617&gt;=等级配置!$C$103,"Lv100溢出","正常"))</x:f>
        <x:v>#NAME?</x:v>
      </x:c>
      <x:c r="K617" s="20" t="str">
        <x:f t="shared" si="9"/>
      </x:c>
    </x:row>
    <x:row r="618" ht="17">
      <x:c r="A618" s="58" t="s">
        <x:v>2705</x:v>
      </x:c>
      <x:c r="B618" s="58" t="s">
        <x:v>2706</x:v>
      </x:c>
      <x:c r="C618" s="58" t="s">
        <x:v>2667</x:v>
      </x:c>
      <x:c r="D618" s="58" t="s">
        <x:v>1295</x:v>
      </x:c>
      <x:c r="E618" s="18" t="s">
        <x:v>2707</x:v>
      </x:c>
      <x:c r="F618" s="18" t="s">
        <x:v>2708</x:v>
      </x:c>
      <x:c r="G618" s="126">
        <x:v>329</x:v>
      </x:c>
      <x:c r="H618" s="126" t="e">
        <x:f>IF(G618="","",IF(G618&lt;参数与口径!$E$6,1,MATCH(G618,等级配置!$C$4:$C$103,1)))</x:f>
        <x:v>#NAME?</x:v>
      </x:c>
      <x:c r="I618" s="58" t="e">
        <x:f>IF(H618="","",INDEX(等级配置!$B$4:$B$103,H618))</x:f>
        <x:v>#NAME?</x:v>
      </x:c>
      <x:c r="J618" s="58" t="e">
        <x:f>IF(AND(D618="当前已婚",G618&lt;参数与口径!$E$6),"存量兼容Lv1",IF(G618&gt;=等级配置!$C$103,"Lv100溢出","正常"))</x:f>
        <x:v>#NAME?</x:v>
      </x:c>
      <x:c r="K618" s="20" t="str">
        <x:f t="shared" si="9"/>
      </x:c>
    </x:row>
    <x:row r="619" ht="17">
      <x:c r="A619" s="58" t="s">
        <x:v>2709</x:v>
      </x:c>
      <x:c r="B619" s="58" t="s">
        <x:v>280</x:v>
      </x:c>
      <x:c r="C619" s="58" t="s">
        <x:v>2710</x:v>
      </x:c>
      <x:c r="D619" s="58" t="s">
        <x:v>1295</x:v>
      </x:c>
      <x:c r="E619" s="18" t="s">
        <x:v>2711</x:v>
      </x:c>
      <x:c r="F619" s="18" t="s">
        <x:v>2712</x:v>
      </x:c>
      <x:c r="G619" s="126">
        <x:v>262</x:v>
      </x:c>
      <x:c r="H619" s="126" t="e">
        <x:f>IF(G619="","",IF(G619&lt;参数与口径!$E$6,1,MATCH(G619,等级配置!$C$4:$C$103,1)))</x:f>
        <x:v>#NAME?</x:v>
      </x:c>
      <x:c r="I619" s="58" t="e">
        <x:f>IF(H619="","",INDEX(等级配置!$B$4:$B$103,H619))</x:f>
        <x:v>#NAME?</x:v>
      </x:c>
      <x:c r="J619" s="58" t="e">
        <x:f>IF(AND(D619="当前已婚",G619&lt;参数与口径!$E$6),"存量兼容Lv1",IF(G619&gt;=等级配置!$C$103,"Lv100溢出","正常"))</x:f>
        <x:v>#NAME?</x:v>
      </x:c>
      <x:c r="K619" s="20" t="str">
        <x:f t="shared" si="9"/>
      </x:c>
    </x:row>
    <x:row r="620" ht="17">
      <x:c r="A620" s="58" t="s">
        <x:v>2713</x:v>
      </x:c>
      <x:c r="B620" s="58" t="s">
        <x:v>2714</x:v>
      </x:c>
      <x:c r="C620" s="58" t="s">
        <x:v>2715</x:v>
      </x:c>
      <x:c r="D620" s="58" t="s">
        <x:v>1295</x:v>
      </x:c>
      <x:c r="E620" s="18" t="s">
        <x:v>2716</x:v>
      </x:c>
      <x:c r="F620" s="18" t="s">
        <x:v>2717</x:v>
      </x:c>
      <x:c r="G620" s="126">
        <x:v>223</x:v>
      </x:c>
      <x:c r="H620" s="126" t="e">
        <x:f>IF(G620="","",IF(G620&lt;参数与口径!$E$6,1,MATCH(G620,等级配置!$C$4:$C$103,1)))</x:f>
        <x:v>#NAME?</x:v>
      </x:c>
      <x:c r="I620" s="58" t="e">
        <x:f>IF(H620="","",INDEX(等级配置!$B$4:$B$103,H620))</x:f>
        <x:v>#NAME?</x:v>
      </x:c>
      <x:c r="J620" s="58" t="e">
        <x:f>IF(AND(D620="当前已婚",G620&lt;参数与口径!$E$6),"存量兼容Lv1",IF(G620&gt;=等级配置!$C$103,"Lv100溢出","正常"))</x:f>
        <x:v>#NAME?</x:v>
      </x:c>
      <x:c r="K620" s="20" t="str">
        <x:f t="shared" si="9"/>
      </x:c>
    </x:row>
    <x:row r="621" ht="17">
      <x:c r="A621" s="58" t="s">
        <x:v>2718</x:v>
      </x:c>
      <x:c r="B621" s="58" t="s">
        <x:v>2719</x:v>
      </x:c>
      <x:c r="C621" s="58" t="s">
        <x:v>2720</x:v>
      </x:c>
      <x:c r="D621" s="58" t="s">
        <x:v>1295</x:v>
      </x:c>
      <x:c r="E621" s="18" t="s">
        <x:v>2721</x:v>
      </x:c>
      <x:c r="F621" s="18" t="s">
        <x:v>2722</x:v>
      </x:c>
      <x:c r="G621" s="126">
        <x:v>216</x:v>
      </x:c>
      <x:c r="H621" s="126" t="e">
        <x:f>IF(G621="","",IF(G621&lt;参数与口径!$E$6,1,MATCH(G621,等级配置!$C$4:$C$103,1)))</x:f>
        <x:v>#NAME?</x:v>
      </x:c>
      <x:c r="I621" s="58" t="e">
        <x:f>IF(H621="","",INDEX(等级配置!$B$4:$B$103,H621))</x:f>
        <x:v>#NAME?</x:v>
      </x:c>
      <x:c r="J621" s="58" t="e">
        <x:f>IF(AND(D621="当前已婚",G621&lt;参数与口径!$E$6),"存量兼容Lv1",IF(G621&gt;=等级配置!$C$103,"Lv100溢出","正常"))</x:f>
        <x:v>#NAME?</x:v>
      </x:c>
      <x:c r="K621" s="20" t="str">
        <x:f t="shared" si="9"/>
      </x:c>
    </x:row>
    <x:row r="622" ht="17">
      <x:c r="A622" s="58" t="s">
        <x:v>2723</x:v>
      </x:c>
      <x:c r="B622" s="58" t="s">
        <x:v>2724</x:v>
      </x:c>
      <x:c r="C622" s="58" t="s">
        <x:v>2725</x:v>
      </x:c>
      <x:c r="D622" s="58" t="s">
        <x:v>1295</x:v>
      </x:c>
      <x:c r="E622" s="18" t="s">
        <x:v>2726</x:v>
      </x:c>
      <x:c r="F622" s="18" t="s">
        <x:v>2727</x:v>
      </x:c>
      <x:c r="G622" s="126">
        <x:v>177</x:v>
      </x:c>
      <x:c r="H622" s="126" t="e">
        <x:f>IF(G622="","",IF(G622&lt;参数与口径!$E$6,1,MATCH(G622,等级配置!$C$4:$C$103,1)))</x:f>
        <x:v>#NAME?</x:v>
      </x:c>
      <x:c r="I622" s="58" t="e">
        <x:f>IF(H622="","",INDEX(等级配置!$B$4:$B$103,H622))</x:f>
        <x:v>#NAME?</x:v>
      </x:c>
      <x:c r="J622" s="58" t="e">
        <x:f>IF(AND(D622="当前已婚",G622&lt;参数与口径!$E$6),"存量兼容Lv1",IF(G622&gt;=等级配置!$C$103,"Lv100溢出","正常"))</x:f>
        <x:v>#NAME?</x:v>
      </x:c>
      <x:c r="K622" s="20" t="str">
        <x:f t="shared" si="9"/>
      </x:c>
    </x:row>
    <x:row r="623" ht="17">
      <x:c r="A623" s="58" t="s">
        <x:v>2728</x:v>
      </x:c>
      <x:c r="B623" s="58" t="s">
        <x:v>2729</x:v>
      </x:c>
      <x:c r="C623" s="58" t="s">
        <x:v>2714</x:v>
      </x:c>
      <x:c r="D623" s="58" t="s">
        <x:v>1295</x:v>
      </x:c>
      <x:c r="E623" s="18" t="s">
        <x:v>2730</x:v>
      </x:c>
      <x:c r="F623" s="18" t="s">
        <x:v>2731</x:v>
      </x:c>
      <x:c r="G623" s="126">
        <x:v>122</x:v>
      </x:c>
      <x:c r="H623" s="126" t="e">
        <x:f>IF(G623="","",IF(G623&lt;参数与口径!$E$6,1,MATCH(G623,等级配置!$C$4:$C$103,1)))</x:f>
        <x:v>#NAME?</x:v>
      </x:c>
      <x:c r="I623" s="58" t="e">
        <x:f>IF(H623="","",INDEX(等级配置!$B$4:$B$103,H623))</x:f>
        <x:v>#NAME?</x:v>
      </x:c>
      <x:c r="J623" s="58" t="e">
        <x:f>IF(AND(D623="当前已婚",G623&lt;参数与口径!$E$6),"存量兼容Lv1",IF(G623&gt;=等级配置!$C$103,"Lv100溢出","正常"))</x:f>
        <x:v>#NAME?</x:v>
      </x:c>
      <x:c r="K623" s="20" t="str">
        <x:f t="shared" si="9"/>
      </x:c>
    </x:row>
    <x:row r="624" ht="17">
      <x:c r="A624" s="58" t="s">
        <x:v>2732</x:v>
      </x:c>
      <x:c r="B624" s="58" t="s">
        <x:v>2188</x:v>
      </x:c>
      <x:c r="C624" s="58" t="s">
        <x:v>2733</x:v>
      </x:c>
      <x:c r="D624" s="58" t="s">
        <x:v>1295</x:v>
      </x:c>
      <x:c r="E624" s="18" t="s">
        <x:v>2734</x:v>
      </x:c>
      <x:c r="F624" s="18" t="s">
        <x:v>2735</x:v>
      </x:c>
      <x:c r="G624" s="126">
        <x:v>0</x:v>
      </x:c>
      <x:c r="H624" s="126" t="e">
        <x:f>IF(G624="","",IF(G624&lt;参数与口径!$E$6,1,MATCH(G624,等级配置!$C$4:$C$103,1)))</x:f>
        <x:v>#NAME?</x:v>
      </x:c>
      <x:c r="I624" s="58" t="e">
        <x:f>IF(H624="","",INDEX(等级配置!$B$4:$B$103,H624))</x:f>
        <x:v>#NAME?</x:v>
      </x:c>
      <x:c r="J624" s="58" t="e">
        <x:f>IF(AND(D624="当前已婚",G624&lt;参数与口径!$E$6),"存量兼容Lv1",IF(G624&gt;=等级配置!$C$103,"Lv100溢出","正常"))</x:f>
        <x:v>#NAME?</x:v>
      </x:c>
      <x:c r="K624" s="20" t="str">
        <x:f t="shared" si="9"/>
      </x:c>
    </x:row>
    <x:row r="625" ht="17">
      <x:c r="A625" s="58" t="s">
        <x:v>2736</x:v>
      </x:c>
      <x:c r="B625" s="58" t="s">
        <x:v>2737</x:v>
      </x:c>
      <x:c r="C625" s="58" t="s">
        <x:v>2738</x:v>
      </x:c>
      <x:c r="D625" s="58" t="s">
        <x:v>1295</x:v>
      </x:c>
      <x:c r="E625" s="18" t="s">
        <x:v>2739</x:v>
      </x:c>
      <x:c r="F625" s="18" t="s">
        <x:v>2740</x:v>
      </x:c>
      <x:c r="G625" s="126">
        <x:v>0</x:v>
      </x:c>
      <x:c r="H625" s="126" t="e">
        <x:f>IF(G625="","",IF(G625&lt;参数与口径!$E$6,1,MATCH(G625,等级配置!$C$4:$C$103,1)))</x:f>
        <x:v>#NAME?</x:v>
      </x:c>
      <x:c r="I625" s="58" t="e">
        <x:f>IF(H625="","",INDEX(等级配置!$B$4:$B$103,H625))</x:f>
        <x:v>#NAME?</x:v>
      </x:c>
      <x:c r="J625" s="58" t="e">
        <x:f>IF(AND(D625="当前已婚",G625&lt;参数与口径!$E$6),"存量兼容Lv1",IF(G625&gt;=等级配置!$C$103,"Lv100溢出","正常"))</x:f>
        <x:v>#NAME?</x:v>
      </x:c>
      <x:c r="K625" s="20" t="str">
        <x:f t="shared" si="9"/>
      </x:c>
    </x:row>
    <x:row r="626" ht="17">
      <x:c r="A626" s="58" t="s">
        <x:v>2741</x:v>
      </x:c>
      <x:c r="B626" s="58" t="s">
        <x:v>2742</x:v>
      </x:c>
      <x:c r="C626" s="58" t="s">
        <x:v>2743</x:v>
      </x:c>
      <x:c r="D626" s="58" t="s">
        <x:v>1295</x:v>
      </x:c>
      <x:c r="E626" s="18" t="s">
        <x:v>2744</x:v>
      </x:c>
      <x:c r="F626" s="18" t="s">
        <x:v>2745</x:v>
      </x:c>
      <x:c r="G626" s="126">
        <x:v>0</x:v>
      </x:c>
      <x:c r="H626" s="126" t="e">
        <x:f>IF(G626="","",IF(G626&lt;参数与口径!$E$6,1,MATCH(G626,等级配置!$C$4:$C$103,1)))</x:f>
        <x:v>#NAME?</x:v>
      </x:c>
      <x:c r="I626" s="58" t="e">
        <x:f>IF(H626="","",INDEX(等级配置!$B$4:$B$103,H626))</x:f>
        <x:v>#NAME?</x:v>
      </x:c>
      <x:c r="J626" s="58" t="e">
        <x:f>IF(AND(D626="当前已婚",G626&lt;参数与口径!$E$6),"存量兼容Lv1",IF(G626&gt;=等级配置!$C$103,"Lv100溢出","正常"))</x:f>
        <x:v>#NAME?</x:v>
      </x:c>
      <x:c r="K626" s="20" t="str">
        <x:f t="shared" si="9"/>
      </x:c>
    </x:row>
    <x:row r="627" ht="17">
      <x:c r="A627" s="58" t="s">
        <x:v>2746</x:v>
      </x:c>
      <x:c r="B627" s="58" t="s">
        <x:v>2747</x:v>
      </x:c>
      <x:c r="C627" s="58" t="s">
        <x:v>2748</x:v>
      </x:c>
      <x:c r="D627" s="58" t="s">
        <x:v>1295</x:v>
      </x:c>
      <x:c r="E627" s="18" t="s">
        <x:v>2749</x:v>
      </x:c>
      <x:c r="F627" s="18" t="s">
        <x:v>2750</x:v>
      </x:c>
      <x:c r="G627" s="126">
        <x:v>0</x:v>
      </x:c>
      <x:c r="H627" s="126" t="e">
        <x:f>IF(G627="","",IF(G627&lt;参数与口径!$E$6,1,MATCH(G627,等级配置!$C$4:$C$103,1)))</x:f>
        <x:v>#NAME?</x:v>
      </x:c>
      <x:c r="I627" s="58" t="e">
        <x:f>IF(H627="","",INDEX(等级配置!$B$4:$B$103,H627))</x:f>
        <x:v>#NAME?</x:v>
      </x:c>
      <x:c r="J627" s="58" t="e">
        <x:f>IF(AND(D627="当前已婚",G627&lt;参数与口径!$E$6),"存量兼容Lv1",IF(G627&gt;=等级配置!$C$103,"Lv100溢出","正常"))</x:f>
        <x:v>#NAME?</x:v>
      </x:c>
      <x:c r="K627" s="20" t="str">
        <x:f t="shared" si="9"/>
      </x:c>
    </x:row>
    <x:row r="628" ht="17">
      <x:c r="A628" s="58" t="s">
        <x:v>2751</x:v>
      </x:c>
      <x:c r="B628" s="58" t="s">
        <x:v>2752</x:v>
      </x:c>
      <x:c r="C628" s="58" t="s">
        <x:v>1838</x:v>
      </x:c>
      <x:c r="D628" s="58" t="s">
        <x:v>1295</x:v>
      </x:c>
      <x:c r="E628" s="18" t="s">
        <x:v>2753</x:v>
      </x:c>
      <x:c r="F628" s="18" t="s">
        <x:v>2754</x:v>
      </x:c>
      <x:c r="G628" s="126">
        <x:v>0</x:v>
      </x:c>
      <x:c r="H628" s="126" t="e">
        <x:f>IF(G628="","",IF(G628&lt;参数与口径!$E$6,1,MATCH(G628,等级配置!$C$4:$C$103,1)))</x:f>
        <x:v>#NAME?</x:v>
      </x:c>
      <x:c r="I628" s="58" t="e">
        <x:f>IF(H628="","",INDEX(等级配置!$B$4:$B$103,H628))</x:f>
        <x:v>#NAME?</x:v>
      </x:c>
      <x:c r="J628" s="58" t="e">
        <x:f>IF(AND(D628="当前已婚",G628&lt;参数与口径!$E$6),"存量兼容Lv1",IF(G628&gt;=等级配置!$C$103,"Lv100溢出","正常"))</x:f>
        <x:v>#NAME?</x:v>
      </x:c>
      <x:c r="K628" s="20" t="str">
        <x:f t="shared" si="9"/>
      </x:c>
    </x:row>
    <x:row r="629" ht="17">
      <x:c r="A629" s="58" t="s">
        <x:v>2755</x:v>
      </x:c>
      <x:c r="B629" s="58" t="s">
        <x:v>2756</x:v>
      </x:c>
      <x:c r="C629" s="58" t="s">
        <x:v>2757</x:v>
      </x:c>
      <x:c r="D629" s="58" t="s">
        <x:v>1295</x:v>
      </x:c>
      <x:c r="E629" s="18" t="s">
        <x:v>2758</x:v>
      </x:c>
      <x:c r="F629" s="18" t="s">
        <x:v>2759</x:v>
      </x:c>
      <x:c r="G629" s="126">
        <x:v>0</x:v>
      </x:c>
      <x:c r="H629" s="126" t="e">
        <x:f>IF(G629="","",IF(G629&lt;参数与口径!$E$6,1,MATCH(G629,等级配置!$C$4:$C$103,1)))</x:f>
        <x:v>#NAME?</x:v>
      </x:c>
      <x:c r="I629" s="58" t="e">
        <x:f>IF(H629="","",INDEX(等级配置!$B$4:$B$103,H629))</x:f>
        <x:v>#NAME?</x:v>
      </x:c>
      <x:c r="J629" s="58" t="e">
        <x:f>IF(AND(D629="当前已婚",G629&lt;参数与口径!$E$6),"存量兼容Lv1",IF(G629&gt;=等级配置!$C$103,"Lv100溢出","正常"))</x:f>
        <x:v>#NAME?</x:v>
      </x:c>
      <x:c r="K629" s="20" t="str">
        <x:f t="shared" si="9"/>
      </x:c>
    </x:row>
    <x:row r="630" ht="17">
      <x:c r="A630" s="58" t="s">
        <x:v>2760</x:v>
      </x:c>
      <x:c r="B630" s="58" t="s">
        <x:v>2761</x:v>
      </x:c>
      <x:c r="C630" s="58" t="s">
        <x:v>2762</x:v>
      </x:c>
      <x:c r="D630" s="58" t="s">
        <x:v>1295</x:v>
      </x:c>
      <x:c r="E630" s="18" t="s">
        <x:v>2763</x:v>
      </x:c>
      <x:c r="F630" s="18" t="s">
        <x:v>2764</x:v>
      </x:c>
      <x:c r="G630" s="126">
        <x:v>0</x:v>
      </x:c>
      <x:c r="H630" s="126" t="e">
        <x:f>IF(G630="","",IF(G630&lt;参数与口径!$E$6,1,MATCH(G630,等级配置!$C$4:$C$103,1)))</x:f>
        <x:v>#NAME?</x:v>
      </x:c>
      <x:c r="I630" s="58" t="e">
        <x:f>IF(H630="","",INDEX(等级配置!$B$4:$B$103,H630))</x:f>
        <x:v>#NAME?</x:v>
      </x:c>
      <x:c r="J630" s="58" t="e">
        <x:f>IF(AND(D630="当前已婚",G630&lt;参数与口径!$E$6),"存量兼容Lv1",IF(G630&gt;=等级配置!$C$103,"Lv100溢出","正常"))</x:f>
        <x:v>#NAME?</x:v>
      </x:c>
      <x:c r="K630" s="20" t="str">
        <x:f t="shared" si="9"/>
      </x:c>
    </x:row>
    <x:row r="631" ht="17">
      <x:c r="A631" s="58" t="s">
        <x:v>2765</x:v>
      </x:c>
      <x:c r="B631" s="58" t="s">
        <x:v>1313</x:v>
      </x:c>
      <x:c r="C631" s="58" t="s">
        <x:v>2766</x:v>
      </x:c>
      <x:c r="D631" s="58" t="s">
        <x:v>1295</x:v>
      </x:c>
      <x:c r="E631" s="18" t="s">
        <x:v>2767</x:v>
      </x:c>
      <x:c r="F631" s="18" t="s">
        <x:v>2768</x:v>
      </x:c>
      <x:c r="G631" s="126">
        <x:v>0</x:v>
      </x:c>
      <x:c r="H631" s="126" t="e">
        <x:f>IF(G631="","",IF(G631&lt;参数与口径!$E$6,1,MATCH(G631,等级配置!$C$4:$C$103,1)))</x:f>
        <x:v>#NAME?</x:v>
      </x:c>
      <x:c r="I631" s="58" t="e">
        <x:f>IF(H631="","",INDEX(等级配置!$B$4:$B$103,H631))</x:f>
        <x:v>#NAME?</x:v>
      </x:c>
      <x:c r="J631" s="58" t="e">
        <x:f>IF(AND(D631="当前已婚",G631&lt;参数与口径!$E$6),"存量兼容Lv1",IF(G631&gt;=等级配置!$C$103,"Lv100溢出","正常"))</x:f>
        <x:v>#NAME?</x:v>
      </x:c>
      <x:c r="K631" s="20" t="str">
        <x:f t="shared" si="9"/>
      </x:c>
    </x:row>
    <x:row r="632" ht="17">
      <x:c r="A632" s="58" t="s">
        <x:v>2769</x:v>
      </x:c>
      <x:c r="B632" s="58" t="s">
        <x:v>2770</x:v>
      </x:c>
      <x:c r="C632" s="58" t="s">
        <x:v>2771</x:v>
      </x:c>
      <x:c r="D632" s="58" t="s">
        <x:v>1295</x:v>
      </x:c>
      <x:c r="E632" s="18" t="s">
        <x:v>2772</x:v>
      </x:c>
      <x:c r="F632" s="18" t="s">
        <x:v>2773</x:v>
      </x:c>
      <x:c r="G632" s="126">
        <x:v>0</x:v>
      </x:c>
      <x:c r="H632" s="126" t="e">
        <x:f>IF(G632="","",IF(G632&lt;参数与口径!$E$6,1,MATCH(G632,等级配置!$C$4:$C$103,1)))</x:f>
        <x:v>#NAME?</x:v>
      </x:c>
      <x:c r="I632" s="58" t="e">
        <x:f>IF(H632="","",INDEX(等级配置!$B$4:$B$103,H632))</x:f>
        <x:v>#NAME?</x:v>
      </x:c>
      <x:c r="J632" s="58" t="e">
        <x:f>IF(AND(D632="当前已婚",G632&lt;参数与口径!$E$6),"存量兼容Lv1",IF(G632&gt;=等级配置!$C$103,"Lv100溢出","正常"))</x:f>
        <x:v>#NAME?</x:v>
      </x:c>
      <x:c r="K632" s="20" t="str">
        <x:f t="shared" si="9"/>
      </x:c>
    </x:row>
    <x:row r="633" ht="17">
      <x:c r="A633" s="58" t="s">
        <x:v>2774</x:v>
      </x:c>
      <x:c r="B633" s="58" t="s">
        <x:v>2775</x:v>
      </x:c>
      <x:c r="C633" s="58" t="s">
        <x:v>2776</x:v>
      </x:c>
      <x:c r="D633" s="58" t="s">
        <x:v>1295</x:v>
      </x:c>
      <x:c r="E633" s="18" t="s">
        <x:v>2777</x:v>
      </x:c>
      <x:c r="F633" s="18" t="s">
        <x:v>2778</x:v>
      </x:c>
      <x:c r="G633" s="126">
        <x:v>0</x:v>
      </x:c>
      <x:c r="H633" s="126" t="e">
        <x:f>IF(G633="","",IF(G633&lt;参数与口径!$E$6,1,MATCH(G633,等级配置!$C$4:$C$103,1)))</x:f>
        <x:v>#NAME?</x:v>
      </x:c>
      <x:c r="I633" s="58" t="e">
        <x:f>IF(H633="","",INDEX(等级配置!$B$4:$B$103,H633))</x:f>
        <x:v>#NAME?</x:v>
      </x:c>
      <x:c r="J633" s="58" t="e">
        <x:f>IF(AND(D633="当前已婚",G633&lt;参数与口径!$E$6),"存量兼容Lv1",IF(G633&gt;=等级配置!$C$103,"Lv100溢出","正常"))</x:f>
        <x:v>#NAME?</x:v>
      </x:c>
      <x:c r="K633" s="20" t="str">
        <x:f t="shared" si="9"/>
      </x:c>
    </x:row>
    <x:row r="634" ht="17">
      <x:c r="A634" s="58" t="s">
        <x:v>2779</x:v>
      </x:c>
      <x:c r="B634" s="58" t="s">
        <x:v>2780</x:v>
      </x:c>
      <x:c r="C634" s="58" t="s">
        <x:v>2781</x:v>
      </x:c>
      <x:c r="D634" s="58" t="s">
        <x:v>1295</x:v>
      </x:c>
      <x:c r="E634" s="18" t="s">
        <x:v>2782</x:v>
      </x:c>
      <x:c r="F634" s="18" t="s">
        <x:v>2783</x:v>
      </x:c>
      <x:c r="G634" s="126">
        <x:v>0</x:v>
      </x:c>
      <x:c r="H634" s="126" t="e">
        <x:f>IF(G634="","",IF(G634&lt;参数与口径!$E$6,1,MATCH(G634,等级配置!$C$4:$C$103,1)))</x:f>
        <x:v>#NAME?</x:v>
      </x:c>
      <x:c r="I634" s="58" t="e">
        <x:f>IF(H634="","",INDEX(等级配置!$B$4:$B$103,H634))</x:f>
        <x:v>#NAME?</x:v>
      </x:c>
      <x:c r="J634" s="58" t="e">
        <x:f>IF(AND(D634="当前已婚",G634&lt;参数与口径!$E$6),"存量兼容Lv1",IF(G634&gt;=等级配置!$C$103,"Lv100溢出","正常"))</x:f>
        <x:v>#NAME?</x:v>
      </x:c>
      <x:c r="K634" s="20" t="str">
        <x:f t="shared" si="9"/>
      </x:c>
    </x:row>
    <x:row r="635" ht="17">
      <x:c r="A635" s="58" t="s">
        <x:v>2784</x:v>
      </x:c>
      <x:c r="B635" s="58" t="s">
        <x:v>334</x:v>
      </x:c>
      <x:c r="C635" s="58" t="s">
        <x:v>2785</x:v>
      </x:c>
      <x:c r="D635" s="58" t="s">
        <x:v>1295</x:v>
      </x:c>
      <x:c r="E635" s="18" t="s">
        <x:v>2786</x:v>
      </x:c>
      <x:c r="F635" s="18" t="s">
        <x:v>2787</x:v>
      </x:c>
      <x:c r="G635" s="126">
        <x:v>0</x:v>
      </x:c>
      <x:c r="H635" s="126" t="e">
        <x:f>IF(G635="","",IF(G635&lt;参数与口径!$E$6,1,MATCH(G635,等级配置!$C$4:$C$103,1)))</x:f>
        <x:v>#NAME?</x:v>
      </x:c>
      <x:c r="I635" s="58" t="e">
        <x:f>IF(H635="","",INDEX(等级配置!$B$4:$B$103,H635))</x:f>
        <x:v>#NAME?</x:v>
      </x:c>
      <x:c r="J635" s="58" t="e">
        <x:f>IF(AND(D635="当前已婚",G635&lt;参数与口径!$E$6),"存量兼容Lv1",IF(G635&gt;=等级配置!$C$103,"Lv100溢出","正常"))</x:f>
        <x:v>#NAME?</x:v>
      </x:c>
      <x:c r="K635" s="20" t="str">
        <x:f t="shared" si="9"/>
      </x:c>
    </x:row>
    <x:row r="636" ht="17">
      <x:c r="A636" s="58" t="s">
        <x:v>2788</x:v>
      </x:c>
      <x:c r="B636" s="58" t="s">
        <x:v>2789</x:v>
      </x:c>
      <x:c r="C636" s="58" t="s">
        <x:v>416</x:v>
      </x:c>
      <x:c r="D636" s="58" t="s">
        <x:v>1295</x:v>
      </x:c>
      <x:c r="E636" s="18" t="s">
        <x:v>2790</x:v>
      </x:c>
      <x:c r="F636" s="18" t="s">
        <x:v>2791</x:v>
      </x:c>
      <x:c r="G636" s="126">
        <x:v>0</x:v>
      </x:c>
      <x:c r="H636" s="126" t="e">
        <x:f>IF(G636="","",IF(G636&lt;参数与口径!$E$6,1,MATCH(G636,等级配置!$C$4:$C$103,1)))</x:f>
        <x:v>#NAME?</x:v>
      </x:c>
      <x:c r="I636" s="58" t="e">
        <x:f>IF(H636="","",INDEX(等级配置!$B$4:$B$103,H636))</x:f>
        <x:v>#NAME?</x:v>
      </x:c>
      <x:c r="J636" s="58" t="e">
        <x:f>IF(AND(D636="当前已婚",G636&lt;参数与口径!$E$6),"存量兼容Lv1",IF(G636&gt;=等级配置!$C$103,"Lv100溢出","正常"))</x:f>
        <x:v>#NAME?</x:v>
      </x:c>
      <x:c r="K636" s="20" t="str">
        <x:f t="shared" si="9"/>
      </x:c>
    </x:row>
    <x:row r="637" ht="17">
      <x:c r="A637" s="58" t="s">
        <x:v>2792</x:v>
      </x:c>
      <x:c r="B637" s="58" t="s">
        <x:v>2793</x:v>
      </x:c>
      <x:c r="C637" s="58" t="s">
        <x:v>2794</x:v>
      </x:c>
      <x:c r="D637" s="58" t="s">
        <x:v>1295</x:v>
      </x:c>
      <x:c r="E637" s="18" t="s">
        <x:v>2795</x:v>
      </x:c>
      <x:c r="F637" s="18" t="s">
        <x:v>2796</x:v>
      </x:c>
      <x:c r="G637" s="126">
        <x:v>0</x:v>
      </x:c>
      <x:c r="H637" s="126" t="e">
        <x:f>IF(G637="","",IF(G637&lt;参数与口径!$E$6,1,MATCH(G637,等级配置!$C$4:$C$103,1)))</x:f>
        <x:v>#NAME?</x:v>
      </x:c>
      <x:c r="I637" s="58" t="e">
        <x:f>IF(H637="","",INDEX(等级配置!$B$4:$B$103,H637))</x:f>
        <x:v>#NAME?</x:v>
      </x:c>
      <x:c r="J637" s="58" t="e">
        <x:f>IF(AND(D637="当前已婚",G637&lt;参数与口径!$E$6),"存量兼容Lv1",IF(G637&gt;=等级配置!$C$103,"Lv100溢出","正常"))</x:f>
        <x:v>#NAME?</x:v>
      </x:c>
      <x:c r="K637" s="20" t="str">
        <x:f t="shared" si="9"/>
      </x:c>
    </x:row>
    <x:row r="638" ht="17">
      <x:c r="A638" s="58" t="s">
        <x:v>2797</x:v>
      </x:c>
      <x:c r="B638" s="58" t="s">
        <x:v>2798</x:v>
      </x:c>
      <x:c r="C638" s="58" t="s">
        <x:v>2799</x:v>
      </x:c>
      <x:c r="D638" s="58" t="s">
        <x:v>1295</x:v>
      </x:c>
      <x:c r="E638" s="18" t="s">
        <x:v>2800</x:v>
      </x:c>
      <x:c r="F638" s="18" t="s">
        <x:v>2801</x:v>
      </x:c>
      <x:c r="G638" s="126">
        <x:v>0</x:v>
      </x:c>
      <x:c r="H638" s="126" t="e">
        <x:f>IF(G638="","",IF(G638&lt;参数与口径!$E$6,1,MATCH(G638,等级配置!$C$4:$C$103,1)))</x:f>
        <x:v>#NAME?</x:v>
      </x:c>
      <x:c r="I638" s="58" t="e">
        <x:f>IF(H638="","",INDEX(等级配置!$B$4:$B$103,H638))</x:f>
        <x:v>#NAME?</x:v>
      </x:c>
      <x:c r="J638" s="58" t="e">
        <x:f>IF(AND(D638="当前已婚",G638&lt;参数与口径!$E$6),"存量兼容Lv1",IF(G638&gt;=等级配置!$C$103,"Lv100溢出","正常"))</x:f>
        <x:v>#NAME?</x:v>
      </x:c>
      <x:c r="K638" s="20" t="str">
        <x:f t="shared" si="9"/>
      </x:c>
    </x:row>
    <x:row r="639" ht="17">
      <x:c r="A639" s="58" t="s">
        <x:v>2802</x:v>
      </x:c>
      <x:c r="B639" s="58" t="s">
        <x:v>2803</x:v>
      </x:c>
      <x:c r="C639" s="58" t="s">
        <x:v>2804</x:v>
      </x:c>
      <x:c r="D639" s="58" t="s">
        <x:v>1295</x:v>
      </x:c>
      <x:c r="E639" s="18" t="s">
        <x:v>2805</x:v>
      </x:c>
      <x:c r="F639" s="18" t="s">
        <x:v>2806</x:v>
      </x:c>
      <x:c r="G639" s="126">
        <x:v>0</x:v>
      </x:c>
      <x:c r="H639" s="126" t="e">
        <x:f>IF(G639="","",IF(G639&lt;参数与口径!$E$6,1,MATCH(G639,等级配置!$C$4:$C$103,1)))</x:f>
        <x:v>#NAME?</x:v>
      </x:c>
      <x:c r="I639" s="58" t="e">
        <x:f>IF(H639="","",INDEX(等级配置!$B$4:$B$103,H639))</x:f>
        <x:v>#NAME?</x:v>
      </x:c>
      <x:c r="J639" s="58" t="e">
        <x:f>IF(AND(D639="当前已婚",G639&lt;参数与口径!$E$6),"存量兼容Lv1",IF(G639&gt;=等级配置!$C$103,"Lv100溢出","正常"))</x:f>
        <x:v>#NAME?</x:v>
      </x:c>
      <x:c r="K639" s="20" t="str">
        <x:f t="shared" si="9"/>
      </x:c>
    </x:row>
    <x:row r="640" ht="17">
      <x:c r="A640" s="58" t="s">
        <x:v>2807</x:v>
      </x:c>
      <x:c r="B640" s="58" t="s">
        <x:v>2808</x:v>
      </x:c>
      <x:c r="C640" s="58" t="s">
        <x:v>2809</x:v>
      </x:c>
      <x:c r="D640" s="58" t="s">
        <x:v>1295</x:v>
      </x:c>
      <x:c r="E640" s="18" t="s">
        <x:v>2810</x:v>
      </x:c>
      <x:c r="F640" s="18" t="s">
        <x:v>2811</x:v>
      </x:c>
      <x:c r="G640" s="126">
        <x:v>0</x:v>
      </x:c>
      <x:c r="H640" s="126" t="e">
        <x:f>IF(G640="","",IF(G640&lt;参数与口径!$E$6,1,MATCH(G640,等级配置!$C$4:$C$103,1)))</x:f>
        <x:v>#NAME?</x:v>
      </x:c>
      <x:c r="I640" s="58" t="e">
        <x:f>IF(H640="","",INDEX(等级配置!$B$4:$B$103,H640))</x:f>
        <x:v>#NAME?</x:v>
      </x:c>
      <x:c r="J640" s="58" t="e">
        <x:f>IF(AND(D640="当前已婚",G640&lt;参数与口径!$E$6),"存量兼容Lv1",IF(G640&gt;=等级配置!$C$103,"Lv100溢出","正常"))</x:f>
        <x:v>#NAME?</x:v>
      </x:c>
      <x:c r="K640" s="20" t="str">
        <x:f t="shared" si="9"/>
      </x:c>
    </x:row>
    <x:row r="641" ht="17">
      <x:c r="A641" s="58" t="s">
        <x:v>2812</x:v>
      </x:c>
      <x:c r="B641" s="58" t="s">
        <x:v>2408</x:v>
      </x:c>
      <x:c r="C641" s="58" t="s">
        <x:v>786</x:v>
      </x:c>
      <x:c r="D641" s="58" t="s">
        <x:v>1295</x:v>
      </x:c>
      <x:c r="E641" s="18" t="s">
        <x:v>2813</x:v>
      </x:c>
      <x:c r="F641" s="18" t="s">
        <x:v>2814</x:v>
      </x:c>
      <x:c r="G641" s="126">
        <x:v>0</x:v>
      </x:c>
      <x:c r="H641" s="126" t="e">
        <x:f>IF(G641="","",IF(G641&lt;参数与口径!$E$6,1,MATCH(G641,等级配置!$C$4:$C$103,1)))</x:f>
        <x:v>#NAME?</x:v>
      </x:c>
      <x:c r="I641" s="58" t="e">
        <x:f>IF(H641="","",INDEX(等级配置!$B$4:$B$103,H641))</x:f>
        <x:v>#NAME?</x:v>
      </x:c>
      <x:c r="J641" s="58" t="e">
        <x:f>IF(AND(D641="当前已婚",G641&lt;参数与口径!$E$6),"存量兼容Lv1",IF(G641&gt;=等级配置!$C$103,"Lv100溢出","正常"))</x:f>
        <x:v>#NAME?</x:v>
      </x:c>
      <x:c r="K641" s="20" t="str">
        <x:f t="shared" si="9"/>
      </x:c>
    </x:row>
    <x:row r="642" ht="17">
      <x:c r="A642" s="58" t="s">
        <x:v>2815</x:v>
      </x:c>
      <x:c r="B642" s="58" t="s">
        <x:v>2816</x:v>
      </x:c>
      <x:c r="C642" s="58" t="s">
        <x:v>2817</x:v>
      </x:c>
      <x:c r="D642" s="58" t="s">
        <x:v>1295</x:v>
      </x:c>
      <x:c r="E642" s="18" t="s">
        <x:v>2818</x:v>
      </x:c>
      <x:c r="F642" s="18" t="s">
        <x:v>2819</x:v>
      </x:c>
      <x:c r="G642" s="126">
        <x:v>0</x:v>
      </x:c>
      <x:c r="H642" s="126" t="e">
        <x:f>IF(G642="","",IF(G642&lt;参数与口径!$E$6,1,MATCH(G642,等级配置!$C$4:$C$103,1)))</x:f>
        <x:v>#NAME?</x:v>
      </x:c>
      <x:c r="I642" s="58" t="e">
        <x:f>IF(H642="","",INDEX(等级配置!$B$4:$B$103,H642))</x:f>
        <x:v>#NAME?</x:v>
      </x:c>
      <x:c r="J642" s="58" t="e">
        <x:f>IF(AND(D642="当前已婚",G642&lt;参数与口径!$E$6),"存量兼容Lv1",IF(G642&gt;=等级配置!$C$103,"Lv100溢出","正常"))</x:f>
        <x:v>#NAME?</x:v>
      </x:c>
      <x:c r="K642" s="20" t="str">
        <x:f t="shared" ref="K642:K705" si="10">IF(AND(D642="当前已婚",F642&lt;&gt;""),"当前已婚但存在离婚日期",IF(AND(D642="当前已婚",G642=0),"当前CP亲密值为0",""))</x:f>
      </x:c>
    </x:row>
    <x:row r="643" ht="17">
      <x:c r="A643" s="58" t="s">
        <x:v>2820</x:v>
      </x:c>
      <x:c r="B643" s="58" t="s">
        <x:v>2821</x:v>
      </x:c>
      <x:c r="C643" s="58" t="s">
        <x:v>2822</x:v>
      </x:c>
      <x:c r="D643" s="58" t="s">
        <x:v>1295</x:v>
      </x:c>
      <x:c r="E643" s="18" t="s">
        <x:v>2823</x:v>
      </x:c>
      <x:c r="F643" s="18" t="s">
        <x:v>2824</x:v>
      </x:c>
      <x:c r="G643" s="126">
        <x:v>0</x:v>
      </x:c>
      <x:c r="H643" s="126" t="e">
        <x:f>IF(G643="","",IF(G643&lt;参数与口径!$E$6,1,MATCH(G643,等级配置!$C$4:$C$103,1)))</x:f>
        <x:v>#NAME?</x:v>
      </x:c>
      <x:c r="I643" s="58" t="e">
        <x:f>IF(H643="","",INDEX(等级配置!$B$4:$B$103,H643))</x:f>
        <x:v>#NAME?</x:v>
      </x:c>
      <x:c r="J643" s="58" t="e">
        <x:f>IF(AND(D643="当前已婚",G643&lt;参数与口径!$E$6),"存量兼容Lv1",IF(G643&gt;=等级配置!$C$103,"Lv100溢出","正常"))</x:f>
        <x:v>#NAME?</x:v>
      </x:c>
      <x:c r="K643" s="20" t="str">
        <x:f t="shared" si="10"/>
      </x:c>
    </x:row>
    <x:row r="644" ht="17">
      <x:c r="A644" s="58" t="s">
        <x:v>2825</x:v>
      </x:c>
      <x:c r="B644" s="58" t="s">
        <x:v>2826</x:v>
      </x:c>
      <x:c r="C644" s="58" t="s">
        <x:v>2827</x:v>
      </x:c>
      <x:c r="D644" s="58" t="s">
        <x:v>1295</x:v>
      </x:c>
      <x:c r="E644" s="18" t="s">
        <x:v>2828</x:v>
      </x:c>
      <x:c r="F644" s="18" t="s">
        <x:v>2829</x:v>
      </x:c>
      <x:c r="G644" s="126">
        <x:v>0</x:v>
      </x:c>
      <x:c r="H644" s="126" t="e">
        <x:f>IF(G644="","",IF(G644&lt;参数与口径!$E$6,1,MATCH(G644,等级配置!$C$4:$C$103,1)))</x:f>
        <x:v>#NAME?</x:v>
      </x:c>
      <x:c r="I644" s="58" t="e">
        <x:f>IF(H644="","",INDEX(等级配置!$B$4:$B$103,H644))</x:f>
        <x:v>#NAME?</x:v>
      </x:c>
      <x:c r="J644" s="58" t="e">
        <x:f>IF(AND(D644="当前已婚",G644&lt;参数与口径!$E$6),"存量兼容Lv1",IF(G644&gt;=等级配置!$C$103,"Lv100溢出","正常"))</x:f>
        <x:v>#NAME?</x:v>
      </x:c>
      <x:c r="K644" s="20" t="str">
        <x:f t="shared" si="10"/>
      </x:c>
    </x:row>
    <x:row r="645" ht="17">
      <x:c r="A645" s="58" t="s">
        <x:v>2830</x:v>
      </x:c>
      <x:c r="B645" s="58" t="s">
        <x:v>2831</x:v>
      </x:c>
      <x:c r="C645" s="58" t="s">
        <x:v>2832</x:v>
      </x:c>
      <x:c r="D645" s="58" t="s">
        <x:v>1295</x:v>
      </x:c>
      <x:c r="E645" s="18" t="s">
        <x:v>2833</x:v>
      </x:c>
      <x:c r="F645" s="18" t="s">
        <x:v>2834</x:v>
      </x:c>
      <x:c r="G645" s="126">
        <x:v>0</x:v>
      </x:c>
      <x:c r="H645" s="126" t="e">
        <x:f>IF(G645="","",IF(G645&lt;参数与口径!$E$6,1,MATCH(G645,等级配置!$C$4:$C$103,1)))</x:f>
        <x:v>#NAME?</x:v>
      </x:c>
      <x:c r="I645" s="58" t="e">
        <x:f>IF(H645="","",INDEX(等级配置!$B$4:$B$103,H645))</x:f>
        <x:v>#NAME?</x:v>
      </x:c>
      <x:c r="J645" s="58" t="e">
        <x:f>IF(AND(D645="当前已婚",G645&lt;参数与口径!$E$6),"存量兼容Lv1",IF(G645&gt;=等级配置!$C$103,"Lv100溢出","正常"))</x:f>
        <x:v>#NAME?</x:v>
      </x:c>
      <x:c r="K645" s="20" t="str">
        <x:f t="shared" si="10"/>
      </x:c>
    </x:row>
    <x:row r="646" ht="17">
      <x:c r="A646" s="58" t="s">
        <x:v>2835</x:v>
      </x:c>
      <x:c r="B646" s="58" t="s">
        <x:v>2836</x:v>
      </x:c>
      <x:c r="C646" s="58" t="s">
        <x:v>241</x:v>
      </x:c>
      <x:c r="D646" s="58" t="s">
        <x:v>1295</x:v>
      </x:c>
      <x:c r="E646" s="18" t="s">
        <x:v>2837</x:v>
      </x:c>
      <x:c r="F646" s="18" t="s">
        <x:v>2838</x:v>
      </x:c>
      <x:c r="G646" s="126">
        <x:v>0</x:v>
      </x:c>
      <x:c r="H646" s="126" t="e">
        <x:f>IF(G646="","",IF(G646&lt;参数与口径!$E$6,1,MATCH(G646,等级配置!$C$4:$C$103,1)))</x:f>
        <x:v>#NAME?</x:v>
      </x:c>
      <x:c r="I646" s="58" t="e">
        <x:f>IF(H646="","",INDEX(等级配置!$B$4:$B$103,H646))</x:f>
        <x:v>#NAME?</x:v>
      </x:c>
      <x:c r="J646" s="58" t="e">
        <x:f>IF(AND(D646="当前已婚",G646&lt;参数与口径!$E$6),"存量兼容Lv1",IF(G646&gt;=等级配置!$C$103,"Lv100溢出","正常"))</x:f>
        <x:v>#NAME?</x:v>
      </x:c>
      <x:c r="K646" s="20" t="str">
        <x:f t="shared" si="10"/>
      </x:c>
    </x:row>
    <x:row r="647" ht="17">
      <x:c r="A647" s="58" t="s">
        <x:v>2839</x:v>
      </x:c>
      <x:c r="B647" s="58" t="s">
        <x:v>2840</x:v>
      </x:c>
      <x:c r="C647" s="58" t="s">
        <x:v>2841</x:v>
      </x:c>
      <x:c r="D647" s="58" t="s">
        <x:v>1295</x:v>
      </x:c>
      <x:c r="E647" s="18" t="s">
        <x:v>2842</x:v>
      </x:c>
      <x:c r="F647" s="18" t="s">
        <x:v>2843</x:v>
      </x:c>
      <x:c r="G647" s="126">
        <x:v>0</x:v>
      </x:c>
      <x:c r="H647" s="126" t="e">
        <x:f>IF(G647="","",IF(G647&lt;参数与口径!$E$6,1,MATCH(G647,等级配置!$C$4:$C$103,1)))</x:f>
        <x:v>#NAME?</x:v>
      </x:c>
      <x:c r="I647" s="58" t="e">
        <x:f>IF(H647="","",INDEX(等级配置!$B$4:$B$103,H647))</x:f>
        <x:v>#NAME?</x:v>
      </x:c>
      <x:c r="J647" s="58" t="e">
        <x:f>IF(AND(D647="当前已婚",G647&lt;参数与口径!$E$6),"存量兼容Lv1",IF(G647&gt;=等级配置!$C$103,"Lv100溢出","正常"))</x:f>
        <x:v>#NAME?</x:v>
      </x:c>
      <x:c r="K647" s="20" t="str">
        <x:f t="shared" si="10"/>
      </x:c>
    </x:row>
    <x:row r="648" ht="17">
      <x:c r="A648" s="58" t="s">
        <x:v>2844</x:v>
      </x:c>
      <x:c r="B648" s="58" t="s">
        <x:v>2845</x:v>
      </x:c>
      <x:c r="C648" s="58" t="s">
        <x:v>2846</x:v>
      </x:c>
      <x:c r="D648" s="58" t="s">
        <x:v>1295</x:v>
      </x:c>
      <x:c r="E648" s="18" t="s">
        <x:v>2847</x:v>
      </x:c>
      <x:c r="F648" s="18" t="s">
        <x:v>2848</x:v>
      </x:c>
      <x:c r="G648" s="126">
        <x:v>0</x:v>
      </x:c>
      <x:c r="H648" s="126" t="e">
        <x:f>IF(G648="","",IF(G648&lt;参数与口径!$E$6,1,MATCH(G648,等级配置!$C$4:$C$103,1)))</x:f>
        <x:v>#NAME?</x:v>
      </x:c>
      <x:c r="I648" s="58" t="e">
        <x:f>IF(H648="","",INDEX(等级配置!$B$4:$B$103,H648))</x:f>
        <x:v>#NAME?</x:v>
      </x:c>
      <x:c r="J648" s="58" t="e">
        <x:f>IF(AND(D648="当前已婚",G648&lt;参数与口径!$E$6),"存量兼容Lv1",IF(G648&gt;=等级配置!$C$103,"Lv100溢出","正常"))</x:f>
        <x:v>#NAME?</x:v>
      </x:c>
      <x:c r="K648" s="20" t="str">
        <x:f t="shared" si="10"/>
      </x:c>
    </x:row>
    <x:row r="649" ht="17">
      <x:c r="A649" s="58" t="s">
        <x:v>2849</x:v>
      </x:c>
      <x:c r="B649" s="58" t="s">
        <x:v>1435</x:v>
      </x:c>
      <x:c r="C649" s="58" t="s">
        <x:v>2850</x:v>
      </x:c>
      <x:c r="D649" s="58" t="s">
        <x:v>1295</x:v>
      </x:c>
      <x:c r="E649" s="18" t="s">
        <x:v>2851</x:v>
      </x:c>
      <x:c r="F649" s="18" t="s">
        <x:v>2852</x:v>
      </x:c>
      <x:c r="G649" s="126">
        <x:v>0</x:v>
      </x:c>
      <x:c r="H649" s="126" t="e">
        <x:f>IF(G649="","",IF(G649&lt;参数与口径!$E$6,1,MATCH(G649,等级配置!$C$4:$C$103,1)))</x:f>
        <x:v>#NAME?</x:v>
      </x:c>
      <x:c r="I649" s="58" t="e">
        <x:f>IF(H649="","",INDEX(等级配置!$B$4:$B$103,H649))</x:f>
        <x:v>#NAME?</x:v>
      </x:c>
      <x:c r="J649" s="58" t="e">
        <x:f>IF(AND(D649="当前已婚",G649&lt;参数与口径!$E$6),"存量兼容Lv1",IF(G649&gt;=等级配置!$C$103,"Lv100溢出","正常"))</x:f>
        <x:v>#NAME?</x:v>
      </x:c>
      <x:c r="K649" s="20" t="str">
        <x:f t="shared" si="10"/>
      </x:c>
    </x:row>
    <x:row r="650" ht="17">
      <x:c r="A650" s="58" t="s">
        <x:v>2853</x:v>
      </x:c>
      <x:c r="B650" s="58" t="s">
        <x:v>2854</x:v>
      </x:c>
      <x:c r="C650" s="58" t="s">
        <x:v>2159</x:v>
      </x:c>
      <x:c r="D650" s="58" t="s">
        <x:v>1295</x:v>
      </x:c>
      <x:c r="E650" s="18" t="s">
        <x:v>2855</x:v>
      </x:c>
      <x:c r="F650" s="18" t="s">
        <x:v>2856</x:v>
      </x:c>
      <x:c r="G650" s="126">
        <x:v>0</x:v>
      </x:c>
      <x:c r="H650" s="126" t="e">
        <x:f>IF(G650="","",IF(G650&lt;参数与口径!$E$6,1,MATCH(G650,等级配置!$C$4:$C$103,1)))</x:f>
        <x:v>#NAME?</x:v>
      </x:c>
      <x:c r="I650" s="58" t="e">
        <x:f>IF(H650="","",INDEX(等级配置!$B$4:$B$103,H650))</x:f>
        <x:v>#NAME?</x:v>
      </x:c>
      <x:c r="J650" s="58" t="e">
        <x:f>IF(AND(D650="当前已婚",G650&lt;参数与口径!$E$6),"存量兼容Lv1",IF(G650&gt;=等级配置!$C$103,"Lv100溢出","正常"))</x:f>
        <x:v>#NAME?</x:v>
      </x:c>
      <x:c r="K650" s="20" t="str">
        <x:f t="shared" si="10"/>
      </x:c>
    </x:row>
    <x:row r="651" ht="17">
      <x:c r="A651" s="58" t="s">
        <x:v>2857</x:v>
      </x:c>
      <x:c r="B651" s="58" t="s">
        <x:v>2858</x:v>
      </x:c>
      <x:c r="C651" s="58" t="s">
        <x:v>2859</x:v>
      </x:c>
      <x:c r="D651" s="58" t="s">
        <x:v>1295</x:v>
      </x:c>
      <x:c r="E651" s="18" t="s">
        <x:v>2860</x:v>
      </x:c>
      <x:c r="F651" s="18" t="s">
        <x:v>2861</x:v>
      </x:c>
      <x:c r="G651" s="126">
        <x:v>0</x:v>
      </x:c>
      <x:c r="H651" s="126" t="e">
        <x:f>IF(G651="","",IF(G651&lt;参数与口径!$E$6,1,MATCH(G651,等级配置!$C$4:$C$103,1)))</x:f>
        <x:v>#NAME?</x:v>
      </x:c>
      <x:c r="I651" s="58" t="e">
        <x:f>IF(H651="","",INDEX(等级配置!$B$4:$B$103,H651))</x:f>
        <x:v>#NAME?</x:v>
      </x:c>
      <x:c r="J651" s="58" t="e">
        <x:f>IF(AND(D651="当前已婚",G651&lt;参数与口径!$E$6),"存量兼容Lv1",IF(G651&gt;=等级配置!$C$103,"Lv100溢出","正常"))</x:f>
        <x:v>#NAME?</x:v>
      </x:c>
      <x:c r="K651" s="20" t="str">
        <x:f t="shared" si="10"/>
      </x:c>
    </x:row>
    <x:row r="652" ht="17">
      <x:c r="A652" s="58" t="s">
        <x:v>2862</x:v>
      </x:c>
      <x:c r="B652" s="58" t="s">
        <x:v>2863</x:v>
      </x:c>
      <x:c r="C652" s="58" t="s">
        <x:v>2864</x:v>
      </x:c>
      <x:c r="D652" s="58" t="s">
        <x:v>1295</x:v>
      </x:c>
      <x:c r="E652" s="18" t="s">
        <x:v>2865</x:v>
      </x:c>
      <x:c r="F652" s="18" t="s">
        <x:v>2866</x:v>
      </x:c>
      <x:c r="G652" s="126">
        <x:v>0</x:v>
      </x:c>
      <x:c r="H652" s="126" t="e">
        <x:f>IF(G652="","",IF(G652&lt;参数与口径!$E$6,1,MATCH(G652,等级配置!$C$4:$C$103,1)))</x:f>
        <x:v>#NAME?</x:v>
      </x:c>
      <x:c r="I652" s="58" t="e">
        <x:f>IF(H652="","",INDEX(等级配置!$B$4:$B$103,H652))</x:f>
        <x:v>#NAME?</x:v>
      </x:c>
      <x:c r="J652" s="58" t="e">
        <x:f>IF(AND(D652="当前已婚",G652&lt;参数与口径!$E$6),"存量兼容Lv1",IF(G652&gt;=等级配置!$C$103,"Lv100溢出","正常"))</x:f>
        <x:v>#NAME?</x:v>
      </x:c>
      <x:c r="K652" s="20" t="str">
        <x:f t="shared" si="10"/>
      </x:c>
    </x:row>
    <x:row r="653" ht="17">
      <x:c r="A653" s="58" t="s">
        <x:v>2867</x:v>
      </x:c>
      <x:c r="B653" s="58" t="s">
        <x:v>2868</x:v>
      </x:c>
      <x:c r="C653" s="58" t="s">
        <x:v>2869</x:v>
      </x:c>
      <x:c r="D653" s="58" t="s">
        <x:v>1295</x:v>
      </x:c>
      <x:c r="E653" s="18" t="s">
        <x:v>2870</x:v>
      </x:c>
      <x:c r="F653" s="18" t="s">
        <x:v>2871</x:v>
      </x:c>
      <x:c r="G653" s="126">
        <x:v>0</x:v>
      </x:c>
      <x:c r="H653" s="126" t="e">
        <x:f>IF(G653="","",IF(G653&lt;参数与口径!$E$6,1,MATCH(G653,等级配置!$C$4:$C$103,1)))</x:f>
        <x:v>#NAME?</x:v>
      </x:c>
      <x:c r="I653" s="58" t="e">
        <x:f>IF(H653="","",INDEX(等级配置!$B$4:$B$103,H653))</x:f>
        <x:v>#NAME?</x:v>
      </x:c>
      <x:c r="J653" s="58" t="e">
        <x:f>IF(AND(D653="当前已婚",G653&lt;参数与口径!$E$6),"存量兼容Lv1",IF(G653&gt;=等级配置!$C$103,"Lv100溢出","正常"))</x:f>
        <x:v>#NAME?</x:v>
      </x:c>
      <x:c r="K653" s="20" t="str">
        <x:f t="shared" si="10"/>
      </x:c>
    </x:row>
    <x:row r="654" ht="17">
      <x:c r="A654" s="58" t="s">
        <x:v>2872</x:v>
      </x:c>
      <x:c r="B654" s="58" t="s">
        <x:v>2873</x:v>
      </x:c>
      <x:c r="C654" s="58" t="s">
        <x:v>2874</x:v>
      </x:c>
      <x:c r="D654" s="58" t="s">
        <x:v>1295</x:v>
      </x:c>
      <x:c r="E654" s="18" t="s">
        <x:v>2875</x:v>
      </x:c>
      <x:c r="F654" s="18" t="s">
        <x:v>2876</x:v>
      </x:c>
      <x:c r="G654" s="126">
        <x:v>0</x:v>
      </x:c>
      <x:c r="H654" s="126" t="e">
        <x:f>IF(G654="","",IF(G654&lt;参数与口径!$E$6,1,MATCH(G654,等级配置!$C$4:$C$103,1)))</x:f>
        <x:v>#NAME?</x:v>
      </x:c>
      <x:c r="I654" s="58" t="e">
        <x:f>IF(H654="","",INDEX(等级配置!$B$4:$B$103,H654))</x:f>
        <x:v>#NAME?</x:v>
      </x:c>
      <x:c r="J654" s="58" t="e">
        <x:f>IF(AND(D654="当前已婚",G654&lt;参数与口径!$E$6),"存量兼容Lv1",IF(G654&gt;=等级配置!$C$103,"Lv100溢出","正常"))</x:f>
        <x:v>#NAME?</x:v>
      </x:c>
      <x:c r="K654" s="20" t="str">
        <x:f t="shared" si="10"/>
      </x:c>
    </x:row>
    <x:row r="655" ht="17">
      <x:c r="A655" s="58" t="s">
        <x:v>2877</x:v>
      </x:c>
      <x:c r="B655" s="58" t="s">
        <x:v>2878</x:v>
      </x:c>
      <x:c r="C655" s="58" t="s">
        <x:v>2879</x:v>
      </x:c>
      <x:c r="D655" s="58" t="s">
        <x:v>1295</x:v>
      </x:c>
      <x:c r="E655" s="18" t="s">
        <x:v>2880</x:v>
      </x:c>
      <x:c r="F655" s="18" t="s">
        <x:v>2881</x:v>
      </x:c>
      <x:c r="G655" s="126">
        <x:v>0</x:v>
      </x:c>
      <x:c r="H655" s="126" t="e">
        <x:f>IF(G655="","",IF(G655&lt;参数与口径!$E$6,1,MATCH(G655,等级配置!$C$4:$C$103,1)))</x:f>
        <x:v>#NAME?</x:v>
      </x:c>
      <x:c r="I655" s="58" t="e">
        <x:f>IF(H655="","",INDEX(等级配置!$B$4:$B$103,H655))</x:f>
        <x:v>#NAME?</x:v>
      </x:c>
      <x:c r="J655" s="58" t="e">
        <x:f>IF(AND(D655="当前已婚",G655&lt;参数与口径!$E$6),"存量兼容Lv1",IF(G655&gt;=等级配置!$C$103,"Lv100溢出","正常"))</x:f>
        <x:v>#NAME?</x:v>
      </x:c>
      <x:c r="K655" s="20" t="str">
        <x:f t="shared" si="10"/>
      </x:c>
    </x:row>
    <x:row r="656" ht="17">
      <x:c r="A656" s="58" t="s">
        <x:v>2882</x:v>
      </x:c>
      <x:c r="B656" s="58" t="s">
        <x:v>2883</x:v>
      </x:c>
      <x:c r="C656" s="58" t="s">
        <x:v>2884</x:v>
      </x:c>
      <x:c r="D656" s="58" t="s">
        <x:v>1295</x:v>
      </x:c>
      <x:c r="E656" s="18" t="s">
        <x:v>2885</x:v>
      </x:c>
      <x:c r="F656" s="18" t="s">
        <x:v>2886</x:v>
      </x:c>
      <x:c r="G656" s="126">
        <x:v>0</x:v>
      </x:c>
      <x:c r="H656" s="126" t="e">
        <x:f>IF(G656="","",IF(G656&lt;参数与口径!$E$6,1,MATCH(G656,等级配置!$C$4:$C$103,1)))</x:f>
        <x:v>#NAME?</x:v>
      </x:c>
      <x:c r="I656" s="58" t="e">
        <x:f>IF(H656="","",INDEX(等级配置!$B$4:$B$103,H656))</x:f>
        <x:v>#NAME?</x:v>
      </x:c>
      <x:c r="J656" s="58" t="e">
        <x:f>IF(AND(D656="当前已婚",G656&lt;参数与口径!$E$6),"存量兼容Lv1",IF(G656&gt;=等级配置!$C$103,"Lv100溢出","正常"))</x:f>
        <x:v>#NAME?</x:v>
      </x:c>
      <x:c r="K656" s="20" t="str">
        <x:f t="shared" si="10"/>
      </x:c>
    </x:row>
    <x:row r="657" ht="17">
      <x:c r="A657" s="58" t="s">
        <x:v>2887</x:v>
      </x:c>
      <x:c r="B657" s="58" t="s">
        <x:v>2649</x:v>
      </x:c>
      <x:c r="C657" s="58" t="s">
        <x:v>2888</x:v>
      </x:c>
      <x:c r="D657" s="58" t="s">
        <x:v>1295</x:v>
      </x:c>
      <x:c r="E657" s="18" t="s">
        <x:v>2889</x:v>
      </x:c>
      <x:c r="F657" s="18" t="s">
        <x:v>2890</x:v>
      </x:c>
      <x:c r="G657" s="126">
        <x:v>0</x:v>
      </x:c>
      <x:c r="H657" s="126" t="e">
        <x:f>IF(G657="","",IF(G657&lt;参数与口径!$E$6,1,MATCH(G657,等级配置!$C$4:$C$103,1)))</x:f>
        <x:v>#NAME?</x:v>
      </x:c>
      <x:c r="I657" s="58" t="e">
        <x:f>IF(H657="","",INDEX(等级配置!$B$4:$B$103,H657))</x:f>
        <x:v>#NAME?</x:v>
      </x:c>
      <x:c r="J657" s="58" t="e">
        <x:f>IF(AND(D657="当前已婚",G657&lt;参数与口径!$E$6),"存量兼容Lv1",IF(G657&gt;=等级配置!$C$103,"Lv100溢出","正常"))</x:f>
        <x:v>#NAME?</x:v>
      </x:c>
      <x:c r="K657" s="20" t="str">
        <x:f t="shared" si="10"/>
      </x:c>
    </x:row>
    <x:row r="658" ht="17">
      <x:c r="A658" s="58" t="s">
        <x:v>2891</x:v>
      </x:c>
      <x:c r="B658" s="58" t="s">
        <x:v>2892</x:v>
      </x:c>
      <x:c r="C658" s="58" t="s">
        <x:v>2893</x:v>
      </x:c>
      <x:c r="D658" s="58" t="s">
        <x:v>1295</x:v>
      </x:c>
      <x:c r="E658" s="18" t="s">
        <x:v>2894</x:v>
      </x:c>
      <x:c r="F658" s="18" t="s">
        <x:v>2895</x:v>
      </x:c>
      <x:c r="G658" s="126">
        <x:v>0</x:v>
      </x:c>
      <x:c r="H658" s="126" t="e">
        <x:f>IF(G658="","",IF(G658&lt;参数与口径!$E$6,1,MATCH(G658,等级配置!$C$4:$C$103,1)))</x:f>
        <x:v>#NAME?</x:v>
      </x:c>
      <x:c r="I658" s="58" t="e">
        <x:f>IF(H658="","",INDEX(等级配置!$B$4:$B$103,H658))</x:f>
        <x:v>#NAME?</x:v>
      </x:c>
      <x:c r="J658" s="58" t="e">
        <x:f>IF(AND(D658="当前已婚",G658&lt;参数与口径!$E$6),"存量兼容Lv1",IF(G658&gt;=等级配置!$C$103,"Lv100溢出","正常"))</x:f>
        <x:v>#NAME?</x:v>
      </x:c>
      <x:c r="K658" s="20" t="str">
        <x:f t="shared" si="10"/>
      </x:c>
    </x:row>
    <x:row r="659" ht="17">
      <x:c r="A659" s="58" t="s">
        <x:v>2896</x:v>
      </x:c>
      <x:c r="B659" s="58" t="s">
        <x:v>2897</x:v>
      </x:c>
      <x:c r="C659" s="58" t="s">
        <x:v>2898</x:v>
      </x:c>
      <x:c r="D659" s="58" t="s">
        <x:v>1295</x:v>
      </x:c>
      <x:c r="E659" s="18" t="s">
        <x:v>2899</x:v>
      </x:c>
      <x:c r="F659" s="18" t="s">
        <x:v>2900</x:v>
      </x:c>
      <x:c r="G659" s="126">
        <x:v>0</x:v>
      </x:c>
      <x:c r="H659" s="126" t="e">
        <x:f>IF(G659="","",IF(G659&lt;参数与口径!$E$6,1,MATCH(G659,等级配置!$C$4:$C$103,1)))</x:f>
        <x:v>#NAME?</x:v>
      </x:c>
      <x:c r="I659" s="58" t="e">
        <x:f>IF(H659="","",INDEX(等级配置!$B$4:$B$103,H659))</x:f>
        <x:v>#NAME?</x:v>
      </x:c>
      <x:c r="J659" s="58" t="e">
        <x:f>IF(AND(D659="当前已婚",G659&lt;参数与口径!$E$6),"存量兼容Lv1",IF(G659&gt;=等级配置!$C$103,"Lv100溢出","正常"))</x:f>
        <x:v>#NAME?</x:v>
      </x:c>
      <x:c r="K659" s="20" t="str">
        <x:f t="shared" si="10"/>
      </x:c>
    </x:row>
    <x:row r="660" ht="17">
      <x:c r="A660" s="58" t="s">
        <x:v>2901</x:v>
      </x:c>
      <x:c r="B660" s="58" t="s">
        <x:v>2902</x:v>
      </x:c>
      <x:c r="C660" s="58" t="s">
        <x:v>2903</x:v>
      </x:c>
      <x:c r="D660" s="58" t="s">
        <x:v>1295</x:v>
      </x:c>
      <x:c r="E660" s="18" t="s">
        <x:v>2904</x:v>
      </x:c>
      <x:c r="F660" s="18" t="s">
        <x:v>2905</x:v>
      </x:c>
      <x:c r="G660" s="126">
        <x:v>0</x:v>
      </x:c>
      <x:c r="H660" s="126" t="e">
        <x:f>IF(G660="","",IF(G660&lt;参数与口径!$E$6,1,MATCH(G660,等级配置!$C$4:$C$103,1)))</x:f>
        <x:v>#NAME?</x:v>
      </x:c>
      <x:c r="I660" s="58" t="e">
        <x:f>IF(H660="","",INDEX(等级配置!$B$4:$B$103,H660))</x:f>
        <x:v>#NAME?</x:v>
      </x:c>
      <x:c r="J660" s="58" t="e">
        <x:f>IF(AND(D660="当前已婚",G660&lt;参数与口径!$E$6),"存量兼容Lv1",IF(G660&gt;=等级配置!$C$103,"Lv100溢出","正常"))</x:f>
        <x:v>#NAME?</x:v>
      </x:c>
      <x:c r="K660" s="20" t="str">
        <x:f t="shared" si="10"/>
      </x:c>
    </x:row>
    <x:row r="661" ht="17">
      <x:c r="A661" s="58" t="s">
        <x:v>2906</x:v>
      </x:c>
      <x:c r="B661" s="58" t="s">
        <x:v>2907</x:v>
      </x:c>
      <x:c r="C661" s="58" t="s">
        <x:v>2908</x:v>
      </x:c>
      <x:c r="D661" s="58" t="s">
        <x:v>1295</x:v>
      </x:c>
      <x:c r="E661" s="18" t="s">
        <x:v>2909</x:v>
      </x:c>
      <x:c r="F661" s="18" t="s">
        <x:v>2910</x:v>
      </x:c>
      <x:c r="G661" s="126">
        <x:v>0</x:v>
      </x:c>
      <x:c r="H661" s="126" t="e">
        <x:f>IF(G661="","",IF(G661&lt;参数与口径!$E$6,1,MATCH(G661,等级配置!$C$4:$C$103,1)))</x:f>
        <x:v>#NAME?</x:v>
      </x:c>
      <x:c r="I661" s="58" t="e">
        <x:f>IF(H661="","",INDEX(等级配置!$B$4:$B$103,H661))</x:f>
        <x:v>#NAME?</x:v>
      </x:c>
      <x:c r="J661" s="58" t="e">
        <x:f>IF(AND(D661="当前已婚",G661&lt;参数与口径!$E$6),"存量兼容Lv1",IF(G661&gt;=等级配置!$C$103,"Lv100溢出","正常"))</x:f>
        <x:v>#NAME?</x:v>
      </x:c>
      <x:c r="K661" s="20" t="str">
        <x:f t="shared" si="10"/>
      </x:c>
    </x:row>
    <x:row r="662" ht="17">
      <x:c r="A662" s="58" t="s">
        <x:v>2911</x:v>
      </x:c>
      <x:c r="B662" s="58" t="s">
        <x:v>2888</x:v>
      </x:c>
      <x:c r="C662" s="58" t="s">
        <x:v>2912</x:v>
      </x:c>
      <x:c r="D662" s="58" t="s">
        <x:v>1295</x:v>
      </x:c>
      <x:c r="E662" s="18" t="s">
        <x:v>2913</x:v>
      </x:c>
      <x:c r="F662" s="18" t="s">
        <x:v>2914</x:v>
      </x:c>
      <x:c r="G662" s="126">
        <x:v>0</x:v>
      </x:c>
      <x:c r="H662" s="126" t="e">
        <x:f>IF(G662="","",IF(G662&lt;参数与口径!$E$6,1,MATCH(G662,等级配置!$C$4:$C$103,1)))</x:f>
        <x:v>#NAME?</x:v>
      </x:c>
      <x:c r="I662" s="58" t="e">
        <x:f>IF(H662="","",INDEX(等级配置!$B$4:$B$103,H662))</x:f>
        <x:v>#NAME?</x:v>
      </x:c>
      <x:c r="J662" s="58" t="e">
        <x:f>IF(AND(D662="当前已婚",G662&lt;参数与口径!$E$6),"存量兼容Lv1",IF(G662&gt;=等级配置!$C$103,"Lv100溢出","正常"))</x:f>
        <x:v>#NAME?</x:v>
      </x:c>
      <x:c r="K662" s="20" t="str">
        <x:f t="shared" si="10"/>
      </x:c>
    </x:row>
    <x:row r="663" ht="17">
      <x:c r="A663" s="58" t="s">
        <x:v>2915</x:v>
      </x:c>
      <x:c r="B663" s="58" t="s">
        <x:v>2916</x:v>
      </x:c>
      <x:c r="C663" s="58" t="s">
        <x:v>2917</x:v>
      </x:c>
      <x:c r="D663" s="58" t="s">
        <x:v>1295</x:v>
      </x:c>
      <x:c r="E663" s="18" t="s">
        <x:v>2918</x:v>
      </x:c>
      <x:c r="F663" s="18" t="s">
        <x:v>2919</x:v>
      </x:c>
      <x:c r="G663" s="126">
        <x:v>0</x:v>
      </x:c>
      <x:c r="H663" s="126" t="e">
        <x:f>IF(G663="","",IF(G663&lt;参数与口径!$E$6,1,MATCH(G663,等级配置!$C$4:$C$103,1)))</x:f>
        <x:v>#NAME?</x:v>
      </x:c>
      <x:c r="I663" s="58" t="e">
        <x:f>IF(H663="","",INDEX(等级配置!$B$4:$B$103,H663))</x:f>
        <x:v>#NAME?</x:v>
      </x:c>
      <x:c r="J663" s="58" t="e">
        <x:f>IF(AND(D663="当前已婚",G663&lt;参数与口径!$E$6),"存量兼容Lv1",IF(G663&gt;=等级配置!$C$103,"Lv100溢出","正常"))</x:f>
        <x:v>#NAME?</x:v>
      </x:c>
      <x:c r="K663" s="20" t="str">
        <x:f t="shared" si="10"/>
      </x:c>
    </x:row>
    <x:row r="664" ht="17">
      <x:c r="A664" s="58" t="s">
        <x:v>2920</x:v>
      </x:c>
      <x:c r="B664" s="58" t="s">
        <x:v>2921</x:v>
      </x:c>
      <x:c r="C664" s="58" t="s">
        <x:v>2259</x:v>
      </x:c>
      <x:c r="D664" s="58" t="s">
        <x:v>1295</x:v>
      </x:c>
      <x:c r="E664" s="18" t="s">
        <x:v>2922</x:v>
      </x:c>
      <x:c r="F664" s="18" t="s">
        <x:v>2923</x:v>
      </x:c>
      <x:c r="G664" s="126">
        <x:v>0</x:v>
      </x:c>
      <x:c r="H664" s="126" t="e">
        <x:f>IF(G664="","",IF(G664&lt;参数与口径!$E$6,1,MATCH(G664,等级配置!$C$4:$C$103,1)))</x:f>
        <x:v>#NAME?</x:v>
      </x:c>
      <x:c r="I664" s="58" t="e">
        <x:f>IF(H664="","",INDEX(等级配置!$B$4:$B$103,H664))</x:f>
        <x:v>#NAME?</x:v>
      </x:c>
      <x:c r="J664" s="58" t="e">
        <x:f>IF(AND(D664="当前已婚",G664&lt;参数与口径!$E$6),"存量兼容Lv1",IF(G664&gt;=等级配置!$C$103,"Lv100溢出","正常"))</x:f>
        <x:v>#NAME?</x:v>
      </x:c>
      <x:c r="K664" s="20" t="str">
        <x:f t="shared" si="10"/>
      </x:c>
    </x:row>
    <x:row r="665" ht="17">
      <x:c r="A665" s="58" t="s">
        <x:v>2924</x:v>
      </x:c>
      <x:c r="B665" s="58" t="s">
        <x:v>2925</x:v>
      </x:c>
      <x:c r="C665" s="58" t="s">
        <x:v>2926</x:v>
      </x:c>
      <x:c r="D665" s="58" t="s">
        <x:v>1295</x:v>
      </x:c>
      <x:c r="E665" s="18" t="s">
        <x:v>2927</x:v>
      </x:c>
      <x:c r="F665" s="18" t="s">
        <x:v>2928</x:v>
      </x:c>
      <x:c r="G665" s="126">
        <x:v>0</x:v>
      </x:c>
      <x:c r="H665" s="126" t="e">
        <x:f>IF(G665="","",IF(G665&lt;参数与口径!$E$6,1,MATCH(G665,等级配置!$C$4:$C$103,1)))</x:f>
        <x:v>#NAME?</x:v>
      </x:c>
      <x:c r="I665" s="58" t="e">
        <x:f>IF(H665="","",INDEX(等级配置!$B$4:$B$103,H665))</x:f>
        <x:v>#NAME?</x:v>
      </x:c>
      <x:c r="J665" s="58" t="e">
        <x:f>IF(AND(D665="当前已婚",G665&lt;参数与口径!$E$6),"存量兼容Lv1",IF(G665&gt;=等级配置!$C$103,"Lv100溢出","正常"))</x:f>
        <x:v>#NAME?</x:v>
      </x:c>
      <x:c r="K665" s="20" t="str">
        <x:f t="shared" si="10"/>
      </x:c>
    </x:row>
    <x:row r="666" ht="17">
      <x:c r="A666" s="58" t="s">
        <x:v>2929</x:v>
      </x:c>
      <x:c r="B666" s="58" t="s">
        <x:v>2930</x:v>
      </x:c>
      <x:c r="C666" s="58" t="s">
        <x:v>2931</x:v>
      </x:c>
      <x:c r="D666" s="58" t="s">
        <x:v>1295</x:v>
      </x:c>
      <x:c r="E666" s="18" t="s">
        <x:v>2932</x:v>
      </x:c>
      <x:c r="F666" s="18" t="s">
        <x:v>2933</x:v>
      </x:c>
      <x:c r="G666" s="126">
        <x:v>0</x:v>
      </x:c>
      <x:c r="H666" s="126" t="e">
        <x:f>IF(G666="","",IF(G666&lt;参数与口径!$E$6,1,MATCH(G666,等级配置!$C$4:$C$103,1)))</x:f>
        <x:v>#NAME?</x:v>
      </x:c>
      <x:c r="I666" s="58" t="e">
        <x:f>IF(H666="","",INDEX(等级配置!$B$4:$B$103,H666))</x:f>
        <x:v>#NAME?</x:v>
      </x:c>
      <x:c r="J666" s="58" t="e">
        <x:f>IF(AND(D666="当前已婚",G666&lt;参数与口径!$E$6),"存量兼容Lv1",IF(G666&gt;=等级配置!$C$103,"Lv100溢出","正常"))</x:f>
        <x:v>#NAME?</x:v>
      </x:c>
      <x:c r="K666" s="20" t="str">
        <x:f t="shared" si="10"/>
      </x:c>
    </x:row>
    <x:row r="667" ht="17">
      <x:c r="A667" s="58" t="s">
        <x:v>2934</x:v>
      </x:c>
      <x:c r="B667" s="58" t="s">
        <x:v>2935</x:v>
      </x:c>
      <x:c r="C667" s="58" t="s">
        <x:v>2936</x:v>
      </x:c>
      <x:c r="D667" s="58" t="s">
        <x:v>1295</x:v>
      </x:c>
      <x:c r="E667" s="18" t="s">
        <x:v>2937</x:v>
      </x:c>
      <x:c r="F667" s="18" t="s">
        <x:v>2938</x:v>
      </x:c>
      <x:c r="G667" s="126">
        <x:v>0</x:v>
      </x:c>
      <x:c r="H667" s="126" t="e">
        <x:f>IF(G667="","",IF(G667&lt;参数与口径!$E$6,1,MATCH(G667,等级配置!$C$4:$C$103,1)))</x:f>
        <x:v>#NAME?</x:v>
      </x:c>
      <x:c r="I667" s="58" t="e">
        <x:f>IF(H667="","",INDEX(等级配置!$B$4:$B$103,H667))</x:f>
        <x:v>#NAME?</x:v>
      </x:c>
      <x:c r="J667" s="58" t="e">
        <x:f>IF(AND(D667="当前已婚",G667&lt;参数与口径!$E$6),"存量兼容Lv1",IF(G667&gt;=等级配置!$C$103,"Lv100溢出","正常"))</x:f>
        <x:v>#NAME?</x:v>
      </x:c>
      <x:c r="K667" s="20" t="str">
        <x:f t="shared" si="10"/>
      </x:c>
    </x:row>
    <x:row r="668" ht="17">
      <x:c r="A668" s="58" t="s">
        <x:v>2939</x:v>
      </x:c>
      <x:c r="B668" s="58" t="s">
        <x:v>2940</x:v>
      </x:c>
      <x:c r="C668" s="58" t="s">
        <x:v>2941</x:v>
      </x:c>
      <x:c r="D668" s="58" t="s">
        <x:v>1295</x:v>
      </x:c>
      <x:c r="E668" s="18" t="s">
        <x:v>2942</x:v>
      </x:c>
      <x:c r="F668" s="18" t="s">
        <x:v>2943</x:v>
      </x:c>
      <x:c r="G668" s="126">
        <x:v>0</x:v>
      </x:c>
      <x:c r="H668" s="126" t="e">
        <x:f>IF(G668="","",IF(G668&lt;参数与口径!$E$6,1,MATCH(G668,等级配置!$C$4:$C$103,1)))</x:f>
        <x:v>#NAME?</x:v>
      </x:c>
      <x:c r="I668" s="58" t="e">
        <x:f>IF(H668="","",INDEX(等级配置!$B$4:$B$103,H668))</x:f>
        <x:v>#NAME?</x:v>
      </x:c>
      <x:c r="J668" s="58" t="e">
        <x:f>IF(AND(D668="当前已婚",G668&lt;参数与口径!$E$6),"存量兼容Lv1",IF(G668&gt;=等级配置!$C$103,"Lv100溢出","正常"))</x:f>
        <x:v>#NAME?</x:v>
      </x:c>
      <x:c r="K668" s="20" t="str">
        <x:f t="shared" si="10"/>
      </x:c>
    </x:row>
    <x:row r="669" ht="17">
      <x:c r="A669" s="58" t="s">
        <x:v>2944</x:v>
      </x:c>
      <x:c r="B669" s="58" t="s">
        <x:v>2945</x:v>
      </x:c>
      <x:c r="C669" s="58" t="s">
        <x:v>1086</x:v>
      </x:c>
      <x:c r="D669" s="58" t="s">
        <x:v>1295</x:v>
      </x:c>
      <x:c r="E669" s="18" t="s">
        <x:v>2946</x:v>
      </x:c>
      <x:c r="F669" s="18" t="s">
        <x:v>2947</x:v>
      </x:c>
      <x:c r="G669" s="126">
        <x:v>0</x:v>
      </x:c>
      <x:c r="H669" s="126" t="e">
        <x:f>IF(G669="","",IF(G669&lt;参数与口径!$E$6,1,MATCH(G669,等级配置!$C$4:$C$103,1)))</x:f>
        <x:v>#NAME?</x:v>
      </x:c>
      <x:c r="I669" s="58" t="e">
        <x:f>IF(H669="","",INDEX(等级配置!$B$4:$B$103,H669))</x:f>
        <x:v>#NAME?</x:v>
      </x:c>
      <x:c r="J669" s="58" t="e">
        <x:f>IF(AND(D669="当前已婚",G669&lt;参数与口径!$E$6),"存量兼容Lv1",IF(G669&gt;=等级配置!$C$103,"Lv100溢出","正常"))</x:f>
        <x:v>#NAME?</x:v>
      </x:c>
      <x:c r="K669" s="20" t="str">
        <x:f t="shared" si="10"/>
      </x:c>
    </x:row>
    <x:row r="670" ht="17">
      <x:c r="A670" s="58" t="s">
        <x:v>2948</x:v>
      </x:c>
      <x:c r="B670" s="58" t="s">
        <x:v>1345</x:v>
      </x:c>
      <x:c r="C670" s="58" t="s">
        <x:v>2949</x:v>
      </x:c>
      <x:c r="D670" s="58" t="s">
        <x:v>1295</x:v>
      </x:c>
      <x:c r="E670" s="18" t="s">
        <x:v>2950</x:v>
      </x:c>
      <x:c r="F670" s="18" t="s">
        <x:v>2951</x:v>
      </x:c>
      <x:c r="G670" s="126">
        <x:v>0</x:v>
      </x:c>
      <x:c r="H670" s="126" t="e">
        <x:f>IF(G670="","",IF(G670&lt;参数与口径!$E$6,1,MATCH(G670,等级配置!$C$4:$C$103,1)))</x:f>
        <x:v>#NAME?</x:v>
      </x:c>
      <x:c r="I670" s="58" t="e">
        <x:f>IF(H670="","",INDEX(等级配置!$B$4:$B$103,H670))</x:f>
        <x:v>#NAME?</x:v>
      </x:c>
      <x:c r="J670" s="58" t="e">
        <x:f>IF(AND(D670="当前已婚",G670&lt;参数与口径!$E$6),"存量兼容Lv1",IF(G670&gt;=等级配置!$C$103,"Lv100溢出","正常"))</x:f>
        <x:v>#NAME?</x:v>
      </x:c>
      <x:c r="K670" s="20" t="str">
        <x:f t="shared" si="10"/>
      </x:c>
    </x:row>
    <x:row r="671" ht="17">
      <x:c r="A671" s="58" t="s">
        <x:v>2952</x:v>
      </x:c>
      <x:c r="B671" s="58" t="s">
        <x:v>2953</x:v>
      </x:c>
      <x:c r="C671" s="58" t="s">
        <x:v>2954</x:v>
      </x:c>
      <x:c r="D671" s="58" t="s">
        <x:v>1295</x:v>
      </x:c>
      <x:c r="E671" s="18" t="s">
        <x:v>2955</x:v>
      </x:c>
      <x:c r="F671" s="18" t="s">
        <x:v>2956</x:v>
      </x:c>
      <x:c r="G671" s="126">
        <x:v>0</x:v>
      </x:c>
      <x:c r="H671" s="126" t="e">
        <x:f>IF(G671="","",IF(G671&lt;参数与口径!$E$6,1,MATCH(G671,等级配置!$C$4:$C$103,1)))</x:f>
        <x:v>#NAME?</x:v>
      </x:c>
      <x:c r="I671" s="58" t="e">
        <x:f>IF(H671="","",INDEX(等级配置!$B$4:$B$103,H671))</x:f>
        <x:v>#NAME?</x:v>
      </x:c>
      <x:c r="J671" s="58" t="e">
        <x:f>IF(AND(D671="当前已婚",G671&lt;参数与口径!$E$6),"存量兼容Lv1",IF(G671&gt;=等级配置!$C$103,"Lv100溢出","正常"))</x:f>
        <x:v>#NAME?</x:v>
      </x:c>
      <x:c r="K671" s="20" t="str">
        <x:f t="shared" si="10"/>
      </x:c>
    </x:row>
    <x:row r="672" ht="17">
      <x:c r="A672" s="58" t="s">
        <x:v>2957</x:v>
      </x:c>
      <x:c r="B672" s="58" t="s">
        <x:v>2958</x:v>
      </x:c>
      <x:c r="C672" s="58" t="s">
        <x:v>1894</x:v>
      </x:c>
      <x:c r="D672" s="58" t="s">
        <x:v>1295</x:v>
      </x:c>
      <x:c r="E672" s="18" t="s">
        <x:v>2959</x:v>
      </x:c>
      <x:c r="F672" s="18" t="s">
        <x:v>2960</x:v>
      </x:c>
      <x:c r="G672" s="126">
        <x:v>0</x:v>
      </x:c>
      <x:c r="H672" s="126" t="e">
        <x:f>IF(G672="","",IF(G672&lt;参数与口径!$E$6,1,MATCH(G672,等级配置!$C$4:$C$103,1)))</x:f>
        <x:v>#NAME?</x:v>
      </x:c>
      <x:c r="I672" s="58" t="e">
        <x:f>IF(H672="","",INDEX(等级配置!$B$4:$B$103,H672))</x:f>
        <x:v>#NAME?</x:v>
      </x:c>
      <x:c r="J672" s="58" t="e">
        <x:f>IF(AND(D672="当前已婚",G672&lt;参数与口径!$E$6),"存量兼容Lv1",IF(G672&gt;=等级配置!$C$103,"Lv100溢出","正常"))</x:f>
        <x:v>#NAME?</x:v>
      </x:c>
      <x:c r="K672" s="20" t="str">
        <x:f t="shared" si="10"/>
      </x:c>
    </x:row>
    <x:row r="673" ht="17">
      <x:c r="A673" s="58" t="s">
        <x:v>2961</x:v>
      </x:c>
      <x:c r="B673" s="58" t="s">
        <x:v>2962</x:v>
      </x:c>
      <x:c r="C673" s="58" t="s">
        <x:v>2963</x:v>
      </x:c>
      <x:c r="D673" s="58" t="s">
        <x:v>1295</x:v>
      </x:c>
      <x:c r="E673" s="18" t="s">
        <x:v>2964</x:v>
      </x:c>
      <x:c r="F673" s="18" t="s">
        <x:v>2965</x:v>
      </x:c>
      <x:c r="G673" s="126">
        <x:v>0</x:v>
      </x:c>
      <x:c r="H673" s="126" t="e">
        <x:f>IF(G673="","",IF(G673&lt;参数与口径!$E$6,1,MATCH(G673,等级配置!$C$4:$C$103,1)))</x:f>
        <x:v>#NAME?</x:v>
      </x:c>
      <x:c r="I673" s="58" t="e">
        <x:f>IF(H673="","",INDEX(等级配置!$B$4:$B$103,H673))</x:f>
        <x:v>#NAME?</x:v>
      </x:c>
      <x:c r="J673" s="58" t="e">
        <x:f>IF(AND(D673="当前已婚",G673&lt;参数与口径!$E$6),"存量兼容Lv1",IF(G673&gt;=等级配置!$C$103,"Lv100溢出","正常"))</x:f>
        <x:v>#NAME?</x:v>
      </x:c>
      <x:c r="K673" s="20" t="str">
        <x:f t="shared" si="10"/>
      </x:c>
    </x:row>
    <x:row r="674" ht="17">
      <x:c r="A674" s="58" t="s">
        <x:v>2966</x:v>
      </x:c>
      <x:c r="B674" s="58" t="s">
        <x:v>2967</x:v>
      </x:c>
      <x:c r="C674" s="58" t="s">
        <x:v>2817</x:v>
      </x:c>
      <x:c r="D674" s="58" t="s">
        <x:v>1295</x:v>
      </x:c>
      <x:c r="E674" s="18" t="s">
        <x:v>2968</x:v>
      </x:c>
      <x:c r="F674" s="18" t="s">
        <x:v>2969</x:v>
      </x:c>
      <x:c r="G674" s="126">
        <x:v>0</x:v>
      </x:c>
      <x:c r="H674" s="126" t="e">
        <x:f>IF(G674="","",IF(G674&lt;参数与口径!$E$6,1,MATCH(G674,等级配置!$C$4:$C$103,1)))</x:f>
        <x:v>#NAME?</x:v>
      </x:c>
      <x:c r="I674" s="58" t="e">
        <x:f>IF(H674="","",INDEX(等级配置!$B$4:$B$103,H674))</x:f>
        <x:v>#NAME?</x:v>
      </x:c>
      <x:c r="J674" s="58" t="e">
        <x:f>IF(AND(D674="当前已婚",G674&lt;参数与口径!$E$6),"存量兼容Lv1",IF(G674&gt;=等级配置!$C$103,"Lv100溢出","正常"))</x:f>
        <x:v>#NAME?</x:v>
      </x:c>
      <x:c r="K674" s="20" t="str">
        <x:f t="shared" si="10"/>
      </x:c>
    </x:row>
    <x:row r="675" ht="17">
      <x:c r="A675" s="58" t="s">
        <x:v>2970</x:v>
      </x:c>
      <x:c r="B675" s="58" t="s">
        <x:v>2971</x:v>
      </x:c>
      <x:c r="C675" s="58" t="s">
        <x:v>2972</x:v>
      </x:c>
      <x:c r="D675" s="58" t="s">
        <x:v>1295</x:v>
      </x:c>
      <x:c r="E675" s="18" t="s">
        <x:v>2973</x:v>
      </x:c>
      <x:c r="F675" s="18" t="s">
        <x:v>2974</x:v>
      </x:c>
      <x:c r="G675" s="126">
        <x:v>0</x:v>
      </x:c>
      <x:c r="H675" s="126" t="e">
        <x:f>IF(G675="","",IF(G675&lt;参数与口径!$E$6,1,MATCH(G675,等级配置!$C$4:$C$103,1)))</x:f>
        <x:v>#NAME?</x:v>
      </x:c>
      <x:c r="I675" s="58" t="e">
        <x:f>IF(H675="","",INDEX(等级配置!$B$4:$B$103,H675))</x:f>
        <x:v>#NAME?</x:v>
      </x:c>
      <x:c r="J675" s="58" t="e">
        <x:f>IF(AND(D675="当前已婚",G675&lt;参数与口径!$E$6),"存量兼容Lv1",IF(G675&gt;=等级配置!$C$103,"Lv100溢出","正常"))</x:f>
        <x:v>#NAME?</x:v>
      </x:c>
      <x:c r="K675" s="20" t="str">
        <x:f t="shared" si="10"/>
      </x:c>
    </x:row>
    <x:row r="676" ht="17">
      <x:c r="A676" s="58" t="s">
        <x:v>2975</x:v>
      </x:c>
      <x:c r="B676" s="58" t="s">
        <x:v>2976</x:v>
      </x:c>
      <x:c r="C676" s="58" t="s">
        <x:v>2977</x:v>
      </x:c>
      <x:c r="D676" s="58" t="s">
        <x:v>1295</x:v>
      </x:c>
      <x:c r="E676" s="18" t="s">
        <x:v>2978</x:v>
      </x:c>
      <x:c r="F676" s="18" t="s">
        <x:v>2979</x:v>
      </x:c>
      <x:c r="G676" s="126">
        <x:v>0</x:v>
      </x:c>
      <x:c r="H676" s="126" t="e">
        <x:f>IF(G676="","",IF(G676&lt;参数与口径!$E$6,1,MATCH(G676,等级配置!$C$4:$C$103,1)))</x:f>
        <x:v>#NAME?</x:v>
      </x:c>
      <x:c r="I676" s="58" t="e">
        <x:f>IF(H676="","",INDEX(等级配置!$B$4:$B$103,H676))</x:f>
        <x:v>#NAME?</x:v>
      </x:c>
      <x:c r="J676" s="58" t="e">
        <x:f>IF(AND(D676="当前已婚",G676&lt;参数与口径!$E$6),"存量兼容Lv1",IF(G676&gt;=等级配置!$C$103,"Lv100溢出","正常"))</x:f>
        <x:v>#NAME?</x:v>
      </x:c>
      <x:c r="K676" s="20" t="str">
        <x:f t="shared" si="10"/>
      </x:c>
    </x:row>
    <x:row r="677" ht="17">
      <x:c r="A677" s="58" t="s">
        <x:v>2980</x:v>
      </x:c>
      <x:c r="B677" s="58" t="s">
        <x:v>2981</x:v>
      </x:c>
      <x:c r="C677" s="58" t="s">
        <x:v>2982</x:v>
      </x:c>
      <x:c r="D677" s="58" t="s">
        <x:v>1295</x:v>
      </x:c>
      <x:c r="E677" s="18" t="s">
        <x:v>2983</x:v>
      </x:c>
      <x:c r="F677" s="18" t="s">
        <x:v>2984</x:v>
      </x:c>
      <x:c r="G677" s="126">
        <x:v>0</x:v>
      </x:c>
      <x:c r="H677" s="126" t="e">
        <x:f>IF(G677="","",IF(G677&lt;参数与口径!$E$6,1,MATCH(G677,等级配置!$C$4:$C$103,1)))</x:f>
        <x:v>#NAME?</x:v>
      </x:c>
      <x:c r="I677" s="58" t="e">
        <x:f>IF(H677="","",INDEX(等级配置!$B$4:$B$103,H677))</x:f>
        <x:v>#NAME?</x:v>
      </x:c>
      <x:c r="J677" s="58" t="e">
        <x:f>IF(AND(D677="当前已婚",G677&lt;参数与口径!$E$6),"存量兼容Lv1",IF(G677&gt;=等级配置!$C$103,"Lv100溢出","正常"))</x:f>
        <x:v>#NAME?</x:v>
      </x:c>
      <x:c r="K677" s="20" t="str">
        <x:f t="shared" si="10"/>
      </x:c>
    </x:row>
    <x:row r="678" ht="17">
      <x:c r="A678" s="58" t="s">
        <x:v>2985</x:v>
      </x:c>
      <x:c r="B678" s="58" t="s">
        <x:v>2986</x:v>
      </x:c>
      <x:c r="C678" s="58" t="s">
        <x:v>2987</x:v>
      </x:c>
      <x:c r="D678" s="58" t="s">
        <x:v>1295</x:v>
      </x:c>
      <x:c r="E678" s="18" t="s">
        <x:v>2988</x:v>
      </x:c>
      <x:c r="F678" s="18" t="s">
        <x:v>2989</x:v>
      </x:c>
      <x:c r="G678" s="126">
        <x:v>0</x:v>
      </x:c>
      <x:c r="H678" s="126" t="e">
        <x:f>IF(G678="","",IF(G678&lt;参数与口径!$E$6,1,MATCH(G678,等级配置!$C$4:$C$103,1)))</x:f>
        <x:v>#NAME?</x:v>
      </x:c>
      <x:c r="I678" s="58" t="e">
        <x:f>IF(H678="","",INDEX(等级配置!$B$4:$B$103,H678))</x:f>
        <x:v>#NAME?</x:v>
      </x:c>
      <x:c r="J678" s="58" t="e">
        <x:f>IF(AND(D678="当前已婚",G678&lt;参数与口径!$E$6),"存量兼容Lv1",IF(G678&gt;=等级配置!$C$103,"Lv100溢出","正常"))</x:f>
        <x:v>#NAME?</x:v>
      </x:c>
      <x:c r="K678" s="20" t="str">
        <x:f t="shared" si="10"/>
      </x:c>
    </x:row>
    <x:row r="679" ht="17">
      <x:c r="A679" s="58" t="s">
        <x:v>2990</x:v>
      </x:c>
      <x:c r="B679" s="58" t="s">
        <x:v>2991</x:v>
      </x:c>
      <x:c r="C679" s="58" t="s">
        <x:v>1821</x:v>
      </x:c>
      <x:c r="D679" s="58" t="s">
        <x:v>1295</x:v>
      </x:c>
      <x:c r="E679" s="18" t="s">
        <x:v>2992</x:v>
      </x:c>
      <x:c r="F679" s="18" t="s">
        <x:v>2993</x:v>
      </x:c>
      <x:c r="G679" s="126">
        <x:v>0</x:v>
      </x:c>
      <x:c r="H679" s="126" t="e">
        <x:f>IF(G679="","",IF(G679&lt;参数与口径!$E$6,1,MATCH(G679,等级配置!$C$4:$C$103,1)))</x:f>
        <x:v>#NAME?</x:v>
      </x:c>
      <x:c r="I679" s="58" t="e">
        <x:f>IF(H679="","",INDEX(等级配置!$B$4:$B$103,H679))</x:f>
        <x:v>#NAME?</x:v>
      </x:c>
      <x:c r="J679" s="58" t="e">
        <x:f>IF(AND(D679="当前已婚",G679&lt;参数与口径!$E$6),"存量兼容Lv1",IF(G679&gt;=等级配置!$C$103,"Lv100溢出","正常"))</x:f>
        <x:v>#NAME?</x:v>
      </x:c>
      <x:c r="K679" s="20" t="str">
        <x:f t="shared" si="10"/>
      </x:c>
    </x:row>
    <x:row r="680" ht="17">
      <x:c r="A680" s="58" t="s">
        <x:v>2994</x:v>
      </x:c>
      <x:c r="B680" s="58" t="s">
        <x:v>2995</x:v>
      </x:c>
      <x:c r="C680" s="58" t="s">
        <x:v>1009</x:v>
      </x:c>
      <x:c r="D680" s="58" t="s">
        <x:v>1295</x:v>
      </x:c>
      <x:c r="E680" s="18" t="s">
        <x:v>2996</x:v>
      </x:c>
      <x:c r="F680" s="18" t="s">
        <x:v>2997</x:v>
      </x:c>
      <x:c r="G680" s="126">
        <x:v>0</x:v>
      </x:c>
      <x:c r="H680" s="126" t="e">
        <x:f>IF(G680="","",IF(G680&lt;参数与口径!$E$6,1,MATCH(G680,等级配置!$C$4:$C$103,1)))</x:f>
        <x:v>#NAME?</x:v>
      </x:c>
      <x:c r="I680" s="58" t="e">
        <x:f>IF(H680="","",INDEX(等级配置!$B$4:$B$103,H680))</x:f>
        <x:v>#NAME?</x:v>
      </x:c>
      <x:c r="J680" s="58" t="e">
        <x:f>IF(AND(D680="当前已婚",G680&lt;参数与口径!$E$6),"存量兼容Lv1",IF(G680&gt;=等级配置!$C$103,"Lv100溢出","正常"))</x:f>
        <x:v>#NAME?</x:v>
      </x:c>
      <x:c r="K680" s="20" t="str">
        <x:f t="shared" si="10"/>
      </x:c>
    </x:row>
    <x:row r="681" ht="17">
      <x:c r="A681" s="58" t="s">
        <x:v>2998</x:v>
      </x:c>
      <x:c r="B681" s="58" t="s">
        <x:v>1412</x:v>
      </x:c>
      <x:c r="C681" s="58" t="s">
        <x:v>1445</x:v>
      </x:c>
      <x:c r="D681" s="58" t="s">
        <x:v>1295</x:v>
      </x:c>
      <x:c r="E681" s="18" t="s">
        <x:v>2999</x:v>
      </x:c>
      <x:c r="F681" s="18" t="s">
        <x:v>3000</x:v>
      </x:c>
      <x:c r="G681" s="126">
        <x:v>0</x:v>
      </x:c>
      <x:c r="H681" s="126" t="e">
        <x:f>IF(G681="","",IF(G681&lt;参数与口径!$E$6,1,MATCH(G681,等级配置!$C$4:$C$103,1)))</x:f>
        <x:v>#NAME?</x:v>
      </x:c>
      <x:c r="I681" s="58" t="e">
        <x:f>IF(H681="","",INDEX(等级配置!$B$4:$B$103,H681))</x:f>
        <x:v>#NAME?</x:v>
      </x:c>
      <x:c r="J681" s="58" t="e">
        <x:f>IF(AND(D681="当前已婚",G681&lt;参数与口径!$E$6),"存量兼容Lv1",IF(G681&gt;=等级配置!$C$103,"Lv100溢出","正常"))</x:f>
        <x:v>#NAME?</x:v>
      </x:c>
      <x:c r="K681" s="20" t="str">
        <x:f t="shared" si="10"/>
      </x:c>
    </x:row>
    <x:row r="682" ht="17">
      <x:c r="A682" s="58" t="s">
        <x:v>3001</x:v>
      </x:c>
      <x:c r="B682" s="58" t="s">
        <x:v>2785</x:v>
      </x:c>
      <x:c r="C682" s="58" t="s">
        <x:v>2047</x:v>
      </x:c>
      <x:c r="D682" s="58" t="s">
        <x:v>1295</x:v>
      </x:c>
      <x:c r="E682" s="18" t="s">
        <x:v>3002</x:v>
      </x:c>
      <x:c r="F682" s="18" t="s">
        <x:v>3003</x:v>
      </x:c>
      <x:c r="G682" s="126">
        <x:v>0</x:v>
      </x:c>
      <x:c r="H682" s="126" t="e">
        <x:f>IF(G682="","",IF(G682&lt;参数与口径!$E$6,1,MATCH(G682,等级配置!$C$4:$C$103,1)))</x:f>
        <x:v>#NAME?</x:v>
      </x:c>
      <x:c r="I682" s="58" t="e">
        <x:f>IF(H682="","",INDEX(等级配置!$B$4:$B$103,H682))</x:f>
        <x:v>#NAME?</x:v>
      </x:c>
      <x:c r="J682" s="58" t="e">
        <x:f>IF(AND(D682="当前已婚",G682&lt;参数与口径!$E$6),"存量兼容Lv1",IF(G682&gt;=等级配置!$C$103,"Lv100溢出","正常"))</x:f>
        <x:v>#NAME?</x:v>
      </x:c>
      <x:c r="K682" s="20" t="str">
        <x:f t="shared" si="10"/>
      </x:c>
    </x:row>
    <x:row r="683" ht="17">
      <x:c r="A683" s="58" t="s">
        <x:v>3004</x:v>
      </x:c>
      <x:c r="B683" s="58" t="s">
        <x:v>3005</x:v>
      </x:c>
      <x:c r="C683" s="58" t="s">
        <x:v>2967</x:v>
      </x:c>
      <x:c r="D683" s="58" t="s">
        <x:v>1295</x:v>
      </x:c>
      <x:c r="E683" s="18" t="s">
        <x:v>3006</x:v>
      </x:c>
      <x:c r="F683" s="18" t="s">
        <x:v>3007</x:v>
      </x:c>
      <x:c r="G683" s="126">
        <x:v>0</x:v>
      </x:c>
      <x:c r="H683" s="126" t="e">
        <x:f>IF(G683="","",IF(G683&lt;参数与口径!$E$6,1,MATCH(G683,等级配置!$C$4:$C$103,1)))</x:f>
        <x:v>#NAME?</x:v>
      </x:c>
      <x:c r="I683" s="58" t="e">
        <x:f>IF(H683="","",INDEX(等级配置!$B$4:$B$103,H683))</x:f>
        <x:v>#NAME?</x:v>
      </x:c>
      <x:c r="J683" s="58" t="e">
        <x:f>IF(AND(D683="当前已婚",G683&lt;参数与口径!$E$6),"存量兼容Lv1",IF(G683&gt;=等级配置!$C$103,"Lv100溢出","正常"))</x:f>
        <x:v>#NAME?</x:v>
      </x:c>
      <x:c r="K683" s="20" t="str">
        <x:f t="shared" si="10"/>
      </x:c>
    </x:row>
    <x:row r="684" ht="17">
      <x:c r="A684" s="58" t="s">
        <x:v>3008</x:v>
      </x:c>
      <x:c r="B684" s="58" t="s">
        <x:v>3009</x:v>
      </x:c>
      <x:c r="C684" s="58" t="s">
        <x:v>3010</x:v>
      </x:c>
      <x:c r="D684" s="58" t="s">
        <x:v>1295</x:v>
      </x:c>
      <x:c r="E684" s="18" t="s">
        <x:v>3011</x:v>
      </x:c>
      <x:c r="F684" s="18" t="s">
        <x:v>3012</x:v>
      </x:c>
      <x:c r="G684" s="126">
        <x:v>0</x:v>
      </x:c>
      <x:c r="H684" s="126" t="e">
        <x:f>IF(G684="","",IF(G684&lt;参数与口径!$E$6,1,MATCH(G684,等级配置!$C$4:$C$103,1)))</x:f>
        <x:v>#NAME?</x:v>
      </x:c>
      <x:c r="I684" s="58" t="e">
        <x:f>IF(H684="","",INDEX(等级配置!$B$4:$B$103,H684))</x:f>
        <x:v>#NAME?</x:v>
      </x:c>
      <x:c r="J684" s="58" t="e">
        <x:f>IF(AND(D684="当前已婚",G684&lt;参数与口径!$E$6),"存量兼容Lv1",IF(G684&gt;=等级配置!$C$103,"Lv100溢出","正常"))</x:f>
        <x:v>#NAME?</x:v>
      </x:c>
      <x:c r="K684" s="20" t="str">
        <x:f t="shared" si="10"/>
      </x:c>
    </x:row>
    <x:row r="685" ht="17">
      <x:c r="A685" s="58" t="s">
        <x:v>3013</x:v>
      </x:c>
      <x:c r="B685" s="58" t="s">
        <x:v>2953</x:v>
      </x:c>
      <x:c r="C685" s="58" t="s">
        <x:v>3014</x:v>
      </x:c>
      <x:c r="D685" s="58" t="s">
        <x:v>1295</x:v>
      </x:c>
      <x:c r="E685" s="18" t="s">
        <x:v>3015</x:v>
      </x:c>
      <x:c r="F685" s="18" t="s">
        <x:v>3016</x:v>
      </x:c>
      <x:c r="G685" s="126">
        <x:v>0</x:v>
      </x:c>
      <x:c r="H685" s="126" t="e">
        <x:f>IF(G685="","",IF(G685&lt;参数与口径!$E$6,1,MATCH(G685,等级配置!$C$4:$C$103,1)))</x:f>
        <x:v>#NAME?</x:v>
      </x:c>
      <x:c r="I685" s="58" t="e">
        <x:f>IF(H685="","",INDEX(等级配置!$B$4:$B$103,H685))</x:f>
        <x:v>#NAME?</x:v>
      </x:c>
      <x:c r="J685" s="58" t="e">
        <x:f>IF(AND(D685="当前已婚",G685&lt;参数与口径!$E$6),"存量兼容Lv1",IF(G685&gt;=等级配置!$C$103,"Lv100溢出","正常"))</x:f>
        <x:v>#NAME?</x:v>
      </x:c>
      <x:c r="K685" s="20" t="str">
        <x:f t="shared" si="10"/>
      </x:c>
    </x:row>
    <x:row r="686" ht="17">
      <x:c r="A686" s="58" t="s">
        <x:v>3017</x:v>
      </x:c>
      <x:c r="B686" s="58" t="s">
        <x:v>3018</x:v>
      </x:c>
      <x:c r="C686" s="58" t="s">
        <x:v>3019</x:v>
      </x:c>
      <x:c r="D686" s="58" t="s">
        <x:v>1295</x:v>
      </x:c>
      <x:c r="E686" s="18" t="s">
        <x:v>3020</x:v>
      </x:c>
      <x:c r="F686" s="18" t="s">
        <x:v>3021</x:v>
      </x:c>
      <x:c r="G686" s="126">
        <x:v>0</x:v>
      </x:c>
      <x:c r="H686" s="126" t="e">
        <x:f>IF(G686="","",IF(G686&lt;参数与口径!$E$6,1,MATCH(G686,等级配置!$C$4:$C$103,1)))</x:f>
        <x:v>#NAME?</x:v>
      </x:c>
      <x:c r="I686" s="58" t="e">
        <x:f>IF(H686="","",INDEX(等级配置!$B$4:$B$103,H686))</x:f>
        <x:v>#NAME?</x:v>
      </x:c>
      <x:c r="J686" s="58" t="e">
        <x:f>IF(AND(D686="当前已婚",G686&lt;参数与口径!$E$6),"存量兼容Lv1",IF(G686&gt;=等级配置!$C$103,"Lv100溢出","正常"))</x:f>
        <x:v>#NAME?</x:v>
      </x:c>
      <x:c r="K686" s="20" t="str">
        <x:f t="shared" si="10"/>
      </x:c>
    </x:row>
    <x:row r="687" ht="17">
      <x:c r="A687" s="58" t="s">
        <x:v>3022</x:v>
      </x:c>
      <x:c r="B687" s="58" t="s">
        <x:v>3023</x:v>
      </x:c>
      <x:c r="C687" s="58" t="s">
        <x:v>3024</x:v>
      </x:c>
      <x:c r="D687" s="58" t="s">
        <x:v>1295</x:v>
      </x:c>
      <x:c r="E687" s="18" t="s">
        <x:v>3025</x:v>
      </x:c>
      <x:c r="F687" s="18" t="s">
        <x:v>3026</x:v>
      </x:c>
      <x:c r="G687" s="126">
        <x:v>0</x:v>
      </x:c>
      <x:c r="H687" s="126" t="e">
        <x:f>IF(G687="","",IF(G687&lt;参数与口径!$E$6,1,MATCH(G687,等级配置!$C$4:$C$103,1)))</x:f>
        <x:v>#NAME?</x:v>
      </x:c>
      <x:c r="I687" s="58" t="e">
        <x:f>IF(H687="","",INDEX(等级配置!$B$4:$B$103,H687))</x:f>
        <x:v>#NAME?</x:v>
      </x:c>
      <x:c r="J687" s="58" t="e">
        <x:f>IF(AND(D687="当前已婚",G687&lt;参数与口径!$E$6),"存量兼容Lv1",IF(G687&gt;=等级配置!$C$103,"Lv100溢出","正常"))</x:f>
        <x:v>#NAME?</x:v>
      </x:c>
      <x:c r="K687" s="20" t="str">
        <x:f t="shared" si="10"/>
      </x:c>
    </x:row>
    <x:row r="688" ht="17">
      <x:c r="A688" s="58" t="s">
        <x:v>3027</x:v>
      </x:c>
      <x:c r="B688" s="58" t="s">
        <x:v>3028</x:v>
      </x:c>
      <x:c r="C688" s="58" t="s">
        <x:v>3029</x:v>
      </x:c>
      <x:c r="D688" s="58" t="s">
        <x:v>1295</x:v>
      </x:c>
      <x:c r="E688" s="18" t="s">
        <x:v>3030</x:v>
      </x:c>
      <x:c r="F688" s="18" t="s">
        <x:v>3031</x:v>
      </x:c>
      <x:c r="G688" s="126">
        <x:v>0</x:v>
      </x:c>
      <x:c r="H688" s="126" t="e">
        <x:f>IF(G688="","",IF(G688&lt;参数与口径!$E$6,1,MATCH(G688,等级配置!$C$4:$C$103,1)))</x:f>
        <x:v>#NAME?</x:v>
      </x:c>
      <x:c r="I688" s="58" t="e">
        <x:f>IF(H688="","",INDEX(等级配置!$B$4:$B$103,H688))</x:f>
        <x:v>#NAME?</x:v>
      </x:c>
      <x:c r="J688" s="58" t="e">
        <x:f>IF(AND(D688="当前已婚",G688&lt;参数与口径!$E$6),"存量兼容Lv1",IF(G688&gt;=等级配置!$C$103,"Lv100溢出","正常"))</x:f>
        <x:v>#NAME?</x:v>
      </x:c>
      <x:c r="K688" s="20" t="str">
        <x:f t="shared" si="10"/>
      </x:c>
    </x:row>
    <x:row r="689" ht="17">
      <x:c r="A689" s="58" t="s">
        <x:v>3032</x:v>
      </x:c>
      <x:c r="B689" s="58" t="s">
        <x:v>532</x:v>
      </x:c>
      <x:c r="C689" s="58" t="s">
        <x:v>3033</x:v>
      </x:c>
      <x:c r="D689" s="58" t="s">
        <x:v>1295</x:v>
      </x:c>
      <x:c r="E689" s="18" t="s">
        <x:v>3034</x:v>
      </x:c>
      <x:c r="F689" s="18" t="s">
        <x:v>3035</x:v>
      </x:c>
      <x:c r="G689" s="126">
        <x:v>0</x:v>
      </x:c>
      <x:c r="H689" s="126" t="e">
        <x:f>IF(G689="","",IF(G689&lt;参数与口径!$E$6,1,MATCH(G689,等级配置!$C$4:$C$103,1)))</x:f>
        <x:v>#NAME?</x:v>
      </x:c>
      <x:c r="I689" s="58" t="e">
        <x:f>IF(H689="","",INDEX(等级配置!$B$4:$B$103,H689))</x:f>
        <x:v>#NAME?</x:v>
      </x:c>
      <x:c r="J689" s="58" t="e">
        <x:f>IF(AND(D689="当前已婚",G689&lt;参数与口径!$E$6),"存量兼容Lv1",IF(G689&gt;=等级配置!$C$103,"Lv100溢出","正常"))</x:f>
        <x:v>#NAME?</x:v>
      </x:c>
      <x:c r="K689" s="20" t="str">
        <x:f t="shared" si="10"/>
      </x:c>
    </x:row>
    <x:row r="690" ht="17">
      <x:c r="A690" s="58" t="s">
        <x:v>3036</x:v>
      </x:c>
      <x:c r="B690" s="58" t="s">
        <x:v>3037</x:v>
      </x:c>
      <x:c r="C690" s="58" t="s">
        <x:v>345</x:v>
      </x:c>
      <x:c r="D690" s="58" t="s">
        <x:v>1295</x:v>
      </x:c>
      <x:c r="E690" s="18" t="s">
        <x:v>3038</x:v>
      </x:c>
      <x:c r="F690" s="18" t="s">
        <x:v>3039</x:v>
      </x:c>
      <x:c r="G690" s="126">
        <x:v>0</x:v>
      </x:c>
      <x:c r="H690" s="126" t="e">
        <x:f>IF(G690="","",IF(G690&lt;参数与口径!$E$6,1,MATCH(G690,等级配置!$C$4:$C$103,1)))</x:f>
        <x:v>#NAME?</x:v>
      </x:c>
      <x:c r="I690" s="58" t="e">
        <x:f>IF(H690="","",INDEX(等级配置!$B$4:$B$103,H690))</x:f>
        <x:v>#NAME?</x:v>
      </x:c>
      <x:c r="J690" s="58" t="e">
        <x:f>IF(AND(D690="当前已婚",G690&lt;参数与口径!$E$6),"存量兼容Lv1",IF(G690&gt;=等级配置!$C$103,"Lv100溢出","正常"))</x:f>
        <x:v>#NAME?</x:v>
      </x:c>
      <x:c r="K690" s="20" t="str">
        <x:f t="shared" si="10"/>
      </x:c>
    </x:row>
    <x:row r="691" ht="17">
      <x:c r="A691" s="58" t="s">
        <x:v>3040</x:v>
      </x:c>
      <x:c r="B691" s="58" t="s">
        <x:v>3041</x:v>
      </x:c>
      <x:c r="C691" s="58" t="s">
        <x:v>3042</x:v>
      </x:c>
      <x:c r="D691" s="58" t="s">
        <x:v>1295</x:v>
      </x:c>
      <x:c r="E691" s="18" t="s">
        <x:v>3043</x:v>
      </x:c>
      <x:c r="F691" s="18" t="s">
        <x:v>3044</x:v>
      </x:c>
      <x:c r="G691" s="126">
        <x:v>0</x:v>
      </x:c>
      <x:c r="H691" s="126" t="e">
        <x:f>IF(G691="","",IF(G691&lt;参数与口径!$E$6,1,MATCH(G691,等级配置!$C$4:$C$103,1)))</x:f>
        <x:v>#NAME?</x:v>
      </x:c>
      <x:c r="I691" s="58" t="e">
        <x:f>IF(H691="","",INDEX(等级配置!$B$4:$B$103,H691))</x:f>
        <x:v>#NAME?</x:v>
      </x:c>
      <x:c r="J691" s="58" t="e">
        <x:f>IF(AND(D691="当前已婚",G691&lt;参数与口径!$E$6),"存量兼容Lv1",IF(G691&gt;=等级配置!$C$103,"Lv100溢出","正常"))</x:f>
        <x:v>#NAME?</x:v>
      </x:c>
      <x:c r="K691" s="20" t="str">
        <x:f t="shared" si="10"/>
      </x:c>
    </x:row>
    <x:row r="692" ht="17">
      <x:c r="A692" s="58" t="s">
        <x:v>3045</x:v>
      </x:c>
      <x:c r="B692" s="58" t="s">
        <x:v>2977</x:v>
      </x:c>
      <x:c r="C692" s="58" t="s">
        <x:v>3046</x:v>
      </x:c>
      <x:c r="D692" s="58" t="s">
        <x:v>1295</x:v>
      </x:c>
      <x:c r="E692" s="18" t="s">
        <x:v>3047</x:v>
      </x:c>
      <x:c r="F692" s="18" t="s">
        <x:v>3048</x:v>
      </x:c>
      <x:c r="G692" s="126">
        <x:v>0</x:v>
      </x:c>
      <x:c r="H692" s="126" t="e">
        <x:f>IF(G692="","",IF(G692&lt;参数与口径!$E$6,1,MATCH(G692,等级配置!$C$4:$C$103,1)))</x:f>
        <x:v>#NAME?</x:v>
      </x:c>
      <x:c r="I692" s="58" t="e">
        <x:f>IF(H692="","",INDEX(等级配置!$B$4:$B$103,H692))</x:f>
        <x:v>#NAME?</x:v>
      </x:c>
      <x:c r="J692" s="58" t="e">
        <x:f>IF(AND(D692="当前已婚",G692&lt;参数与口径!$E$6),"存量兼容Lv1",IF(G692&gt;=等级配置!$C$103,"Lv100溢出","正常"))</x:f>
        <x:v>#NAME?</x:v>
      </x:c>
      <x:c r="K692" s="20" t="str">
        <x:f t="shared" si="10"/>
      </x:c>
    </x:row>
    <x:row r="693" ht="17">
      <x:c r="A693" s="58" t="s">
        <x:v>3049</x:v>
      </x:c>
      <x:c r="B693" s="58" t="s">
        <x:v>3050</x:v>
      </x:c>
      <x:c r="C693" s="58" t="s">
        <x:v>3051</x:v>
      </x:c>
      <x:c r="D693" s="58" t="s">
        <x:v>1295</x:v>
      </x:c>
      <x:c r="E693" s="18" t="s">
        <x:v>3052</x:v>
      </x:c>
      <x:c r="F693" s="18" t="s">
        <x:v>3053</x:v>
      </x:c>
      <x:c r="G693" s="126">
        <x:v>0</x:v>
      </x:c>
      <x:c r="H693" s="126" t="e">
        <x:f>IF(G693="","",IF(G693&lt;参数与口径!$E$6,1,MATCH(G693,等级配置!$C$4:$C$103,1)))</x:f>
        <x:v>#NAME?</x:v>
      </x:c>
      <x:c r="I693" s="58" t="e">
        <x:f>IF(H693="","",INDEX(等级配置!$B$4:$B$103,H693))</x:f>
        <x:v>#NAME?</x:v>
      </x:c>
      <x:c r="J693" s="58" t="e">
        <x:f>IF(AND(D693="当前已婚",G693&lt;参数与口径!$E$6),"存量兼容Lv1",IF(G693&gt;=等级配置!$C$103,"Lv100溢出","正常"))</x:f>
        <x:v>#NAME?</x:v>
      </x:c>
      <x:c r="K693" s="20" t="str">
        <x:f t="shared" si="10"/>
      </x:c>
    </x:row>
    <x:row r="694" ht="17">
      <x:c r="A694" s="58" t="s">
        <x:v>3054</x:v>
      </x:c>
      <x:c r="B694" s="58" t="s">
        <x:v>3055</x:v>
      </x:c>
      <x:c r="C694" s="58" t="s">
        <x:v>3056</x:v>
      </x:c>
      <x:c r="D694" s="58" t="s">
        <x:v>1295</x:v>
      </x:c>
      <x:c r="E694" s="18" t="s">
        <x:v>3057</x:v>
      </x:c>
      <x:c r="F694" s="18" t="s">
        <x:v>3058</x:v>
      </x:c>
      <x:c r="G694" s="126">
        <x:v>0</x:v>
      </x:c>
      <x:c r="H694" s="126" t="e">
        <x:f>IF(G694="","",IF(G694&lt;参数与口径!$E$6,1,MATCH(G694,等级配置!$C$4:$C$103,1)))</x:f>
        <x:v>#NAME?</x:v>
      </x:c>
      <x:c r="I694" s="58" t="e">
        <x:f>IF(H694="","",INDEX(等级配置!$B$4:$B$103,H694))</x:f>
        <x:v>#NAME?</x:v>
      </x:c>
      <x:c r="J694" s="58" t="e">
        <x:f>IF(AND(D694="当前已婚",G694&lt;参数与口径!$E$6),"存量兼容Lv1",IF(G694&gt;=等级配置!$C$103,"Lv100溢出","正常"))</x:f>
        <x:v>#NAME?</x:v>
      </x:c>
      <x:c r="K694" s="20" t="str">
        <x:f t="shared" si="10"/>
      </x:c>
    </x:row>
    <x:row r="695" ht="17">
      <x:c r="A695" s="58" t="s">
        <x:v>3059</x:v>
      </x:c>
      <x:c r="B695" s="58" t="s">
        <x:v>2046</x:v>
      </x:c>
      <x:c r="C695" s="58" t="s">
        <x:v>3060</x:v>
      </x:c>
      <x:c r="D695" s="58" t="s">
        <x:v>1295</x:v>
      </x:c>
      <x:c r="E695" s="18" t="s">
        <x:v>3061</x:v>
      </x:c>
      <x:c r="F695" s="18" t="s">
        <x:v>3062</x:v>
      </x:c>
      <x:c r="G695" s="126">
        <x:v>0</x:v>
      </x:c>
      <x:c r="H695" s="126" t="e">
        <x:f>IF(G695="","",IF(G695&lt;参数与口径!$E$6,1,MATCH(G695,等级配置!$C$4:$C$103,1)))</x:f>
        <x:v>#NAME?</x:v>
      </x:c>
      <x:c r="I695" s="58" t="e">
        <x:f>IF(H695="","",INDEX(等级配置!$B$4:$B$103,H695))</x:f>
        <x:v>#NAME?</x:v>
      </x:c>
      <x:c r="J695" s="58" t="e">
        <x:f>IF(AND(D695="当前已婚",G695&lt;参数与口径!$E$6),"存量兼容Lv1",IF(G695&gt;=等级配置!$C$103,"Lv100溢出","正常"))</x:f>
        <x:v>#NAME?</x:v>
      </x:c>
      <x:c r="K695" s="20" t="str">
        <x:f t="shared" si="10"/>
      </x:c>
    </x:row>
    <x:row r="696" ht="17">
      <x:c r="A696" s="58" t="s">
        <x:v>3063</x:v>
      </x:c>
      <x:c r="B696" s="58" t="s">
        <x:v>3064</x:v>
      </x:c>
      <x:c r="C696" s="58" t="s">
        <x:v>3065</x:v>
      </x:c>
      <x:c r="D696" s="58" t="s">
        <x:v>1295</x:v>
      </x:c>
      <x:c r="E696" s="18" t="s">
        <x:v>3066</x:v>
      </x:c>
      <x:c r="F696" s="18" t="s">
        <x:v>3067</x:v>
      </x:c>
      <x:c r="G696" s="126">
        <x:v>0</x:v>
      </x:c>
      <x:c r="H696" s="126" t="e">
        <x:f>IF(G696="","",IF(G696&lt;参数与口径!$E$6,1,MATCH(G696,等级配置!$C$4:$C$103,1)))</x:f>
        <x:v>#NAME?</x:v>
      </x:c>
      <x:c r="I696" s="58" t="e">
        <x:f>IF(H696="","",INDEX(等级配置!$B$4:$B$103,H696))</x:f>
        <x:v>#NAME?</x:v>
      </x:c>
      <x:c r="J696" s="58" t="e">
        <x:f>IF(AND(D696="当前已婚",G696&lt;参数与口径!$E$6),"存量兼容Lv1",IF(G696&gt;=等级配置!$C$103,"Lv100溢出","正常"))</x:f>
        <x:v>#NAME?</x:v>
      </x:c>
      <x:c r="K696" s="20" t="str">
        <x:f t="shared" si="10"/>
      </x:c>
    </x:row>
    <x:row r="697" ht="17">
      <x:c r="A697" s="58" t="s">
        <x:v>3068</x:v>
      </x:c>
      <x:c r="B697" s="58" t="s">
        <x:v>3069</x:v>
      </x:c>
      <x:c r="C697" s="58" t="s">
        <x:v>2333</x:v>
      </x:c>
      <x:c r="D697" s="58" t="s">
        <x:v>1295</x:v>
      </x:c>
      <x:c r="E697" s="18" t="s">
        <x:v>3070</x:v>
      </x:c>
      <x:c r="F697" s="18" t="s">
        <x:v>3071</x:v>
      </x:c>
      <x:c r="G697" s="126">
        <x:v>0</x:v>
      </x:c>
      <x:c r="H697" s="126" t="e">
        <x:f>IF(G697="","",IF(G697&lt;参数与口径!$E$6,1,MATCH(G697,等级配置!$C$4:$C$103,1)))</x:f>
        <x:v>#NAME?</x:v>
      </x:c>
      <x:c r="I697" s="58" t="e">
        <x:f>IF(H697="","",INDEX(等级配置!$B$4:$B$103,H697))</x:f>
        <x:v>#NAME?</x:v>
      </x:c>
      <x:c r="J697" s="58" t="e">
        <x:f>IF(AND(D697="当前已婚",G697&lt;参数与口径!$E$6),"存量兼容Lv1",IF(G697&gt;=等级配置!$C$103,"Lv100溢出","正常"))</x:f>
        <x:v>#NAME?</x:v>
      </x:c>
      <x:c r="K697" s="20" t="str">
        <x:f t="shared" si="10"/>
      </x:c>
    </x:row>
    <x:row r="698" ht="17">
      <x:c r="A698" s="58" t="s">
        <x:v>3072</x:v>
      </x:c>
      <x:c r="B698" s="58" t="s">
        <x:v>2174</x:v>
      </x:c>
      <x:c r="C698" s="58" t="s">
        <x:v>3073</x:v>
      </x:c>
      <x:c r="D698" s="58" t="s">
        <x:v>1295</x:v>
      </x:c>
      <x:c r="E698" s="18" t="s">
        <x:v>3074</x:v>
      </x:c>
      <x:c r="F698" s="18" t="s">
        <x:v>3075</x:v>
      </x:c>
      <x:c r="G698" s="126">
        <x:v>0</x:v>
      </x:c>
      <x:c r="H698" s="126" t="e">
        <x:f>IF(G698="","",IF(G698&lt;参数与口径!$E$6,1,MATCH(G698,等级配置!$C$4:$C$103,1)))</x:f>
        <x:v>#NAME?</x:v>
      </x:c>
      <x:c r="I698" s="58" t="e">
        <x:f>IF(H698="","",INDEX(等级配置!$B$4:$B$103,H698))</x:f>
        <x:v>#NAME?</x:v>
      </x:c>
      <x:c r="J698" s="58" t="e">
        <x:f>IF(AND(D698="当前已婚",G698&lt;参数与口径!$E$6),"存量兼容Lv1",IF(G698&gt;=等级配置!$C$103,"Lv100溢出","正常"))</x:f>
        <x:v>#NAME?</x:v>
      </x:c>
      <x:c r="K698" s="20" t="str">
        <x:f t="shared" si="10"/>
      </x:c>
    </x:row>
    <x:row r="699" ht="17">
      <x:c r="A699" s="58" t="s">
        <x:v>3076</x:v>
      </x:c>
      <x:c r="B699" s="58" t="s">
        <x:v>3077</x:v>
      </x:c>
      <x:c r="C699" s="58" t="s">
        <x:v>3078</x:v>
      </x:c>
      <x:c r="D699" s="58" t="s">
        <x:v>1295</x:v>
      </x:c>
      <x:c r="E699" s="18" t="s">
        <x:v>3079</x:v>
      </x:c>
      <x:c r="F699" s="18" t="s">
        <x:v>3080</x:v>
      </x:c>
      <x:c r="G699" s="126">
        <x:v>0</x:v>
      </x:c>
      <x:c r="H699" s="126" t="e">
        <x:f>IF(G699="","",IF(G699&lt;参数与口径!$E$6,1,MATCH(G699,等级配置!$C$4:$C$103,1)))</x:f>
        <x:v>#NAME?</x:v>
      </x:c>
      <x:c r="I699" s="58" t="e">
        <x:f>IF(H699="","",INDEX(等级配置!$B$4:$B$103,H699))</x:f>
        <x:v>#NAME?</x:v>
      </x:c>
      <x:c r="J699" s="58" t="e">
        <x:f>IF(AND(D699="当前已婚",G699&lt;参数与口径!$E$6),"存量兼容Lv1",IF(G699&gt;=等级配置!$C$103,"Lv100溢出","正常"))</x:f>
        <x:v>#NAME?</x:v>
      </x:c>
      <x:c r="K699" s="20" t="str">
        <x:f t="shared" si="10"/>
      </x:c>
    </x:row>
    <x:row r="700" ht="17">
      <x:c r="A700" s="58" t="s">
        <x:v>3081</x:v>
      </x:c>
      <x:c r="B700" s="58" t="s">
        <x:v>2022</x:v>
      </x:c>
      <x:c r="C700" s="58" t="s">
        <x:v>3082</x:v>
      </x:c>
      <x:c r="D700" s="58" t="s">
        <x:v>1295</x:v>
      </x:c>
      <x:c r="E700" s="18" t="s">
        <x:v>3083</x:v>
      </x:c>
      <x:c r="F700" s="18" t="s">
        <x:v>3084</x:v>
      </x:c>
      <x:c r="G700" s="126">
        <x:v>0</x:v>
      </x:c>
      <x:c r="H700" s="126" t="e">
        <x:f>IF(G700="","",IF(G700&lt;参数与口径!$E$6,1,MATCH(G700,等级配置!$C$4:$C$103,1)))</x:f>
        <x:v>#NAME?</x:v>
      </x:c>
      <x:c r="I700" s="58" t="e">
        <x:f>IF(H700="","",INDEX(等级配置!$B$4:$B$103,H700))</x:f>
        <x:v>#NAME?</x:v>
      </x:c>
      <x:c r="J700" s="58" t="e">
        <x:f>IF(AND(D700="当前已婚",G700&lt;参数与口径!$E$6),"存量兼容Lv1",IF(G700&gt;=等级配置!$C$103,"Lv100溢出","正常"))</x:f>
        <x:v>#NAME?</x:v>
      </x:c>
      <x:c r="K700" s="20" t="str">
        <x:f t="shared" si="10"/>
      </x:c>
    </x:row>
    <x:row r="701" ht="17">
      <x:c r="A701" s="58" t="s">
        <x:v>3085</x:v>
      </x:c>
      <x:c r="B701" s="58" t="s">
        <x:v>1851</x:v>
      </x:c>
      <x:c r="C701" s="58" t="s">
        <x:v>3086</x:v>
      </x:c>
      <x:c r="D701" s="58" t="s">
        <x:v>1295</x:v>
      </x:c>
      <x:c r="E701" s="18" t="s">
        <x:v>3087</x:v>
      </x:c>
      <x:c r="F701" s="18" t="s">
        <x:v>3088</x:v>
      </x:c>
      <x:c r="G701" s="126">
        <x:v>0</x:v>
      </x:c>
      <x:c r="H701" s="126" t="e">
        <x:f>IF(G701="","",IF(G701&lt;参数与口径!$E$6,1,MATCH(G701,等级配置!$C$4:$C$103,1)))</x:f>
        <x:v>#NAME?</x:v>
      </x:c>
      <x:c r="I701" s="58" t="e">
        <x:f>IF(H701="","",INDEX(等级配置!$B$4:$B$103,H701))</x:f>
        <x:v>#NAME?</x:v>
      </x:c>
      <x:c r="J701" s="58" t="e">
        <x:f>IF(AND(D701="当前已婚",G701&lt;参数与口径!$E$6),"存量兼容Lv1",IF(G701&gt;=等级配置!$C$103,"Lv100溢出","正常"))</x:f>
        <x:v>#NAME?</x:v>
      </x:c>
      <x:c r="K701" s="20" t="str">
        <x:f t="shared" si="10"/>
      </x:c>
    </x:row>
    <x:row r="702" ht="17">
      <x:c r="A702" s="58" t="s">
        <x:v>3089</x:v>
      </x:c>
      <x:c r="B702" s="58" t="s">
        <x:v>3090</x:v>
      </x:c>
      <x:c r="C702" s="58" t="s">
        <x:v>2766</x:v>
      </x:c>
      <x:c r="D702" s="58" t="s">
        <x:v>1295</x:v>
      </x:c>
      <x:c r="E702" s="18" t="s">
        <x:v>3091</x:v>
      </x:c>
      <x:c r="F702" s="18" t="s">
        <x:v>3092</x:v>
      </x:c>
      <x:c r="G702" s="126">
        <x:v>0</x:v>
      </x:c>
      <x:c r="H702" s="126" t="e">
        <x:f>IF(G702="","",IF(G702&lt;参数与口径!$E$6,1,MATCH(G702,等级配置!$C$4:$C$103,1)))</x:f>
        <x:v>#NAME?</x:v>
      </x:c>
      <x:c r="I702" s="58" t="e">
        <x:f>IF(H702="","",INDEX(等级配置!$B$4:$B$103,H702))</x:f>
        <x:v>#NAME?</x:v>
      </x:c>
      <x:c r="J702" s="58" t="e">
        <x:f>IF(AND(D702="当前已婚",G702&lt;参数与口径!$E$6),"存量兼容Lv1",IF(G702&gt;=等级配置!$C$103,"Lv100溢出","正常"))</x:f>
        <x:v>#NAME?</x:v>
      </x:c>
      <x:c r="K702" s="20" t="str">
        <x:f t="shared" si="10"/>
      </x:c>
    </x:row>
    <x:row r="703" ht="17">
      <x:c r="A703" s="58" t="s">
        <x:v>3093</x:v>
      </x:c>
      <x:c r="B703" s="58" t="s">
        <x:v>2977</x:v>
      </x:c>
      <x:c r="C703" s="58" t="s">
        <x:v>3094</x:v>
      </x:c>
      <x:c r="D703" s="58" t="s">
        <x:v>1295</x:v>
      </x:c>
      <x:c r="E703" s="18" t="s">
        <x:v>3095</x:v>
      </x:c>
      <x:c r="F703" s="18" t="s">
        <x:v>3096</x:v>
      </x:c>
      <x:c r="G703" s="126">
        <x:v>0</x:v>
      </x:c>
      <x:c r="H703" s="126" t="e">
        <x:f>IF(G703="","",IF(G703&lt;参数与口径!$E$6,1,MATCH(G703,等级配置!$C$4:$C$103,1)))</x:f>
        <x:v>#NAME?</x:v>
      </x:c>
      <x:c r="I703" s="58" t="e">
        <x:f>IF(H703="","",INDEX(等级配置!$B$4:$B$103,H703))</x:f>
        <x:v>#NAME?</x:v>
      </x:c>
      <x:c r="J703" s="58" t="e">
        <x:f>IF(AND(D703="当前已婚",G703&lt;参数与口径!$E$6),"存量兼容Lv1",IF(G703&gt;=等级配置!$C$103,"Lv100溢出","正常"))</x:f>
        <x:v>#NAME?</x:v>
      </x:c>
      <x:c r="K703" s="20" t="str">
        <x:f t="shared" si="10"/>
      </x:c>
    </x:row>
    <x:row r="704" ht="17">
      <x:c r="A704" s="58" t="s">
        <x:v>3097</x:v>
      </x:c>
      <x:c r="B704" s="58" t="s">
        <x:v>2069</x:v>
      </x:c>
      <x:c r="C704" s="58" t="s">
        <x:v>3098</x:v>
      </x:c>
      <x:c r="D704" s="58" t="s">
        <x:v>1295</x:v>
      </x:c>
      <x:c r="E704" s="18" t="s">
        <x:v>3099</x:v>
      </x:c>
      <x:c r="F704" s="18" t="s">
        <x:v>3100</x:v>
      </x:c>
      <x:c r="G704" s="126">
        <x:v>0</x:v>
      </x:c>
      <x:c r="H704" s="126" t="e">
        <x:f>IF(G704="","",IF(G704&lt;参数与口径!$E$6,1,MATCH(G704,等级配置!$C$4:$C$103,1)))</x:f>
        <x:v>#NAME?</x:v>
      </x:c>
      <x:c r="I704" s="58" t="e">
        <x:f>IF(H704="","",INDEX(等级配置!$B$4:$B$103,H704))</x:f>
        <x:v>#NAME?</x:v>
      </x:c>
      <x:c r="J704" s="58" t="e">
        <x:f>IF(AND(D704="当前已婚",G704&lt;参数与口径!$E$6),"存量兼容Lv1",IF(G704&gt;=等级配置!$C$103,"Lv100溢出","正常"))</x:f>
        <x:v>#NAME?</x:v>
      </x:c>
      <x:c r="K704" s="20" t="str">
        <x:f t="shared" si="10"/>
      </x:c>
    </x:row>
    <x:row r="705" ht="17">
      <x:c r="A705" s="58" t="s">
        <x:v>3101</x:v>
      </x:c>
      <x:c r="B705" s="58" t="s">
        <x:v>2873</x:v>
      </x:c>
      <x:c r="C705" s="58" t="s">
        <x:v>3102</x:v>
      </x:c>
      <x:c r="D705" s="58" t="s">
        <x:v>1295</x:v>
      </x:c>
      <x:c r="E705" s="18" t="s">
        <x:v>3103</x:v>
      </x:c>
      <x:c r="F705" s="18" t="s">
        <x:v>3104</x:v>
      </x:c>
      <x:c r="G705" s="126">
        <x:v>0</x:v>
      </x:c>
      <x:c r="H705" s="126" t="e">
        <x:f>IF(G705="","",IF(G705&lt;参数与口径!$E$6,1,MATCH(G705,等级配置!$C$4:$C$103,1)))</x:f>
        <x:v>#NAME?</x:v>
      </x:c>
      <x:c r="I705" s="58" t="e">
        <x:f>IF(H705="","",INDEX(等级配置!$B$4:$B$103,H705))</x:f>
        <x:v>#NAME?</x:v>
      </x:c>
      <x:c r="J705" s="58" t="e">
        <x:f>IF(AND(D705="当前已婚",G705&lt;参数与口径!$E$6),"存量兼容Lv1",IF(G705&gt;=等级配置!$C$103,"Lv100溢出","正常"))</x:f>
        <x:v>#NAME?</x:v>
      </x:c>
      <x:c r="K705" s="20" t="str">
        <x:f t="shared" si="10"/>
      </x:c>
    </x:row>
    <x:row r="706" ht="17">
      <x:c r="A706" s="58" t="s">
        <x:v>3105</x:v>
      </x:c>
      <x:c r="B706" s="58" t="s">
        <x:v>2888</x:v>
      </x:c>
      <x:c r="C706" s="58" t="s">
        <x:v>1699</x:v>
      </x:c>
      <x:c r="D706" s="58" t="s">
        <x:v>1295</x:v>
      </x:c>
      <x:c r="E706" s="18" t="s">
        <x:v>3106</x:v>
      </x:c>
      <x:c r="F706" s="18" t="s">
        <x:v>3107</x:v>
      </x:c>
      <x:c r="G706" s="126">
        <x:v>0</x:v>
      </x:c>
      <x:c r="H706" s="126" t="e">
        <x:f>IF(G706="","",IF(G706&lt;参数与口径!$E$6,1,MATCH(G706,等级配置!$C$4:$C$103,1)))</x:f>
        <x:v>#NAME?</x:v>
      </x:c>
      <x:c r="I706" s="58" t="e">
        <x:f>IF(H706="","",INDEX(等级配置!$B$4:$B$103,H706))</x:f>
        <x:v>#NAME?</x:v>
      </x:c>
      <x:c r="J706" s="58" t="e">
        <x:f>IF(AND(D706="当前已婚",G706&lt;参数与口径!$E$6),"存量兼容Lv1",IF(G706&gt;=等级配置!$C$103,"Lv100溢出","正常"))</x:f>
        <x:v>#NAME?</x:v>
      </x:c>
      <x:c r="K706" s="20" t="str">
        <x:f t="shared" ref="K706:K769" si="11">IF(AND(D706="当前已婚",F706&lt;&gt;""),"当前已婚但存在离婚日期",IF(AND(D706="当前已婚",G706=0),"当前CP亲密值为0",""))</x:f>
      </x:c>
    </x:row>
    <x:row r="707" ht="17">
      <x:c r="A707" s="58" t="s">
        <x:v>3108</x:v>
      </x:c>
      <x:c r="B707" s="58" t="s">
        <x:v>3109</x:v>
      </x:c>
      <x:c r="C707" s="58" t="s">
        <x:v>3110</x:v>
      </x:c>
      <x:c r="D707" s="58" t="s">
        <x:v>1295</x:v>
      </x:c>
      <x:c r="E707" s="18" t="s">
        <x:v>3111</x:v>
      </x:c>
      <x:c r="F707" s="18" t="s">
        <x:v>3112</x:v>
      </x:c>
      <x:c r="G707" s="126">
        <x:v>0</x:v>
      </x:c>
      <x:c r="H707" s="126" t="e">
        <x:f>IF(G707="","",IF(G707&lt;参数与口径!$E$6,1,MATCH(G707,等级配置!$C$4:$C$103,1)))</x:f>
        <x:v>#NAME?</x:v>
      </x:c>
      <x:c r="I707" s="58" t="e">
        <x:f>IF(H707="","",INDEX(等级配置!$B$4:$B$103,H707))</x:f>
        <x:v>#NAME?</x:v>
      </x:c>
      <x:c r="J707" s="58" t="e">
        <x:f>IF(AND(D707="当前已婚",G707&lt;参数与口径!$E$6),"存量兼容Lv1",IF(G707&gt;=等级配置!$C$103,"Lv100溢出","正常"))</x:f>
        <x:v>#NAME?</x:v>
      </x:c>
      <x:c r="K707" s="20" t="str">
        <x:f t="shared" si="11"/>
      </x:c>
    </x:row>
    <x:row r="708" ht="17">
      <x:c r="A708" s="58" t="s">
        <x:v>3113</x:v>
      </x:c>
      <x:c r="B708" s="58" t="s">
        <x:v>3114</x:v>
      </x:c>
      <x:c r="C708" s="58" t="s">
        <x:v>415</x:v>
      </x:c>
      <x:c r="D708" s="58" t="s">
        <x:v>1295</x:v>
      </x:c>
      <x:c r="E708" s="18" t="s">
        <x:v>3115</x:v>
      </x:c>
      <x:c r="F708" s="18" t="s">
        <x:v>3116</x:v>
      </x:c>
      <x:c r="G708" s="126">
        <x:v>0</x:v>
      </x:c>
      <x:c r="H708" s="126" t="e">
        <x:f>IF(G708="","",IF(G708&lt;参数与口径!$E$6,1,MATCH(G708,等级配置!$C$4:$C$103,1)))</x:f>
        <x:v>#NAME?</x:v>
      </x:c>
      <x:c r="I708" s="58" t="e">
        <x:f>IF(H708="","",INDEX(等级配置!$B$4:$B$103,H708))</x:f>
        <x:v>#NAME?</x:v>
      </x:c>
      <x:c r="J708" s="58" t="e">
        <x:f>IF(AND(D708="当前已婚",G708&lt;参数与口径!$E$6),"存量兼容Lv1",IF(G708&gt;=等级配置!$C$103,"Lv100溢出","正常"))</x:f>
        <x:v>#NAME?</x:v>
      </x:c>
      <x:c r="K708" s="20" t="str">
        <x:f t="shared" si="11"/>
      </x:c>
    </x:row>
    <x:row r="709" ht="17">
      <x:c r="A709" s="58" t="s">
        <x:v>3117</x:v>
      </x:c>
      <x:c r="B709" s="58" t="s">
        <x:v>3118</x:v>
      </x:c>
      <x:c r="C709" s="58" t="s">
        <x:v>3119</x:v>
      </x:c>
      <x:c r="D709" s="58" t="s">
        <x:v>1295</x:v>
      </x:c>
      <x:c r="E709" s="18" t="s">
        <x:v>3120</x:v>
      </x:c>
      <x:c r="F709" s="18" t="s">
        <x:v>3121</x:v>
      </x:c>
      <x:c r="G709" s="126">
        <x:v>0</x:v>
      </x:c>
      <x:c r="H709" s="126" t="e">
        <x:f>IF(G709="","",IF(G709&lt;参数与口径!$E$6,1,MATCH(G709,等级配置!$C$4:$C$103,1)))</x:f>
        <x:v>#NAME?</x:v>
      </x:c>
      <x:c r="I709" s="58" t="e">
        <x:f>IF(H709="","",INDEX(等级配置!$B$4:$B$103,H709))</x:f>
        <x:v>#NAME?</x:v>
      </x:c>
      <x:c r="J709" s="58" t="e">
        <x:f>IF(AND(D709="当前已婚",G709&lt;参数与口径!$E$6),"存量兼容Lv1",IF(G709&gt;=等级配置!$C$103,"Lv100溢出","正常"))</x:f>
        <x:v>#NAME?</x:v>
      </x:c>
      <x:c r="K709" s="20" t="str">
        <x:f t="shared" si="11"/>
      </x:c>
    </x:row>
    <x:row r="710" ht="17">
      <x:c r="A710" s="58" t="s">
        <x:v>3122</x:v>
      </x:c>
      <x:c r="B710" s="58" t="s">
        <x:v>88</x:v>
      </x:c>
      <x:c r="C710" s="58" t="s">
        <x:v>1518</x:v>
      </x:c>
      <x:c r="D710" s="58" t="s">
        <x:v>1295</x:v>
      </x:c>
      <x:c r="E710" s="18" t="s">
        <x:v>3123</x:v>
      </x:c>
      <x:c r="F710" s="18" t="s">
        <x:v>3124</x:v>
      </x:c>
      <x:c r="G710" s="126">
        <x:v>0</x:v>
      </x:c>
      <x:c r="H710" s="126" t="e">
        <x:f>IF(G710="","",IF(G710&lt;参数与口径!$E$6,1,MATCH(G710,等级配置!$C$4:$C$103,1)))</x:f>
        <x:v>#NAME?</x:v>
      </x:c>
      <x:c r="I710" s="58" t="e">
        <x:f>IF(H710="","",INDEX(等级配置!$B$4:$B$103,H710))</x:f>
        <x:v>#NAME?</x:v>
      </x:c>
      <x:c r="J710" s="58" t="e">
        <x:f>IF(AND(D710="当前已婚",G710&lt;参数与口径!$E$6),"存量兼容Lv1",IF(G710&gt;=等级配置!$C$103,"Lv100溢出","正常"))</x:f>
        <x:v>#NAME?</x:v>
      </x:c>
      <x:c r="K710" s="20" t="str">
        <x:f t="shared" si="11"/>
      </x:c>
    </x:row>
    <x:row r="711" ht="17">
      <x:c r="A711" s="58" t="s">
        <x:v>3125</x:v>
      </x:c>
      <x:c r="B711" s="58" t="s">
        <x:v>3126</x:v>
      </x:c>
      <x:c r="C711" s="58" t="s">
        <x:v>3127</x:v>
      </x:c>
      <x:c r="D711" s="58" t="s">
        <x:v>1295</x:v>
      </x:c>
      <x:c r="E711" s="18" t="s">
        <x:v>3128</x:v>
      </x:c>
      <x:c r="F711" s="18" t="s">
        <x:v>3129</x:v>
      </x:c>
      <x:c r="G711" s="126">
        <x:v>0</x:v>
      </x:c>
      <x:c r="H711" s="126" t="e">
        <x:f>IF(G711="","",IF(G711&lt;参数与口径!$E$6,1,MATCH(G711,等级配置!$C$4:$C$103,1)))</x:f>
        <x:v>#NAME?</x:v>
      </x:c>
      <x:c r="I711" s="58" t="e">
        <x:f>IF(H711="","",INDEX(等级配置!$B$4:$B$103,H711))</x:f>
        <x:v>#NAME?</x:v>
      </x:c>
      <x:c r="J711" s="58" t="e">
        <x:f>IF(AND(D711="当前已婚",G711&lt;参数与口径!$E$6),"存量兼容Lv1",IF(G711&gt;=等级配置!$C$103,"Lv100溢出","正常"))</x:f>
        <x:v>#NAME?</x:v>
      </x:c>
      <x:c r="K711" s="20" t="str">
        <x:f t="shared" si="11"/>
      </x:c>
    </x:row>
    <x:row r="712" ht="17">
      <x:c r="A712" s="58" t="s">
        <x:v>3130</x:v>
      </x:c>
      <x:c r="B712" s="58" t="s">
        <x:v>3131</x:v>
      </x:c>
      <x:c r="C712" s="58" t="s">
        <x:v>3132</x:v>
      </x:c>
      <x:c r="D712" s="58" t="s">
        <x:v>1295</x:v>
      </x:c>
      <x:c r="E712" s="18" t="s">
        <x:v>3133</x:v>
      </x:c>
      <x:c r="F712" s="18" t="s">
        <x:v>3134</x:v>
      </x:c>
      <x:c r="G712" s="126">
        <x:v>0</x:v>
      </x:c>
      <x:c r="H712" s="126" t="e">
        <x:f>IF(G712="","",IF(G712&lt;参数与口径!$E$6,1,MATCH(G712,等级配置!$C$4:$C$103,1)))</x:f>
        <x:v>#NAME?</x:v>
      </x:c>
      <x:c r="I712" s="58" t="e">
        <x:f>IF(H712="","",INDEX(等级配置!$B$4:$B$103,H712))</x:f>
        <x:v>#NAME?</x:v>
      </x:c>
      <x:c r="J712" s="58" t="e">
        <x:f>IF(AND(D712="当前已婚",G712&lt;参数与口径!$E$6),"存量兼容Lv1",IF(G712&gt;=等级配置!$C$103,"Lv100溢出","正常"))</x:f>
        <x:v>#NAME?</x:v>
      </x:c>
      <x:c r="K712" s="20" t="str">
        <x:f t="shared" si="11"/>
      </x:c>
    </x:row>
    <x:row r="713" ht="17">
      <x:c r="A713" s="58" t="s">
        <x:v>3135</x:v>
      </x:c>
      <x:c r="B713" s="58" t="s">
        <x:v>3136</x:v>
      </x:c>
      <x:c r="C713" s="58" t="s">
        <x:v>3137</x:v>
      </x:c>
      <x:c r="D713" s="58" t="s">
        <x:v>1295</x:v>
      </x:c>
      <x:c r="E713" s="18" t="s">
        <x:v>3138</x:v>
      </x:c>
      <x:c r="F713" s="18" t="s">
        <x:v>3139</x:v>
      </x:c>
      <x:c r="G713" s="126">
        <x:v>0</x:v>
      </x:c>
      <x:c r="H713" s="126" t="e">
        <x:f>IF(G713="","",IF(G713&lt;参数与口径!$E$6,1,MATCH(G713,等级配置!$C$4:$C$103,1)))</x:f>
        <x:v>#NAME?</x:v>
      </x:c>
      <x:c r="I713" s="58" t="e">
        <x:f>IF(H713="","",INDEX(等级配置!$B$4:$B$103,H713))</x:f>
        <x:v>#NAME?</x:v>
      </x:c>
      <x:c r="J713" s="58" t="e">
        <x:f>IF(AND(D713="当前已婚",G713&lt;参数与口径!$E$6),"存量兼容Lv1",IF(G713&gt;=等级配置!$C$103,"Lv100溢出","正常"))</x:f>
        <x:v>#NAME?</x:v>
      </x:c>
      <x:c r="K713" s="20" t="str">
        <x:f t="shared" si="11"/>
      </x:c>
    </x:row>
    <x:row r="714" ht="17">
      <x:c r="A714" s="58" t="s">
        <x:v>3140</x:v>
      </x:c>
      <x:c r="B714" s="58" t="s">
        <x:v>3141</x:v>
      </x:c>
      <x:c r="C714" s="58" t="s">
        <x:v>3142</x:v>
      </x:c>
      <x:c r="D714" s="58" t="s">
        <x:v>1295</x:v>
      </x:c>
      <x:c r="E714" s="18" t="s">
        <x:v>3143</x:v>
      </x:c>
      <x:c r="F714" s="18" t="s">
        <x:v>3144</x:v>
      </x:c>
      <x:c r="G714" s="126">
        <x:v>0</x:v>
      </x:c>
      <x:c r="H714" s="126" t="e">
        <x:f>IF(G714="","",IF(G714&lt;参数与口径!$E$6,1,MATCH(G714,等级配置!$C$4:$C$103,1)))</x:f>
        <x:v>#NAME?</x:v>
      </x:c>
      <x:c r="I714" s="58" t="e">
        <x:f>IF(H714="","",INDEX(等级配置!$B$4:$B$103,H714))</x:f>
        <x:v>#NAME?</x:v>
      </x:c>
      <x:c r="J714" s="58" t="e">
        <x:f>IF(AND(D714="当前已婚",G714&lt;参数与口径!$E$6),"存量兼容Lv1",IF(G714&gt;=等级配置!$C$103,"Lv100溢出","正常"))</x:f>
        <x:v>#NAME?</x:v>
      </x:c>
      <x:c r="K714" s="20" t="str">
        <x:f t="shared" si="11"/>
      </x:c>
    </x:row>
    <x:row r="715" ht="17">
      <x:c r="A715" s="58" t="s">
        <x:v>3145</x:v>
      </x:c>
      <x:c r="B715" s="58" t="s">
        <x:v>3146</x:v>
      </x:c>
      <x:c r="C715" s="58" t="s">
        <x:v>520</x:v>
      </x:c>
      <x:c r="D715" s="58" t="s">
        <x:v>1295</x:v>
      </x:c>
      <x:c r="E715" s="18" t="s">
        <x:v>3147</x:v>
      </x:c>
      <x:c r="F715" s="18" t="s">
        <x:v>3148</x:v>
      </x:c>
      <x:c r="G715" s="126">
        <x:v>0</x:v>
      </x:c>
      <x:c r="H715" s="126" t="e">
        <x:f>IF(G715="","",IF(G715&lt;参数与口径!$E$6,1,MATCH(G715,等级配置!$C$4:$C$103,1)))</x:f>
        <x:v>#NAME?</x:v>
      </x:c>
      <x:c r="I715" s="58" t="e">
        <x:f>IF(H715="","",INDEX(等级配置!$B$4:$B$103,H715))</x:f>
        <x:v>#NAME?</x:v>
      </x:c>
      <x:c r="J715" s="58" t="e">
        <x:f>IF(AND(D715="当前已婚",G715&lt;参数与口径!$E$6),"存量兼容Lv1",IF(G715&gt;=等级配置!$C$103,"Lv100溢出","正常"))</x:f>
        <x:v>#NAME?</x:v>
      </x:c>
      <x:c r="K715" s="20" t="str">
        <x:f t="shared" si="11"/>
      </x:c>
    </x:row>
    <x:row r="716" ht="17">
      <x:c r="A716" s="58" t="s">
        <x:v>3149</x:v>
      </x:c>
      <x:c r="B716" s="58" t="s">
        <x:v>3150</x:v>
      </x:c>
      <x:c r="C716" s="58" t="s">
        <x:v>3151</x:v>
      </x:c>
      <x:c r="D716" s="58" t="s">
        <x:v>1295</x:v>
      </x:c>
      <x:c r="E716" s="18" t="s">
        <x:v>3152</x:v>
      </x:c>
      <x:c r="F716" s="18" t="s">
        <x:v>3153</x:v>
      </x:c>
      <x:c r="G716" s="126">
        <x:v>0</x:v>
      </x:c>
      <x:c r="H716" s="126" t="e">
        <x:f>IF(G716="","",IF(G716&lt;参数与口径!$E$6,1,MATCH(G716,等级配置!$C$4:$C$103,1)))</x:f>
        <x:v>#NAME?</x:v>
      </x:c>
      <x:c r="I716" s="58" t="e">
        <x:f>IF(H716="","",INDEX(等级配置!$B$4:$B$103,H716))</x:f>
        <x:v>#NAME?</x:v>
      </x:c>
      <x:c r="J716" s="58" t="e">
        <x:f>IF(AND(D716="当前已婚",G716&lt;参数与口径!$E$6),"存量兼容Lv1",IF(G716&gt;=等级配置!$C$103,"Lv100溢出","正常"))</x:f>
        <x:v>#NAME?</x:v>
      </x:c>
      <x:c r="K716" s="20" t="str">
        <x:f t="shared" si="11"/>
      </x:c>
    </x:row>
    <x:row r="717" ht="17">
      <x:c r="A717" s="58" t="s">
        <x:v>3154</x:v>
      </x:c>
      <x:c r="B717" s="58" t="s">
        <x:v>320</x:v>
      </x:c>
      <x:c r="C717" s="58" t="s">
        <x:v>3155</x:v>
      </x:c>
      <x:c r="D717" s="58" t="s">
        <x:v>1295</x:v>
      </x:c>
      <x:c r="E717" s="18" t="s">
        <x:v>3156</x:v>
      </x:c>
      <x:c r="F717" s="18" t="s">
        <x:v>3157</x:v>
      </x:c>
      <x:c r="G717" s="126">
        <x:v>0</x:v>
      </x:c>
      <x:c r="H717" s="126" t="e">
        <x:f>IF(G717="","",IF(G717&lt;参数与口径!$E$6,1,MATCH(G717,等级配置!$C$4:$C$103,1)))</x:f>
        <x:v>#NAME?</x:v>
      </x:c>
      <x:c r="I717" s="58" t="e">
        <x:f>IF(H717="","",INDEX(等级配置!$B$4:$B$103,H717))</x:f>
        <x:v>#NAME?</x:v>
      </x:c>
      <x:c r="J717" s="58" t="e">
        <x:f>IF(AND(D717="当前已婚",G717&lt;参数与口径!$E$6),"存量兼容Lv1",IF(G717&gt;=等级配置!$C$103,"Lv100溢出","正常"))</x:f>
        <x:v>#NAME?</x:v>
      </x:c>
      <x:c r="K717" s="20" t="str">
        <x:f t="shared" si="11"/>
      </x:c>
    </x:row>
    <x:row r="718" ht="17">
      <x:c r="A718" s="58" t="s">
        <x:v>3158</x:v>
      </x:c>
      <x:c r="B718" s="58" t="s">
        <x:v>248</x:v>
      </x:c>
      <x:c r="C718" s="58" t="s">
        <x:v>3159</x:v>
      </x:c>
      <x:c r="D718" s="58" t="s">
        <x:v>1295</x:v>
      </x:c>
      <x:c r="E718" s="18" t="s">
        <x:v>3160</x:v>
      </x:c>
      <x:c r="F718" s="18" t="s">
        <x:v>3161</x:v>
      </x:c>
      <x:c r="G718" s="126">
        <x:v>0</x:v>
      </x:c>
      <x:c r="H718" s="126" t="e">
        <x:f>IF(G718="","",IF(G718&lt;参数与口径!$E$6,1,MATCH(G718,等级配置!$C$4:$C$103,1)))</x:f>
        <x:v>#NAME?</x:v>
      </x:c>
      <x:c r="I718" s="58" t="e">
        <x:f>IF(H718="","",INDEX(等级配置!$B$4:$B$103,H718))</x:f>
        <x:v>#NAME?</x:v>
      </x:c>
      <x:c r="J718" s="58" t="e">
        <x:f>IF(AND(D718="当前已婚",G718&lt;参数与口径!$E$6),"存量兼容Lv1",IF(G718&gt;=等级配置!$C$103,"Lv100溢出","正常"))</x:f>
        <x:v>#NAME?</x:v>
      </x:c>
      <x:c r="K718" s="20" t="str">
        <x:f t="shared" si="11"/>
      </x:c>
    </x:row>
    <x:row r="719" ht="17">
      <x:c r="A719" s="58" t="s">
        <x:v>3162</x:v>
      </x:c>
      <x:c r="B719" s="58" t="s">
        <x:v>3163</x:v>
      </x:c>
      <x:c r="C719" s="58" t="s">
        <x:v>3164</x:v>
      </x:c>
      <x:c r="D719" s="58" t="s">
        <x:v>1295</x:v>
      </x:c>
      <x:c r="E719" s="18" t="s">
        <x:v>3165</x:v>
      </x:c>
      <x:c r="F719" s="18" t="s">
        <x:v>3166</x:v>
      </x:c>
      <x:c r="G719" s="126">
        <x:v>0</x:v>
      </x:c>
      <x:c r="H719" s="126" t="e">
        <x:f>IF(G719="","",IF(G719&lt;参数与口径!$E$6,1,MATCH(G719,等级配置!$C$4:$C$103,1)))</x:f>
        <x:v>#NAME?</x:v>
      </x:c>
      <x:c r="I719" s="58" t="e">
        <x:f>IF(H719="","",INDEX(等级配置!$B$4:$B$103,H719))</x:f>
        <x:v>#NAME?</x:v>
      </x:c>
      <x:c r="J719" s="58" t="e">
        <x:f>IF(AND(D719="当前已婚",G719&lt;参数与口径!$E$6),"存量兼容Lv1",IF(G719&gt;=等级配置!$C$103,"Lv100溢出","正常"))</x:f>
        <x:v>#NAME?</x:v>
      </x:c>
      <x:c r="K719" s="20" t="str">
        <x:f t="shared" si="11"/>
      </x:c>
    </x:row>
    <x:row r="720" ht="17">
      <x:c r="A720" s="58" t="s">
        <x:v>3167</x:v>
      </x:c>
      <x:c r="B720" s="58" t="s">
        <x:v>3168</x:v>
      </x:c>
      <x:c r="C720" s="58" t="s">
        <x:v>3169</x:v>
      </x:c>
      <x:c r="D720" s="58" t="s">
        <x:v>1295</x:v>
      </x:c>
      <x:c r="E720" s="18" t="s">
        <x:v>3170</x:v>
      </x:c>
      <x:c r="F720" s="18" t="s">
        <x:v>3171</x:v>
      </x:c>
      <x:c r="G720" s="126">
        <x:v>0</x:v>
      </x:c>
      <x:c r="H720" s="126" t="e">
        <x:f>IF(G720="","",IF(G720&lt;参数与口径!$E$6,1,MATCH(G720,等级配置!$C$4:$C$103,1)))</x:f>
        <x:v>#NAME?</x:v>
      </x:c>
      <x:c r="I720" s="58" t="e">
        <x:f>IF(H720="","",INDEX(等级配置!$B$4:$B$103,H720))</x:f>
        <x:v>#NAME?</x:v>
      </x:c>
      <x:c r="J720" s="58" t="e">
        <x:f>IF(AND(D720="当前已婚",G720&lt;参数与口径!$E$6),"存量兼容Lv1",IF(G720&gt;=等级配置!$C$103,"Lv100溢出","正常"))</x:f>
        <x:v>#NAME?</x:v>
      </x:c>
      <x:c r="K720" s="20" t="str">
        <x:f t="shared" si="11"/>
      </x:c>
    </x:row>
    <x:row r="721" ht="17">
      <x:c r="A721" s="58" t="s">
        <x:v>3172</x:v>
      </x:c>
      <x:c r="B721" s="58" t="s">
        <x:v>3173</x:v>
      </x:c>
      <x:c r="C721" s="58" t="s">
        <x:v>3174</x:v>
      </x:c>
      <x:c r="D721" s="58" t="s">
        <x:v>1295</x:v>
      </x:c>
      <x:c r="E721" s="18" t="s">
        <x:v>3175</x:v>
      </x:c>
      <x:c r="F721" s="18" t="s">
        <x:v>3176</x:v>
      </x:c>
      <x:c r="G721" s="126">
        <x:v>0</x:v>
      </x:c>
      <x:c r="H721" s="126" t="e">
        <x:f>IF(G721="","",IF(G721&lt;参数与口径!$E$6,1,MATCH(G721,等级配置!$C$4:$C$103,1)))</x:f>
        <x:v>#NAME?</x:v>
      </x:c>
      <x:c r="I721" s="58" t="e">
        <x:f>IF(H721="","",INDEX(等级配置!$B$4:$B$103,H721))</x:f>
        <x:v>#NAME?</x:v>
      </x:c>
      <x:c r="J721" s="58" t="e">
        <x:f>IF(AND(D721="当前已婚",G721&lt;参数与口径!$E$6),"存量兼容Lv1",IF(G721&gt;=等级配置!$C$103,"Lv100溢出","正常"))</x:f>
        <x:v>#NAME?</x:v>
      </x:c>
      <x:c r="K721" s="20" t="str">
        <x:f t="shared" si="11"/>
      </x:c>
    </x:row>
    <x:row r="722" ht="17">
      <x:c r="A722" s="58" t="s">
        <x:v>3177</x:v>
      </x:c>
      <x:c r="B722" s="58" t="s">
        <x:v>3178</x:v>
      </x:c>
      <x:c r="C722" s="58" t="s">
        <x:v>3179</x:v>
      </x:c>
      <x:c r="D722" s="58" t="s">
        <x:v>1295</x:v>
      </x:c>
      <x:c r="E722" s="18" t="s">
        <x:v>3180</x:v>
      </x:c>
      <x:c r="F722" s="18" t="s">
        <x:v>3181</x:v>
      </x:c>
      <x:c r="G722" s="126">
        <x:v>0</x:v>
      </x:c>
      <x:c r="H722" s="126" t="e">
        <x:f>IF(G722="","",IF(G722&lt;参数与口径!$E$6,1,MATCH(G722,等级配置!$C$4:$C$103,1)))</x:f>
        <x:v>#NAME?</x:v>
      </x:c>
      <x:c r="I722" s="58" t="e">
        <x:f>IF(H722="","",INDEX(等级配置!$B$4:$B$103,H722))</x:f>
        <x:v>#NAME?</x:v>
      </x:c>
      <x:c r="J722" s="58" t="e">
        <x:f>IF(AND(D722="当前已婚",G722&lt;参数与口径!$E$6),"存量兼容Lv1",IF(G722&gt;=等级配置!$C$103,"Lv100溢出","正常"))</x:f>
        <x:v>#NAME?</x:v>
      </x:c>
      <x:c r="K722" s="20" t="str">
        <x:f t="shared" si="11"/>
      </x:c>
    </x:row>
    <x:row r="723" ht="17">
      <x:c r="A723" s="58" t="s">
        <x:v>3182</x:v>
      </x:c>
      <x:c r="B723" s="58" t="s">
        <x:v>3183</x:v>
      </x:c>
      <x:c r="C723" s="58" t="s">
        <x:v>956</x:v>
      </x:c>
      <x:c r="D723" s="58" t="s">
        <x:v>1295</x:v>
      </x:c>
      <x:c r="E723" s="18" t="s">
        <x:v>3184</x:v>
      </x:c>
      <x:c r="F723" s="18" t="s">
        <x:v>3185</x:v>
      </x:c>
      <x:c r="G723" s="126">
        <x:v>0</x:v>
      </x:c>
      <x:c r="H723" s="126" t="e">
        <x:f>IF(G723="","",IF(G723&lt;参数与口径!$E$6,1,MATCH(G723,等级配置!$C$4:$C$103,1)))</x:f>
        <x:v>#NAME?</x:v>
      </x:c>
      <x:c r="I723" s="58" t="e">
        <x:f>IF(H723="","",INDEX(等级配置!$B$4:$B$103,H723))</x:f>
        <x:v>#NAME?</x:v>
      </x:c>
      <x:c r="J723" s="58" t="e">
        <x:f>IF(AND(D723="当前已婚",G723&lt;参数与口径!$E$6),"存量兼容Lv1",IF(G723&gt;=等级配置!$C$103,"Lv100溢出","正常"))</x:f>
        <x:v>#NAME?</x:v>
      </x:c>
      <x:c r="K723" s="20" t="str">
        <x:f t="shared" si="11"/>
      </x:c>
    </x:row>
    <x:row r="724" ht="17">
      <x:c r="A724" s="58" t="s">
        <x:v>3186</x:v>
      </x:c>
      <x:c r="B724" s="58" t="s">
        <x:v>3187</x:v>
      </x:c>
      <x:c r="C724" s="58" t="s">
        <x:v>3188</x:v>
      </x:c>
      <x:c r="D724" s="58" t="s">
        <x:v>1295</x:v>
      </x:c>
      <x:c r="E724" s="18" t="s">
        <x:v>3189</x:v>
      </x:c>
      <x:c r="F724" s="18" t="s">
        <x:v>3190</x:v>
      </x:c>
      <x:c r="G724" s="126">
        <x:v>0</x:v>
      </x:c>
      <x:c r="H724" s="126" t="e">
        <x:f>IF(G724="","",IF(G724&lt;参数与口径!$E$6,1,MATCH(G724,等级配置!$C$4:$C$103,1)))</x:f>
        <x:v>#NAME?</x:v>
      </x:c>
      <x:c r="I724" s="58" t="e">
        <x:f>IF(H724="","",INDEX(等级配置!$B$4:$B$103,H724))</x:f>
        <x:v>#NAME?</x:v>
      </x:c>
      <x:c r="J724" s="58" t="e">
        <x:f>IF(AND(D724="当前已婚",G724&lt;参数与口径!$E$6),"存量兼容Lv1",IF(G724&gt;=等级配置!$C$103,"Lv100溢出","正常"))</x:f>
        <x:v>#NAME?</x:v>
      </x:c>
      <x:c r="K724" s="20" t="str">
        <x:f t="shared" si="11"/>
      </x:c>
    </x:row>
    <x:row r="725" ht="17">
      <x:c r="A725" s="58" t="s">
        <x:v>3191</x:v>
      </x:c>
      <x:c r="B725" s="58" t="s">
        <x:v>3192</x:v>
      </x:c>
      <x:c r="C725" s="58" t="s">
        <x:v>3193</x:v>
      </x:c>
      <x:c r="D725" s="58" t="s">
        <x:v>1295</x:v>
      </x:c>
      <x:c r="E725" s="18" t="s">
        <x:v>3194</x:v>
      </x:c>
      <x:c r="F725" s="18" t="s">
        <x:v>3195</x:v>
      </x:c>
      <x:c r="G725" s="126">
        <x:v>0</x:v>
      </x:c>
      <x:c r="H725" s="126" t="e">
        <x:f>IF(G725="","",IF(G725&lt;参数与口径!$E$6,1,MATCH(G725,等级配置!$C$4:$C$103,1)))</x:f>
        <x:v>#NAME?</x:v>
      </x:c>
      <x:c r="I725" s="58" t="e">
        <x:f>IF(H725="","",INDEX(等级配置!$B$4:$B$103,H725))</x:f>
        <x:v>#NAME?</x:v>
      </x:c>
      <x:c r="J725" s="58" t="e">
        <x:f>IF(AND(D725="当前已婚",G725&lt;参数与口径!$E$6),"存量兼容Lv1",IF(G725&gt;=等级配置!$C$103,"Lv100溢出","正常"))</x:f>
        <x:v>#NAME?</x:v>
      </x:c>
      <x:c r="K725" s="20" t="str">
        <x:f t="shared" si="11"/>
      </x:c>
    </x:row>
    <x:row r="726" ht="17">
      <x:c r="A726" s="58" t="s">
        <x:v>3196</x:v>
      </x:c>
      <x:c r="B726" s="58" t="s">
        <x:v>3197</x:v>
      </x:c>
      <x:c r="C726" s="58" t="s">
        <x:v>3198</x:v>
      </x:c>
      <x:c r="D726" s="58" t="s">
        <x:v>1295</x:v>
      </x:c>
      <x:c r="E726" s="18" t="s">
        <x:v>3199</x:v>
      </x:c>
      <x:c r="F726" s="18" t="s">
        <x:v>3200</x:v>
      </x:c>
      <x:c r="G726" s="126">
        <x:v>0</x:v>
      </x:c>
      <x:c r="H726" s="126" t="e">
        <x:f>IF(G726="","",IF(G726&lt;参数与口径!$E$6,1,MATCH(G726,等级配置!$C$4:$C$103,1)))</x:f>
        <x:v>#NAME?</x:v>
      </x:c>
      <x:c r="I726" s="58" t="e">
        <x:f>IF(H726="","",INDEX(等级配置!$B$4:$B$103,H726))</x:f>
        <x:v>#NAME?</x:v>
      </x:c>
      <x:c r="J726" s="58" t="e">
        <x:f>IF(AND(D726="当前已婚",G726&lt;参数与口径!$E$6),"存量兼容Lv1",IF(G726&gt;=等级配置!$C$103,"Lv100溢出","正常"))</x:f>
        <x:v>#NAME?</x:v>
      </x:c>
      <x:c r="K726" s="20" t="str">
        <x:f t="shared" si="11"/>
      </x:c>
    </x:row>
    <x:row r="727" ht="17">
      <x:c r="A727" s="58" t="s">
        <x:v>3201</x:v>
      </x:c>
      <x:c r="B727" s="58" t="s">
        <x:v>3202</x:v>
      </x:c>
      <x:c r="C727" s="58" t="s">
        <x:v>3203</x:v>
      </x:c>
      <x:c r="D727" s="58" t="s">
        <x:v>1295</x:v>
      </x:c>
      <x:c r="E727" s="18" t="s">
        <x:v>3204</x:v>
      </x:c>
      <x:c r="F727" s="18" t="s">
        <x:v>3205</x:v>
      </x:c>
      <x:c r="G727" s="126">
        <x:v>0</x:v>
      </x:c>
      <x:c r="H727" s="126" t="e">
        <x:f>IF(G727="","",IF(G727&lt;参数与口径!$E$6,1,MATCH(G727,等级配置!$C$4:$C$103,1)))</x:f>
        <x:v>#NAME?</x:v>
      </x:c>
      <x:c r="I727" s="58" t="e">
        <x:f>IF(H727="","",INDEX(等级配置!$B$4:$B$103,H727))</x:f>
        <x:v>#NAME?</x:v>
      </x:c>
      <x:c r="J727" s="58" t="e">
        <x:f>IF(AND(D727="当前已婚",G727&lt;参数与口径!$E$6),"存量兼容Lv1",IF(G727&gt;=等级配置!$C$103,"Lv100溢出","正常"))</x:f>
        <x:v>#NAME?</x:v>
      </x:c>
      <x:c r="K727" s="20" t="str">
        <x:f t="shared" si="11"/>
      </x:c>
    </x:row>
    <x:row r="728" ht="17">
      <x:c r="A728" s="58" t="s">
        <x:v>3206</x:v>
      </x:c>
      <x:c r="B728" s="58" t="s">
        <x:v>305</x:v>
      </x:c>
      <x:c r="C728" s="58" t="s">
        <x:v>345</x:v>
      </x:c>
      <x:c r="D728" s="58" t="s">
        <x:v>1295</x:v>
      </x:c>
      <x:c r="E728" s="18" t="s">
        <x:v>3207</x:v>
      </x:c>
      <x:c r="F728" s="18" t="s">
        <x:v>3208</x:v>
      </x:c>
      <x:c r="G728" s="126">
        <x:v>0</x:v>
      </x:c>
      <x:c r="H728" s="126" t="e">
        <x:f>IF(G728="","",IF(G728&lt;参数与口径!$E$6,1,MATCH(G728,等级配置!$C$4:$C$103,1)))</x:f>
        <x:v>#NAME?</x:v>
      </x:c>
      <x:c r="I728" s="58" t="e">
        <x:f>IF(H728="","",INDEX(等级配置!$B$4:$B$103,H728))</x:f>
        <x:v>#NAME?</x:v>
      </x:c>
      <x:c r="J728" s="58" t="e">
        <x:f>IF(AND(D728="当前已婚",G728&lt;参数与口径!$E$6),"存量兼容Lv1",IF(G728&gt;=等级配置!$C$103,"Lv100溢出","正常"))</x:f>
        <x:v>#NAME?</x:v>
      </x:c>
      <x:c r="K728" s="20" t="str">
        <x:f t="shared" si="11"/>
      </x:c>
    </x:row>
    <x:row r="729" ht="17">
      <x:c r="A729" s="58" t="s">
        <x:v>3209</x:v>
      </x:c>
      <x:c r="B729" s="58" t="s">
        <x:v>3210</x:v>
      </x:c>
      <x:c r="C729" s="58" t="s">
        <x:v>2526</x:v>
      </x:c>
      <x:c r="D729" s="58" t="s">
        <x:v>1295</x:v>
      </x:c>
      <x:c r="E729" s="18" t="s">
        <x:v>3211</x:v>
      </x:c>
      <x:c r="F729" s="18" t="s">
        <x:v>3212</x:v>
      </x:c>
      <x:c r="G729" s="126">
        <x:v>0</x:v>
      </x:c>
      <x:c r="H729" s="126" t="e">
        <x:f>IF(G729="","",IF(G729&lt;参数与口径!$E$6,1,MATCH(G729,等级配置!$C$4:$C$103,1)))</x:f>
        <x:v>#NAME?</x:v>
      </x:c>
      <x:c r="I729" s="58" t="e">
        <x:f>IF(H729="","",INDEX(等级配置!$B$4:$B$103,H729))</x:f>
        <x:v>#NAME?</x:v>
      </x:c>
      <x:c r="J729" s="58" t="e">
        <x:f>IF(AND(D729="当前已婚",G729&lt;参数与口径!$E$6),"存量兼容Lv1",IF(G729&gt;=等级配置!$C$103,"Lv100溢出","正常"))</x:f>
        <x:v>#NAME?</x:v>
      </x:c>
      <x:c r="K729" s="20" t="str">
        <x:f t="shared" si="11"/>
      </x:c>
    </x:row>
    <x:row r="730" ht="17">
      <x:c r="A730" s="58" t="s">
        <x:v>3213</x:v>
      </x:c>
      <x:c r="B730" s="58" t="s">
        <x:v>3214</x:v>
      </x:c>
      <x:c r="C730" s="58" t="s">
        <x:v>3215</x:v>
      </x:c>
      <x:c r="D730" s="58" t="s">
        <x:v>1295</x:v>
      </x:c>
      <x:c r="E730" s="18" t="s">
        <x:v>3216</x:v>
      </x:c>
      <x:c r="F730" s="18" t="s">
        <x:v>3217</x:v>
      </x:c>
      <x:c r="G730" s="126">
        <x:v>0</x:v>
      </x:c>
      <x:c r="H730" s="126" t="e">
        <x:f>IF(G730="","",IF(G730&lt;参数与口径!$E$6,1,MATCH(G730,等级配置!$C$4:$C$103,1)))</x:f>
        <x:v>#NAME?</x:v>
      </x:c>
      <x:c r="I730" s="58" t="e">
        <x:f>IF(H730="","",INDEX(等级配置!$B$4:$B$103,H730))</x:f>
        <x:v>#NAME?</x:v>
      </x:c>
      <x:c r="J730" s="58" t="e">
        <x:f>IF(AND(D730="当前已婚",G730&lt;参数与口径!$E$6),"存量兼容Lv1",IF(G730&gt;=等级配置!$C$103,"Lv100溢出","正常"))</x:f>
        <x:v>#NAME?</x:v>
      </x:c>
      <x:c r="K730" s="20" t="str">
        <x:f t="shared" si="11"/>
      </x:c>
    </x:row>
    <x:row r="731" ht="17">
      <x:c r="A731" s="58" t="s">
        <x:v>3218</x:v>
      </x:c>
      <x:c r="B731" s="58" t="s">
        <x:v>3219</x:v>
      </x:c>
      <x:c r="C731" s="58" t="s">
        <x:v>3220</x:v>
      </x:c>
      <x:c r="D731" s="58" t="s">
        <x:v>1295</x:v>
      </x:c>
      <x:c r="E731" s="18" t="s">
        <x:v>3221</x:v>
      </x:c>
      <x:c r="F731" s="18" t="s">
        <x:v>3222</x:v>
      </x:c>
      <x:c r="G731" s="126">
        <x:v>0</x:v>
      </x:c>
      <x:c r="H731" s="126" t="e">
        <x:f>IF(G731="","",IF(G731&lt;参数与口径!$E$6,1,MATCH(G731,等级配置!$C$4:$C$103,1)))</x:f>
        <x:v>#NAME?</x:v>
      </x:c>
      <x:c r="I731" s="58" t="e">
        <x:f>IF(H731="","",INDEX(等级配置!$B$4:$B$103,H731))</x:f>
        <x:v>#NAME?</x:v>
      </x:c>
      <x:c r="J731" s="58" t="e">
        <x:f>IF(AND(D731="当前已婚",G731&lt;参数与口径!$E$6),"存量兼容Lv1",IF(G731&gt;=等级配置!$C$103,"Lv100溢出","正常"))</x:f>
        <x:v>#NAME?</x:v>
      </x:c>
      <x:c r="K731" s="20" t="str">
        <x:f t="shared" si="11"/>
      </x:c>
    </x:row>
    <x:row r="732" ht="17">
      <x:c r="A732" s="58" t="s">
        <x:v>3223</x:v>
      </x:c>
      <x:c r="B732" s="58" t="s">
        <x:v>1010</x:v>
      </x:c>
      <x:c r="C732" s="58" t="s">
        <x:v>3224</x:v>
      </x:c>
      <x:c r="D732" s="58" t="s">
        <x:v>1295</x:v>
      </x:c>
      <x:c r="E732" s="18" t="s">
        <x:v>3225</x:v>
      </x:c>
      <x:c r="F732" s="18" t="s">
        <x:v>3226</x:v>
      </x:c>
      <x:c r="G732" s="126">
        <x:v>0</x:v>
      </x:c>
      <x:c r="H732" s="126" t="e">
        <x:f>IF(G732="","",IF(G732&lt;参数与口径!$E$6,1,MATCH(G732,等级配置!$C$4:$C$103,1)))</x:f>
        <x:v>#NAME?</x:v>
      </x:c>
      <x:c r="I732" s="58" t="e">
        <x:f>IF(H732="","",INDEX(等级配置!$B$4:$B$103,H732))</x:f>
        <x:v>#NAME?</x:v>
      </x:c>
      <x:c r="J732" s="58" t="e">
        <x:f>IF(AND(D732="当前已婚",G732&lt;参数与口径!$E$6),"存量兼容Lv1",IF(G732&gt;=等级配置!$C$103,"Lv100溢出","正常"))</x:f>
        <x:v>#NAME?</x:v>
      </x:c>
      <x:c r="K732" s="20" t="str">
        <x:f t="shared" si="11"/>
      </x:c>
    </x:row>
    <x:row r="733" ht="17">
      <x:c r="A733" s="58" t="s">
        <x:v>3227</x:v>
      </x:c>
      <x:c r="B733" s="58" t="s">
        <x:v>3228</x:v>
      </x:c>
      <x:c r="C733" s="58" t="s">
        <x:v>2297</x:v>
      </x:c>
      <x:c r="D733" s="58" t="s">
        <x:v>1295</x:v>
      </x:c>
      <x:c r="E733" s="18" t="s">
        <x:v>3229</x:v>
      </x:c>
      <x:c r="F733" s="18" t="s">
        <x:v>3230</x:v>
      </x:c>
      <x:c r="G733" s="126">
        <x:v>0</x:v>
      </x:c>
      <x:c r="H733" s="126" t="e">
        <x:f>IF(G733="","",IF(G733&lt;参数与口径!$E$6,1,MATCH(G733,等级配置!$C$4:$C$103,1)))</x:f>
        <x:v>#NAME?</x:v>
      </x:c>
      <x:c r="I733" s="58" t="e">
        <x:f>IF(H733="","",INDEX(等级配置!$B$4:$B$103,H733))</x:f>
        <x:v>#NAME?</x:v>
      </x:c>
      <x:c r="J733" s="58" t="e">
        <x:f>IF(AND(D733="当前已婚",G733&lt;参数与口径!$E$6),"存量兼容Lv1",IF(G733&gt;=等级配置!$C$103,"Lv100溢出","正常"))</x:f>
        <x:v>#NAME?</x:v>
      </x:c>
      <x:c r="K733" s="20" t="str">
        <x:f t="shared" si="11"/>
      </x:c>
    </x:row>
    <x:row r="734" ht="17">
      <x:c r="A734" s="58" t="s">
        <x:v>3231</x:v>
      </x:c>
      <x:c r="B734" s="58" t="s">
        <x:v>3232</x:v>
      </x:c>
      <x:c r="C734" s="58" t="s">
        <x:v>3233</x:v>
      </x:c>
      <x:c r="D734" s="58" t="s">
        <x:v>1295</x:v>
      </x:c>
      <x:c r="E734" s="18" t="s">
        <x:v>3234</x:v>
      </x:c>
      <x:c r="F734" s="18" t="s">
        <x:v>3235</x:v>
      </x:c>
      <x:c r="G734" s="126">
        <x:v>0</x:v>
      </x:c>
      <x:c r="H734" s="126" t="e">
        <x:f>IF(G734="","",IF(G734&lt;参数与口径!$E$6,1,MATCH(G734,等级配置!$C$4:$C$103,1)))</x:f>
        <x:v>#NAME?</x:v>
      </x:c>
      <x:c r="I734" s="58" t="e">
        <x:f>IF(H734="","",INDEX(等级配置!$B$4:$B$103,H734))</x:f>
        <x:v>#NAME?</x:v>
      </x:c>
      <x:c r="J734" s="58" t="e">
        <x:f>IF(AND(D734="当前已婚",G734&lt;参数与口径!$E$6),"存量兼容Lv1",IF(G734&gt;=等级配置!$C$103,"Lv100溢出","正常"))</x:f>
        <x:v>#NAME?</x:v>
      </x:c>
      <x:c r="K734" s="20" t="str">
        <x:f t="shared" si="11"/>
      </x:c>
    </x:row>
    <x:row r="735" ht="17">
      <x:c r="A735" s="58" t="s">
        <x:v>3236</x:v>
      </x:c>
      <x:c r="B735" s="58" t="s">
        <x:v>3237</x:v>
      </x:c>
      <x:c r="C735" s="58" t="s">
        <x:v>3238</x:v>
      </x:c>
      <x:c r="D735" s="58" t="s">
        <x:v>1295</x:v>
      </x:c>
      <x:c r="E735" s="18" t="s">
        <x:v>3239</x:v>
      </x:c>
      <x:c r="F735" s="18" t="s">
        <x:v>3240</x:v>
      </x:c>
      <x:c r="G735" s="126">
        <x:v>0</x:v>
      </x:c>
      <x:c r="H735" s="126" t="e">
        <x:f>IF(G735="","",IF(G735&lt;参数与口径!$E$6,1,MATCH(G735,等级配置!$C$4:$C$103,1)))</x:f>
        <x:v>#NAME?</x:v>
      </x:c>
      <x:c r="I735" s="58" t="e">
        <x:f>IF(H735="","",INDEX(等级配置!$B$4:$B$103,H735))</x:f>
        <x:v>#NAME?</x:v>
      </x:c>
      <x:c r="J735" s="58" t="e">
        <x:f>IF(AND(D735="当前已婚",G735&lt;参数与口径!$E$6),"存量兼容Lv1",IF(G735&gt;=等级配置!$C$103,"Lv100溢出","正常"))</x:f>
        <x:v>#NAME?</x:v>
      </x:c>
      <x:c r="K735" s="20" t="str">
        <x:f t="shared" si="11"/>
      </x:c>
    </x:row>
    <x:row r="736" ht="17">
      <x:c r="A736" s="58" t="s">
        <x:v>3241</x:v>
      </x:c>
      <x:c r="B736" s="58" t="s">
        <x:v>3242</x:v>
      </x:c>
      <x:c r="C736" s="58" t="s">
        <x:v>3243</x:v>
      </x:c>
      <x:c r="D736" s="58" t="s">
        <x:v>1295</x:v>
      </x:c>
      <x:c r="E736" s="18" t="s">
        <x:v>3244</x:v>
      </x:c>
      <x:c r="F736" s="18" t="s">
        <x:v>3245</x:v>
      </x:c>
      <x:c r="G736" s="126">
        <x:v>0</x:v>
      </x:c>
      <x:c r="H736" s="126" t="e">
        <x:f>IF(G736="","",IF(G736&lt;参数与口径!$E$6,1,MATCH(G736,等级配置!$C$4:$C$103,1)))</x:f>
        <x:v>#NAME?</x:v>
      </x:c>
      <x:c r="I736" s="58" t="e">
        <x:f>IF(H736="","",INDEX(等级配置!$B$4:$B$103,H736))</x:f>
        <x:v>#NAME?</x:v>
      </x:c>
      <x:c r="J736" s="58" t="e">
        <x:f>IF(AND(D736="当前已婚",G736&lt;参数与口径!$E$6),"存量兼容Lv1",IF(G736&gt;=等级配置!$C$103,"Lv100溢出","正常"))</x:f>
        <x:v>#NAME?</x:v>
      </x:c>
      <x:c r="K736" s="20" t="str">
        <x:f t="shared" si="11"/>
      </x:c>
    </x:row>
    <x:row r="737" ht="17">
      <x:c r="A737" s="58" t="s">
        <x:v>3246</x:v>
      </x:c>
      <x:c r="B737" s="58" t="s">
        <x:v>3187</x:v>
      </x:c>
      <x:c r="C737" s="58" t="s">
        <x:v>3247</x:v>
      </x:c>
      <x:c r="D737" s="58" t="s">
        <x:v>1295</x:v>
      </x:c>
      <x:c r="E737" s="18" t="s">
        <x:v>3248</x:v>
      </x:c>
      <x:c r="F737" s="18" t="s">
        <x:v>3249</x:v>
      </x:c>
      <x:c r="G737" s="126">
        <x:v>0</x:v>
      </x:c>
      <x:c r="H737" s="126" t="e">
        <x:f>IF(G737="","",IF(G737&lt;参数与口径!$E$6,1,MATCH(G737,等级配置!$C$4:$C$103,1)))</x:f>
        <x:v>#NAME?</x:v>
      </x:c>
      <x:c r="I737" s="58" t="e">
        <x:f>IF(H737="","",INDEX(等级配置!$B$4:$B$103,H737))</x:f>
        <x:v>#NAME?</x:v>
      </x:c>
      <x:c r="J737" s="58" t="e">
        <x:f>IF(AND(D737="当前已婚",G737&lt;参数与口径!$E$6),"存量兼容Lv1",IF(G737&gt;=等级配置!$C$103,"Lv100溢出","正常"))</x:f>
        <x:v>#NAME?</x:v>
      </x:c>
      <x:c r="K737" s="20" t="str">
        <x:f t="shared" si="11"/>
      </x:c>
    </x:row>
    <x:row r="738" ht="17">
      <x:c r="A738" s="58" t="s">
        <x:v>3250</x:v>
      </x:c>
      <x:c r="B738" s="58" t="s">
        <x:v>3251</x:v>
      </x:c>
      <x:c r="C738" s="58" t="s">
        <x:v>3252</x:v>
      </x:c>
      <x:c r="D738" s="58" t="s">
        <x:v>1295</x:v>
      </x:c>
      <x:c r="E738" s="18" t="s">
        <x:v>3253</x:v>
      </x:c>
      <x:c r="F738" s="18" t="s">
        <x:v>3254</x:v>
      </x:c>
      <x:c r="G738" s="126">
        <x:v>0</x:v>
      </x:c>
      <x:c r="H738" s="126" t="e">
        <x:f>IF(G738="","",IF(G738&lt;参数与口径!$E$6,1,MATCH(G738,等级配置!$C$4:$C$103,1)))</x:f>
        <x:v>#NAME?</x:v>
      </x:c>
      <x:c r="I738" s="58" t="e">
        <x:f>IF(H738="","",INDEX(等级配置!$B$4:$B$103,H738))</x:f>
        <x:v>#NAME?</x:v>
      </x:c>
      <x:c r="J738" s="58" t="e">
        <x:f>IF(AND(D738="当前已婚",G738&lt;参数与口径!$E$6),"存量兼容Lv1",IF(G738&gt;=等级配置!$C$103,"Lv100溢出","正常"))</x:f>
        <x:v>#NAME?</x:v>
      </x:c>
      <x:c r="K738" s="20" t="str">
        <x:f t="shared" si="11"/>
      </x:c>
    </x:row>
    <x:row r="739" ht="17">
      <x:c r="A739" s="58" t="s">
        <x:v>3255</x:v>
      </x:c>
      <x:c r="B739" s="58" t="s">
        <x:v>3256</x:v>
      </x:c>
      <x:c r="C739" s="58" t="s">
        <x:v>3257</x:v>
      </x:c>
      <x:c r="D739" s="58" t="s">
        <x:v>1295</x:v>
      </x:c>
      <x:c r="E739" s="18" t="s">
        <x:v>3258</x:v>
      </x:c>
      <x:c r="F739" s="18" t="s">
        <x:v>3259</x:v>
      </x:c>
      <x:c r="G739" s="126">
        <x:v>0</x:v>
      </x:c>
      <x:c r="H739" s="126" t="e">
        <x:f>IF(G739="","",IF(G739&lt;参数与口径!$E$6,1,MATCH(G739,等级配置!$C$4:$C$103,1)))</x:f>
        <x:v>#NAME?</x:v>
      </x:c>
      <x:c r="I739" s="58" t="e">
        <x:f>IF(H739="","",INDEX(等级配置!$B$4:$B$103,H739))</x:f>
        <x:v>#NAME?</x:v>
      </x:c>
      <x:c r="J739" s="58" t="e">
        <x:f>IF(AND(D739="当前已婚",G739&lt;参数与口径!$E$6),"存量兼容Lv1",IF(G739&gt;=等级配置!$C$103,"Lv100溢出","正常"))</x:f>
        <x:v>#NAME?</x:v>
      </x:c>
      <x:c r="K739" s="20" t="str">
        <x:f t="shared" si="11"/>
      </x:c>
    </x:row>
    <x:row r="740" ht="17">
      <x:c r="A740" s="58" t="s">
        <x:v>3260</x:v>
      </x:c>
      <x:c r="B740" s="58" t="s">
        <x:v>3261</x:v>
      </x:c>
      <x:c r="C740" s="58" t="s">
        <x:v>3262</x:v>
      </x:c>
      <x:c r="D740" s="58" t="s">
        <x:v>1295</x:v>
      </x:c>
      <x:c r="E740" s="18" t="s">
        <x:v>3263</x:v>
      </x:c>
      <x:c r="F740" s="18" t="s">
        <x:v>3264</x:v>
      </x:c>
      <x:c r="G740" s="126">
        <x:v>0</x:v>
      </x:c>
      <x:c r="H740" s="126" t="e">
        <x:f>IF(G740="","",IF(G740&lt;参数与口径!$E$6,1,MATCH(G740,等级配置!$C$4:$C$103,1)))</x:f>
        <x:v>#NAME?</x:v>
      </x:c>
      <x:c r="I740" s="58" t="e">
        <x:f>IF(H740="","",INDEX(等级配置!$B$4:$B$103,H740))</x:f>
        <x:v>#NAME?</x:v>
      </x:c>
      <x:c r="J740" s="58" t="e">
        <x:f>IF(AND(D740="当前已婚",G740&lt;参数与口径!$E$6),"存量兼容Lv1",IF(G740&gt;=等级配置!$C$103,"Lv100溢出","正常"))</x:f>
        <x:v>#NAME?</x:v>
      </x:c>
      <x:c r="K740" s="20" t="str">
        <x:f t="shared" si="11"/>
      </x:c>
    </x:row>
    <x:row r="741" ht="17">
      <x:c r="A741" s="58" t="s">
        <x:v>3265</x:v>
      </x:c>
      <x:c r="B741" s="58" t="s">
        <x:v>3266</x:v>
      </x:c>
      <x:c r="C741" s="58" t="s">
        <x:v>3267</x:v>
      </x:c>
      <x:c r="D741" s="58" t="s">
        <x:v>1295</x:v>
      </x:c>
      <x:c r="E741" s="18" t="s">
        <x:v>3268</x:v>
      </x:c>
      <x:c r="F741" s="18" t="s">
        <x:v>3269</x:v>
      </x:c>
      <x:c r="G741" s="126">
        <x:v>0</x:v>
      </x:c>
      <x:c r="H741" s="126" t="e">
        <x:f>IF(G741="","",IF(G741&lt;参数与口径!$E$6,1,MATCH(G741,等级配置!$C$4:$C$103,1)))</x:f>
        <x:v>#NAME?</x:v>
      </x:c>
      <x:c r="I741" s="58" t="e">
        <x:f>IF(H741="","",INDEX(等级配置!$B$4:$B$103,H741))</x:f>
        <x:v>#NAME?</x:v>
      </x:c>
      <x:c r="J741" s="58" t="e">
        <x:f>IF(AND(D741="当前已婚",G741&lt;参数与口径!$E$6),"存量兼容Lv1",IF(G741&gt;=等级配置!$C$103,"Lv100溢出","正常"))</x:f>
        <x:v>#NAME?</x:v>
      </x:c>
      <x:c r="K741" s="20" t="str">
        <x:f t="shared" si="11"/>
      </x:c>
    </x:row>
    <x:row r="742" ht="17">
      <x:c r="A742" s="58" t="s">
        <x:v>3270</x:v>
      </x:c>
      <x:c r="B742" s="58" t="s">
        <x:v>3271</x:v>
      </x:c>
      <x:c r="C742" s="58" t="s">
        <x:v>2682</x:v>
      </x:c>
      <x:c r="D742" s="58" t="s">
        <x:v>1295</x:v>
      </x:c>
      <x:c r="E742" s="18" t="s">
        <x:v>3272</x:v>
      </x:c>
      <x:c r="F742" s="18" t="s">
        <x:v>3273</x:v>
      </x:c>
      <x:c r="G742" s="126">
        <x:v>0</x:v>
      </x:c>
      <x:c r="H742" s="126" t="e">
        <x:f>IF(G742="","",IF(G742&lt;参数与口径!$E$6,1,MATCH(G742,等级配置!$C$4:$C$103,1)))</x:f>
        <x:v>#NAME?</x:v>
      </x:c>
      <x:c r="I742" s="58" t="e">
        <x:f>IF(H742="","",INDEX(等级配置!$B$4:$B$103,H742))</x:f>
        <x:v>#NAME?</x:v>
      </x:c>
      <x:c r="J742" s="58" t="e">
        <x:f>IF(AND(D742="当前已婚",G742&lt;参数与口径!$E$6),"存量兼容Lv1",IF(G742&gt;=等级配置!$C$103,"Lv100溢出","正常"))</x:f>
        <x:v>#NAME?</x:v>
      </x:c>
      <x:c r="K742" s="20" t="str">
        <x:f t="shared" si="11"/>
      </x:c>
    </x:row>
    <x:row r="743" ht="17">
      <x:c r="A743" s="58" t="s">
        <x:v>3274</x:v>
      </x:c>
      <x:c r="B743" s="58" t="s">
        <x:v>3275</x:v>
      </x:c>
      <x:c r="C743" s="58" t="s">
        <x:v>2030</x:v>
      </x:c>
      <x:c r="D743" s="58" t="s">
        <x:v>1295</x:v>
      </x:c>
      <x:c r="E743" s="18" t="s">
        <x:v>3276</x:v>
      </x:c>
      <x:c r="F743" s="18" t="s">
        <x:v>3277</x:v>
      </x:c>
      <x:c r="G743" s="126">
        <x:v>0</x:v>
      </x:c>
      <x:c r="H743" s="126" t="e">
        <x:f>IF(G743="","",IF(G743&lt;参数与口径!$E$6,1,MATCH(G743,等级配置!$C$4:$C$103,1)))</x:f>
        <x:v>#NAME?</x:v>
      </x:c>
      <x:c r="I743" s="58" t="e">
        <x:f>IF(H743="","",INDEX(等级配置!$B$4:$B$103,H743))</x:f>
        <x:v>#NAME?</x:v>
      </x:c>
      <x:c r="J743" s="58" t="e">
        <x:f>IF(AND(D743="当前已婚",G743&lt;参数与口径!$E$6),"存量兼容Lv1",IF(G743&gt;=等级配置!$C$103,"Lv100溢出","正常"))</x:f>
        <x:v>#NAME?</x:v>
      </x:c>
      <x:c r="K743" s="20" t="str">
        <x:f t="shared" si="11"/>
      </x:c>
    </x:row>
    <x:row r="744" ht="17">
      <x:c r="A744" s="58" t="s">
        <x:v>3278</x:v>
      </x:c>
      <x:c r="B744" s="58" t="s">
        <x:v>3279</x:v>
      </x:c>
      <x:c r="C744" s="58" t="s">
        <x:v>3280</x:v>
      </x:c>
      <x:c r="D744" s="58" t="s">
        <x:v>1295</x:v>
      </x:c>
      <x:c r="E744" s="18" t="s">
        <x:v>3281</x:v>
      </x:c>
      <x:c r="F744" s="18" t="s">
        <x:v>3282</x:v>
      </x:c>
      <x:c r="G744" s="126">
        <x:v>0</x:v>
      </x:c>
      <x:c r="H744" s="126" t="e">
        <x:f>IF(G744="","",IF(G744&lt;参数与口径!$E$6,1,MATCH(G744,等级配置!$C$4:$C$103,1)))</x:f>
        <x:v>#NAME?</x:v>
      </x:c>
      <x:c r="I744" s="58" t="e">
        <x:f>IF(H744="","",INDEX(等级配置!$B$4:$B$103,H744))</x:f>
        <x:v>#NAME?</x:v>
      </x:c>
      <x:c r="J744" s="58" t="e">
        <x:f>IF(AND(D744="当前已婚",G744&lt;参数与口径!$E$6),"存量兼容Lv1",IF(G744&gt;=等级配置!$C$103,"Lv100溢出","正常"))</x:f>
        <x:v>#NAME?</x:v>
      </x:c>
      <x:c r="K744" s="20" t="str">
        <x:f t="shared" si="11"/>
      </x:c>
    </x:row>
    <x:row r="745" ht="17">
      <x:c r="A745" s="58" t="s">
        <x:v>3283</x:v>
      </x:c>
      <x:c r="B745" s="58" t="s">
        <x:v>739</x:v>
      </x:c>
      <x:c r="C745" s="58" t="s">
        <x:v>3284</x:v>
      </x:c>
      <x:c r="D745" s="58" t="s">
        <x:v>1295</x:v>
      </x:c>
      <x:c r="E745" s="18" t="s">
        <x:v>3285</x:v>
      </x:c>
      <x:c r="F745" s="18" t="s">
        <x:v>3286</x:v>
      </x:c>
      <x:c r="G745" s="126">
        <x:v>0</x:v>
      </x:c>
      <x:c r="H745" s="126" t="e">
        <x:f>IF(G745="","",IF(G745&lt;参数与口径!$E$6,1,MATCH(G745,等级配置!$C$4:$C$103,1)))</x:f>
        <x:v>#NAME?</x:v>
      </x:c>
      <x:c r="I745" s="58" t="e">
        <x:f>IF(H745="","",INDEX(等级配置!$B$4:$B$103,H745))</x:f>
        <x:v>#NAME?</x:v>
      </x:c>
      <x:c r="J745" s="58" t="e">
        <x:f>IF(AND(D745="当前已婚",G745&lt;参数与口径!$E$6),"存量兼容Lv1",IF(G745&gt;=等级配置!$C$103,"Lv100溢出","正常"))</x:f>
        <x:v>#NAME?</x:v>
      </x:c>
      <x:c r="K745" s="20" t="str">
        <x:f t="shared" si="11"/>
      </x:c>
    </x:row>
    <x:row r="746" ht="17">
      <x:c r="A746" s="58" t="s">
        <x:v>3287</x:v>
      </x:c>
      <x:c r="B746" s="58" t="s">
        <x:v>3288</x:v>
      </x:c>
      <x:c r="C746" s="58" t="s">
        <x:v>182</x:v>
      </x:c>
      <x:c r="D746" s="58" t="s">
        <x:v>1295</x:v>
      </x:c>
      <x:c r="E746" s="18" t="s">
        <x:v>3289</x:v>
      </x:c>
      <x:c r="F746" s="18" t="s">
        <x:v>3290</x:v>
      </x:c>
      <x:c r="G746" s="126">
        <x:v>0</x:v>
      </x:c>
      <x:c r="H746" s="126" t="e">
        <x:f>IF(G746="","",IF(G746&lt;参数与口径!$E$6,1,MATCH(G746,等级配置!$C$4:$C$103,1)))</x:f>
        <x:v>#NAME?</x:v>
      </x:c>
      <x:c r="I746" s="58" t="e">
        <x:f>IF(H746="","",INDEX(等级配置!$B$4:$B$103,H746))</x:f>
        <x:v>#NAME?</x:v>
      </x:c>
      <x:c r="J746" s="58" t="e">
        <x:f>IF(AND(D746="当前已婚",G746&lt;参数与口径!$E$6),"存量兼容Lv1",IF(G746&gt;=等级配置!$C$103,"Lv100溢出","正常"))</x:f>
        <x:v>#NAME?</x:v>
      </x:c>
      <x:c r="K746" s="20" t="str">
        <x:f t="shared" si="11"/>
      </x:c>
    </x:row>
    <x:row r="747" ht="17">
      <x:c r="A747" s="58" t="s">
        <x:v>3291</x:v>
      </x:c>
      <x:c r="B747" s="58" t="s">
        <x:v>3292</x:v>
      </x:c>
      <x:c r="C747" s="58" t="s">
        <x:v>3293</x:v>
      </x:c>
      <x:c r="D747" s="58" t="s">
        <x:v>1295</x:v>
      </x:c>
      <x:c r="E747" s="18" t="s">
        <x:v>3294</x:v>
      </x:c>
      <x:c r="F747" s="18" t="s">
        <x:v>3295</x:v>
      </x:c>
      <x:c r="G747" s="126">
        <x:v>0</x:v>
      </x:c>
      <x:c r="H747" s="126" t="e">
        <x:f>IF(G747="","",IF(G747&lt;参数与口径!$E$6,1,MATCH(G747,等级配置!$C$4:$C$103,1)))</x:f>
        <x:v>#NAME?</x:v>
      </x:c>
      <x:c r="I747" s="58" t="e">
        <x:f>IF(H747="","",INDEX(等级配置!$B$4:$B$103,H747))</x:f>
        <x:v>#NAME?</x:v>
      </x:c>
      <x:c r="J747" s="58" t="e">
        <x:f>IF(AND(D747="当前已婚",G747&lt;参数与口径!$E$6),"存量兼容Lv1",IF(G747&gt;=等级配置!$C$103,"Lv100溢出","正常"))</x:f>
        <x:v>#NAME?</x:v>
      </x:c>
      <x:c r="K747" s="20" t="str">
        <x:f t="shared" si="11"/>
      </x:c>
    </x:row>
    <x:row r="748" ht="17">
      <x:c r="A748" s="58" t="s">
        <x:v>3296</x:v>
      </x:c>
      <x:c r="B748" s="58" t="s">
        <x:v>3297</x:v>
      </x:c>
      <x:c r="C748" s="58" t="s">
        <x:v>3298</x:v>
      </x:c>
      <x:c r="D748" s="58" t="s">
        <x:v>1295</x:v>
      </x:c>
      <x:c r="E748" s="18" t="s">
        <x:v>3299</x:v>
      </x:c>
      <x:c r="F748" s="18" t="s">
        <x:v>3300</x:v>
      </x:c>
      <x:c r="G748" s="126">
        <x:v>0</x:v>
      </x:c>
      <x:c r="H748" s="126" t="e">
        <x:f>IF(G748="","",IF(G748&lt;参数与口径!$E$6,1,MATCH(G748,等级配置!$C$4:$C$103,1)))</x:f>
        <x:v>#NAME?</x:v>
      </x:c>
      <x:c r="I748" s="58" t="e">
        <x:f>IF(H748="","",INDEX(等级配置!$B$4:$B$103,H748))</x:f>
        <x:v>#NAME?</x:v>
      </x:c>
      <x:c r="J748" s="58" t="e">
        <x:f>IF(AND(D748="当前已婚",G748&lt;参数与口径!$E$6),"存量兼容Lv1",IF(G748&gt;=等级配置!$C$103,"Lv100溢出","正常"))</x:f>
        <x:v>#NAME?</x:v>
      </x:c>
      <x:c r="K748" s="20" t="str">
        <x:f t="shared" si="11"/>
      </x:c>
    </x:row>
    <x:row r="749" ht="17">
      <x:c r="A749" s="58" t="s">
        <x:v>3301</x:v>
      </x:c>
      <x:c r="B749" s="58" t="s">
        <x:v>3302</x:v>
      </x:c>
      <x:c r="C749" s="58" t="s">
        <x:v>3303</x:v>
      </x:c>
      <x:c r="D749" s="58" t="s">
        <x:v>1295</x:v>
      </x:c>
      <x:c r="E749" s="18" t="s">
        <x:v>3304</x:v>
      </x:c>
      <x:c r="F749" s="18" t="s">
        <x:v>3305</x:v>
      </x:c>
      <x:c r="G749" s="126">
        <x:v>0</x:v>
      </x:c>
      <x:c r="H749" s="126" t="e">
        <x:f>IF(G749="","",IF(G749&lt;参数与口径!$E$6,1,MATCH(G749,等级配置!$C$4:$C$103,1)))</x:f>
        <x:v>#NAME?</x:v>
      </x:c>
      <x:c r="I749" s="58" t="e">
        <x:f>IF(H749="","",INDEX(等级配置!$B$4:$B$103,H749))</x:f>
        <x:v>#NAME?</x:v>
      </x:c>
      <x:c r="J749" s="58" t="e">
        <x:f>IF(AND(D749="当前已婚",G749&lt;参数与口径!$E$6),"存量兼容Lv1",IF(G749&gt;=等级配置!$C$103,"Lv100溢出","正常"))</x:f>
        <x:v>#NAME?</x:v>
      </x:c>
      <x:c r="K749" s="20" t="str">
        <x:f t="shared" si="11"/>
      </x:c>
    </x:row>
    <x:row r="750" ht="17">
      <x:c r="A750" s="58" t="s">
        <x:v>3306</x:v>
      </x:c>
      <x:c r="B750" s="58" t="s">
        <x:v>3307</x:v>
      </x:c>
      <x:c r="C750" s="58" t="s">
        <x:v>1838</x:v>
      </x:c>
      <x:c r="D750" s="58" t="s">
        <x:v>1295</x:v>
      </x:c>
      <x:c r="E750" s="18" t="s">
        <x:v>3308</x:v>
      </x:c>
      <x:c r="F750" s="18" t="s">
        <x:v>3309</x:v>
      </x:c>
      <x:c r="G750" s="126">
        <x:v>0</x:v>
      </x:c>
      <x:c r="H750" s="126" t="e">
        <x:f>IF(G750="","",IF(G750&lt;参数与口径!$E$6,1,MATCH(G750,等级配置!$C$4:$C$103,1)))</x:f>
        <x:v>#NAME?</x:v>
      </x:c>
      <x:c r="I750" s="58" t="e">
        <x:f>IF(H750="","",INDEX(等级配置!$B$4:$B$103,H750))</x:f>
        <x:v>#NAME?</x:v>
      </x:c>
      <x:c r="J750" s="58" t="e">
        <x:f>IF(AND(D750="当前已婚",G750&lt;参数与口径!$E$6),"存量兼容Lv1",IF(G750&gt;=等级配置!$C$103,"Lv100溢出","正常"))</x:f>
        <x:v>#NAME?</x:v>
      </x:c>
      <x:c r="K750" s="20" t="str">
        <x:f t="shared" si="11"/>
      </x:c>
    </x:row>
    <x:row r="751" ht="17">
      <x:c r="A751" s="58" t="s">
        <x:v>3310</x:v>
      </x:c>
      <x:c r="B751" s="58" t="s">
        <x:v>3311</x:v>
      </x:c>
      <x:c r="C751" s="58" t="s">
        <x:v>1807</x:v>
      </x:c>
      <x:c r="D751" s="58" t="s">
        <x:v>1295</x:v>
      </x:c>
      <x:c r="E751" s="18" t="s">
        <x:v>3312</x:v>
      </x:c>
      <x:c r="F751" s="18" t="s">
        <x:v>3313</x:v>
      </x:c>
      <x:c r="G751" s="126">
        <x:v>0</x:v>
      </x:c>
      <x:c r="H751" s="126" t="e">
        <x:f>IF(G751="","",IF(G751&lt;参数与口径!$E$6,1,MATCH(G751,等级配置!$C$4:$C$103,1)))</x:f>
        <x:v>#NAME?</x:v>
      </x:c>
      <x:c r="I751" s="58" t="e">
        <x:f>IF(H751="","",INDEX(等级配置!$B$4:$B$103,H751))</x:f>
        <x:v>#NAME?</x:v>
      </x:c>
      <x:c r="J751" s="58" t="e">
        <x:f>IF(AND(D751="当前已婚",G751&lt;参数与口径!$E$6),"存量兼容Lv1",IF(G751&gt;=等级配置!$C$103,"Lv100溢出","正常"))</x:f>
        <x:v>#NAME?</x:v>
      </x:c>
      <x:c r="K751" s="20" t="str">
        <x:f t="shared" si="11"/>
      </x:c>
    </x:row>
    <x:row r="752" ht="17">
      <x:c r="A752" s="58" t="s">
        <x:v>3314</x:v>
      </x:c>
      <x:c r="B752" s="58" t="s">
        <x:v>740</x:v>
      </x:c>
      <x:c r="C752" s="58" t="s">
        <x:v>2446</x:v>
      </x:c>
      <x:c r="D752" s="58" t="s">
        <x:v>1295</x:v>
      </x:c>
      <x:c r="E752" s="18" t="s">
        <x:v>3315</x:v>
      </x:c>
      <x:c r="F752" s="18" t="s">
        <x:v>3316</x:v>
      </x:c>
      <x:c r="G752" s="126">
        <x:v>0</x:v>
      </x:c>
      <x:c r="H752" s="126" t="e">
        <x:f>IF(G752="","",IF(G752&lt;参数与口径!$E$6,1,MATCH(G752,等级配置!$C$4:$C$103,1)))</x:f>
        <x:v>#NAME?</x:v>
      </x:c>
      <x:c r="I752" s="58" t="e">
        <x:f>IF(H752="","",INDEX(等级配置!$B$4:$B$103,H752))</x:f>
        <x:v>#NAME?</x:v>
      </x:c>
      <x:c r="J752" s="58" t="e">
        <x:f>IF(AND(D752="当前已婚",G752&lt;参数与口径!$E$6),"存量兼容Lv1",IF(G752&gt;=等级配置!$C$103,"Lv100溢出","正常"))</x:f>
        <x:v>#NAME?</x:v>
      </x:c>
      <x:c r="K752" s="20" t="str">
        <x:f t="shared" si="11"/>
      </x:c>
    </x:row>
    <x:row r="753" ht="17">
      <x:c r="A753" s="58" t="s">
        <x:v>3317</x:v>
      </x:c>
      <x:c r="B753" s="58" t="s">
        <x:v>3318</x:v>
      </x:c>
      <x:c r="C753" s="58" t="s">
        <x:v>3319</x:v>
      </x:c>
      <x:c r="D753" s="58" t="s">
        <x:v>1295</x:v>
      </x:c>
      <x:c r="E753" s="18" t="s">
        <x:v>3320</x:v>
      </x:c>
      <x:c r="F753" s="18" t="s">
        <x:v>3321</x:v>
      </x:c>
      <x:c r="G753" s="126">
        <x:v>0</x:v>
      </x:c>
      <x:c r="H753" s="126" t="e">
        <x:f>IF(G753="","",IF(G753&lt;参数与口径!$E$6,1,MATCH(G753,等级配置!$C$4:$C$103,1)))</x:f>
        <x:v>#NAME?</x:v>
      </x:c>
      <x:c r="I753" s="58" t="e">
        <x:f>IF(H753="","",INDEX(等级配置!$B$4:$B$103,H753))</x:f>
        <x:v>#NAME?</x:v>
      </x:c>
      <x:c r="J753" s="58" t="e">
        <x:f>IF(AND(D753="当前已婚",G753&lt;参数与口径!$E$6),"存量兼容Lv1",IF(G753&gt;=等级配置!$C$103,"Lv100溢出","正常"))</x:f>
        <x:v>#NAME?</x:v>
      </x:c>
      <x:c r="K753" s="20" t="str">
        <x:f t="shared" si="11"/>
      </x:c>
    </x:row>
    <x:row r="754" ht="17">
      <x:c r="A754" s="58" t="s">
        <x:v>3322</x:v>
      </x:c>
      <x:c r="B754" s="58" t="s">
        <x:v>3323</x:v>
      </x:c>
      <x:c r="C754" s="58" t="s">
        <x:v>1258</x:v>
      </x:c>
      <x:c r="D754" s="58" t="s">
        <x:v>1295</x:v>
      </x:c>
      <x:c r="E754" s="18" t="s">
        <x:v>3324</x:v>
      </x:c>
      <x:c r="F754" s="18" t="s">
        <x:v>3325</x:v>
      </x:c>
      <x:c r="G754" s="126">
        <x:v>0</x:v>
      </x:c>
      <x:c r="H754" s="126" t="e">
        <x:f>IF(G754="","",IF(G754&lt;参数与口径!$E$6,1,MATCH(G754,等级配置!$C$4:$C$103,1)))</x:f>
        <x:v>#NAME?</x:v>
      </x:c>
      <x:c r="I754" s="58" t="e">
        <x:f>IF(H754="","",INDEX(等级配置!$B$4:$B$103,H754))</x:f>
        <x:v>#NAME?</x:v>
      </x:c>
      <x:c r="J754" s="58" t="e">
        <x:f>IF(AND(D754="当前已婚",G754&lt;参数与口径!$E$6),"存量兼容Lv1",IF(G754&gt;=等级配置!$C$103,"Lv100溢出","正常"))</x:f>
        <x:v>#NAME?</x:v>
      </x:c>
      <x:c r="K754" s="20" t="str">
        <x:f t="shared" si="11"/>
      </x:c>
    </x:row>
    <x:row r="755" ht="17">
      <x:c r="A755" s="58" t="s">
        <x:v>3326</x:v>
      </x:c>
      <x:c r="B755" s="58" t="s">
        <x:v>1923</x:v>
      </x:c>
      <x:c r="C755" s="58" t="s">
        <x:v>3327</x:v>
      </x:c>
      <x:c r="D755" s="58" t="s">
        <x:v>1295</x:v>
      </x:c>
      <x:c r="E755" s="18" t="s">
        <x:v>3328</x:v>
      </x:c>
      <x:c r="F755" s="18" t="s">
        <x:v>3329</x:v>
      </x:c>
      <x:c r="G755" s="126">
        <x:v>0</x:v>
      </x:c>
      <x:c r="H755" s="126" t="e">
        <x:f>IF(G755="","",IF(G755&lt;参数与口径!$E$6,1,MATCH(G755,等级配置!$C$4:$C$103,1)))</x:f>
        <x:v>#NAME?</x:v>
      </x:c>
      <x:c r="I755" s="58" t="e">
        <x:f>IF(H755="","",INDEX(等级配置!$B$4:$B$103,H755))</x:f>
        <x:v>#NAME?</x:v>
      </x:c>
      <x:c r="J755" s="58" t="e">
        <x:f>IF(AND(D755="当前已婚",G755&lt;参数与口径!$E$6),"存量兼容Lv1",IF(G755&gt;=等级配置!$C$103,"Lv100溢出","正常"))</x:f>
        <x:v>#NAME?</x:v>
      </x:c>
      <x:c r="K755" s="20" t="str">
        <x:f t="shared" si="11"/>
      </x:c>
    </x:row>
    <x:row r="756" ht="17">
      <x:c r="A756" s="58" t="s">
        <x:v>3330</x:v>
      </x:c>
      <x:c r="B756" s="58" t="s">
        <x:v>3331</x:v>
      </x:c>
      <x:c r="C756" s="58" t="s">
        <x:v>3332</x:v>
      </x:c>
      <x:c r="D756" s="58" t="s">
        <x:v>1295</x:v>
      </x:c>
      <x:c r="E756" s="18" t="s">
        <x:v>3333</x:v>
      </x:c>
      <x:c r="F756" s="18" t="s">
        <x:v>3334</x:v>
      </x:c>
      <x:c r="G756" s="126">
        <x:v>0</x:v>
      </x:c>
      <x:c r="H756" s="126" t="e">
        <x:f>IF(G756="","",IF(G756&lt;参数与口径!$E$6,1,MATCH(G756,等级配置!$C$4:$C$103,1)))</x:f>
        <x:v>#NAME?</x:v>
      </x:c>
      <x:c r="I756" s="58" t="e">
        <x:f>IF(H756="","",INDEX(等级配置!$B$4:$B$103,H756))</x:f>
        <x:v>#NAME?</x:v>
      </x:c>
      <x:c r="J756" s="58" t="e">
        <x:f>IF(AND(D756="当前已婚",G756&lt;参数与口径!$E$6),"存量兼容Lv1",IF(G756&gt;=等级配置!$C$103,"Lv100溢出","正常"))</x:f>
        <x:v>#NAME?</x:v>
      </x:c>
      <x:c r="K756" s="20" t="str">
        <x:f t="shared" si="11"/>
      </x:c>
    </x:row>
    <x:row r="757" ht="17">
      <x:c r="A757" s="58" t="s">
        <x:v>3335</x:v>
      </x:c>
      <x:c r="B757" s="58" t="s">
        <x:v>520</x:v>
      </x:c>
      <x:c r="C757" s="58" t="s">
        <x:v>3336</x:v>
      </x:c>
      <x:c r="D757" s="58" t="s">
        <x:v>1295</x:v>
      </x:c>
      <x:c r="E757" s="18" t="s">
        <x:v>3337</x:v>
      </x:c>
      <x:c r="F757" s="18" t="s">
        <x:v>3338</x:v>
      </x:c>
      <x:c r="G757" s="126">
        <x:v>0</x:v>
      </x:c>
      <x:c r="H757" s="126" t="e">
        <x:f>IF(G757="","",IF(G757&lt;参数与口径!$E$6,1,MATCH(G757,等级配置!$C$4:$C$103,1)))</x:f>
        <x:v>#NAME?</x:v>
      </x:c>
      <x:c r="I757" s="58" t="e">
        <x:f>IF(H757="","",INDEX(等级配置!$B$4:$B$103,H757))</x:f>
        <x:v>#NAME?</x:v>
      </x:c>
      <x:c r="J757" s="58" t="e">
        <x:f>IF(AND(D757="当前已婚",G757&lt;参数与口径!$E$6),"存量兼容Lv1",IF(G757&gt;=等级配置!$C$103,"Lv100溢出","正常"))</x:f>
        <x:v>#NAME?</x:v>
      </x:c>
      <x:c r="K757" s="20" t="str">
        <x:f t="shared" si="11"/>
      </x:c>
    </x:row>
    <x:row r="758" ht="17">
      <x:c r="A758" s="58" t="s">
        <x:v>3339</x:v>
      </x:c>
      <x:c r="B758" s="58" t="s">
        <x:v>3340</x:v>
      </x:c>
      <x:c r="C758" s="58" t="s">
        <x:v>1996</x:v>
      </x:c>
      <x:c r="D758" s="58" t="s">
        <x:v>1295</x:v>
      </x:c>
      <x:c r="E758" s="18" t="s">
        <x:v>3341</x:v>
      </x:c>
      <x:c r="F758" s="18" t="s">
        <x:v>3342</x:v>
      </x:c>
      <x:c r="G758" s="126">
        <x:v>0</x:v>
      </x:c>
      <x:c r="H758" s="126" t="e">
        <x:f>IF(G758="","",IF(G758&lt;参数与口径!$E$6,1,MATCH(G758,等级配置!$C$4:$C$103,1)))</x:f>
        <x:v>#NAME?</x:v>
      </x:c>
      <x:c r="I758" s="58" t="e">
        <x:f>IF(H758="","",INDEX(等级配置!$B$4:$B$103,H758))</x:f>
        <x:v>#NAME?</x:v>
      </x:c>
      <x:c r="J758" s="58" t="e">
        <x:f>IF(AND(D758="当前已婚",G758&lt;参数与口径!$E$6),"存量兼容Lv1",IF(G758&gt;=等级配置!$C$103,"Lv100溢出","正常"))</x:f>
        <x:v>#NAME?</x:v>
      </x:c>
      <x:c r="K758" s="20" t="str">
        <x:f t="shared" si="11"/>
      </x:c>
    </x:row>
    <x:row r="759" ht="17">
      <x:c r="A759" s="58" t="s">
        <x:v>3343</x:v>
      </x:c>
      <x:c r="B759" s="58" t="s">
        <x:v>3344</x:v>
      </x:c>
      <x:c r="C759" s="58" t="s">
        <x:v>3345</x:v>
      </x:c>
      <x:c r="D759" s="58" t="s">
        <x:v>1295</x:v>
      </x:c>
      <x:c r="E759" s="18" t="s">
        <x:v>3346</x:v>
      </x:c>
      <x:c r="F759" s="18" t="s">
        <x:v>3347</x:v>
      </x:c>
      <x:c r="G759" s="126">
        <x:v>0</x:v>
      </x:c>
      <x:c r="H759" s="126" t="e">
        <x:f>IF(G759="","",IF(G759&lt;参数与口径!$E$6,1,MATCH(G759,等级配置!$C$4:$C$103,1)))</x:f>
        <x:v>#NAME?</x:v>
      </x:c>
      <x:c r="I759" s="58" t="e">
        <x:f>IF(H759="","",INDEX(等级配置!$B$4:$B$103,H759))</x:f>
        <x:v>#NAME?</x:v>
      </x:c>
      <x:c r="J759" s="58" t="e">
        <x:f>IF(AND(D759="当前已婚",G759&lt;参数与口径!$E$6),"存量兼容Lv1",IF(G759&gt;=等级配置!$C$103,"Lv100溢出","正常"))</x:f>
        <x:v>#NAME?</x:v>
      </x:c>
      <x:c r="K759" s="20" t="str">
        <x:f t="shared" si="11"/>
      </x:c>
    </x:row>
    <x:row r="760" ht="17">
      <x:c r="A760" s="58" t="s">
        <x:v>3348</x:v>
      </x:c>
      <x:c r="B760" s="58" t="s">
        <x:v>3349</x:v>
      </x:c>
      <x:c r="C760" s="58" t="s">
        <x:v>3350</x:v>
      </x:c>
      <x:c r="D760" s="58" t="s">
        <x:v>1295</x:v>
      </x:c>
      <x:c r="E760" s="18" t="s">
        <x:v>3351</x:v>
      </x:c>
      <x:c r="F760" s="18" t="s">
        <x:v>3352</x:v>
      </x:c>
      <x:c r="G760" s="126">
        <x:v>0</x:v>
      </x:c>
      <x:c r="H760" s="126" t="e">
        <x:f>IF(G760="","",IF(G760&lt;参数与口径!$E$6,1,MATCH(G760,等级配置!$C$4:$C$103,1)))</x:f>
        <x:v>#NAME?</x:v>
      </x:c>
      <x:c r="I760" s="58" t="e">
        <x:f>IF(H760="","",INDEX(等级配置!$B$4:$B$103,H760))</x:f>
        <x:v>#NAME?</x:v>
      </x:c>
      <x:c r="J760" s="58" t="e">
        <x:f>IF(AND(D760="当前已婚",G760&lt;参数与口径!$E$6),"存量兼容Lv1",IF(G760&gt;=等级配置!$C$103,"Lv100溢出","正常"))</x:f>
        <x:v>#NAME?</x:v>
      </x:c>
      <x:c r="K760" s="20" t="str">
        <x:f t="shared" si="11"/>
      </x:c>
    </x:row>
    <x:row r="761" ht="17">
      <x:c r="A761" s="58" t="s">
        <x:v>3353</x:v>
      </x:c>
      <x:c r="B761" s="58" t="s">
        <x:v>3354</x:v>
      </x:c>
      <x:c r="C761" s="58" t="s">
        <x:v>3355</x:v>
      </x:c>
      <x:c r="D761" s="58" t="s">
        <x:v>1295</x:v>
      </x:c>
      <x:c r="E761" s="18" t="s">
        <x:v>3356</x:v>
      </x:c>
      <x:c r="F761" s="18" t="s">
        <x:v>3357</x:v>
      </x:c>
      <x:c r="G761" s="126">
        <x:v>0</x:v>
      </x:c>
      <x:c r="H761" s="126" t="e">
        <x:f>IF(G761="","",IF(G761&lt;参数与口径!$E$6,1,MATCH(G761,等级配置!$C$4:$C$103,1)))</x:f>
        <x:v>#NAME?</x:v>
      </x:c>
      <x:c r="I761" s="58" t="e">
        <x:f>IF(H761="","",INDEX(等级配置!$B$4:$B$103,H761))</x:f>
        <x:v>#NAME?</x:v>
      </x:c>
      <x:c r="J761" s="58" t="e">
        <x:f>IF(AND(D761="当前已婚",G761&lt;参数与口径!$E$6),"存量兼容Lv1",IF(G761&gt;=等级配置!$C$103,"Lv100溢出","正常"))</x:f>
        <x:v>#NAME?</x:v>
      </x:c>
      <x:c r="K761" s="20" t="str">
        <x:f t="shared" si="11"/>
      </x:c>
    </x:row>
    <x:row r="762" ht="17">
      <x:c r="A762" s="58" t="s">
        <x:v>3358</x:v>
      </x:c>
      <x:c r="B762" s="58" t="s">
        <x:v>3359</x:v>
      </x:c>
      <x:c r="C762" s="58" t="s">
        <x:v>3360</x:v>
      </x:c>
      <x:c r="D762" s="58" t="s">
        <x:v>1295</x:v>
      </x:c>
      <x:c r="E762" s="18" t="s">
        <x:v>3361</x:v>
      </x:c>
      <x:c r="F762" s="18" t="s">
        <x:v>3362</x:v>
      </x:c>
      <x:c r="G762" s="126">
        <x:v>0</x:v>
      </x:c>
      <x:c r="H762" s="126" t="e">
        <x:f>IF(G762="","",IF(G762&lt;参数与口径!$E$6,1,MATCH(G762,等级配置!$C$4:$C$103,1)))</x:f>
        <x:v>#NAME?</x:v>
      </x:c>
      <x:c r="I762" s="58" t="e">
        <x:f>IF(H762="","",INDEX(等级配置!$B$4:$B$103,H762))</x:f>
        <x:v>#NAME?</x:v>
      </x:c>
      <x:c r="J762" s="58" t="e">
        <x:f>IF(AND(D762="当前已婚",G762&lt;参数与口径!$E$6),"存量兼容Lv1",IF(G762&gt;=等级配置!$C$103,"Lv100溢出","正常"))</x:f>
        <x:v>#NAME?</x:v>
      </x:c>
      <x:c r="K762" s="20" t="str">
        <x:f t="shared" si="11"/>
      </x:c>
    </x:row>
    <x:row r="763" ht="17">
      <x:c r="A763" s="58" t="s">
        <x:v>3363</x:v>
      </x:c>
      <x:c r="B763" s="58" t="s">
        <x:v>3364</x:v>
      </x:c>
      <x:c r="C763" s="58" t="s">
        <x:v>3365</x:v>
      </x:c>
      <x:c r="D763" s="58" t="s">
        <x:v>1295</x:v>
      </x:c>
      <x:c r="E763" s="18" t="s">
        <x:v>3366</x:v>
      </x:c>
      <x:c r="F763" s="18" t="s">
        <x:v>3367</x:v>
      </x:c>
      <x:c r="G763" s="126">
        <x:v>0</x:v>
      </x:c>
      <x:c r="H763" s="126" t="e">
        <x:f>IF(G763="","",IF(G763&lt;参数与口径!$E$6,1,MATCH(G763,等级配置!$C$4:$C$103,1)))</x:f>
        <x:v>#NAME?</x:v>
      </x:c>
      <x:c r="I763" s="58" t="e">
        <x:f>IF(H763="","",INDEX(等级配置!$B$4:$B$103,H763))</x:f>
        <x:v>#NAME?</x:v>
      </x:c>
      <x:c r="J763" s="58" t="e">
        <x:f>IF(AND(D763="当前已婚",G763&lt;参数与口径!$E$6),"存量兼容Lv1",IF(G763&gt;=等级配置!$C$103,"Lv100溢出","正常"))</x:f>
        <x:v>#NAME?</x:v>
      </x:c>
      <x:c r="K763" s="20" t="str">
        <x:f t="shared" si="11"/>
      </x:c>
    </x:row>
    <x:row r="764" ht="17">
      <x:c r="A764" s="58" t="s">
        <x:v>3368</x:v>
      </x:c>
      <x:c r="B764" s="58" t="s">
        <x:v>797</x:v>
      </x:c>
      <x:c r="C764" s="58" t="s">
        <x:v>1847</x:v>
      </x:c>
      <x:c r="D764" s="58" t="s">
        <x:v>1295</x:v>
      </x:c>
      <x:c r="E764" s="18" t="s">
        <x:v>3369</x:v>
      </x:c>
      <x:c r="F764" s="18" t="s">
        <x:v>3370</x:v>
      </x:c>
      <x:c r="G764" s="126">
        <x:v>0</x:v>
      </x:c>
      <x:c r="H764" s="126" t="e">
        <x:f>IF(G764="","",IF(G764&lt;参数与口径!$E$6,1,MATCH(G764,等级配置!$C$4:$C$103,1)))</x:f>
        <x:v>#NAME?</x:v>
      </x:c>
      <x:c r="I764" s="58" t="e">
        <x:f>IF(H764="","",INDEX(等级配置!$B$4:$B$103,H764))</x:f>
        <x:v>#NAME?</x:v>
      </x:c>
      <x:c r="J764" s="58" t="e">
        <x:f>IF(AND(D764="当前已婚",G764&lt;参数与口径!$E$6),"存量兼容Lv1",IF(G764&gt;=等级配置!$C$103,"Lv100溢出","正常"))</x:f>
        <x:v>#NAME?</x:v>
      </x:c>
      <x:c r="K764" s="20" t="str">
        <x:f t="shared" si="11"/>
      </x:c>
    </x:row>
    <x:row r="765" ht="17">
      <x:c r="A765" s="58" t="s">
        <x:v>3371</x:v>
      </x:c>
      <x:c r="B765" s="58" t="s">
        <x:v>3372</x:v>
      </x:c>
      <x:c r="C765" s="58" t="s">
        <x:v>3373</x:v>
      </x:c>
      <x:c r="D765" s="58" t="s">
        <x:v>1295</x:v>
      </x:c>
      <x:c r="E765" s="18" t="s">
        <x:v>3374</x:v>
      </x:c>
      <x:c r="F765" s="18" t="s">
        <x:v>3375</x:v>
      </x:c>
      <x:c r="G765" s="126">
        <x:v>0</x:v>
      </x:c>
      <x:c r="H765" s="126" t="e">
        <x:f>IF(G765="","",IF(G765&lt;参数与口径!$E$6,1,MATCH(G765,等级配置!$C$4:$C$103,1)))</x:f>
        <x:v>#NAME?</x:v>
      </x:c>
      <x:c r="I765" s="58" t="e">
        <x:f>IF(H765="","",INDEX(等级配置!$B$4:$B$103,H765))</x:f>
        <x:v>#NAME?</x:v>
      </x:c>
      <x:c r="J765" s="58" t="e">
        <x:f>IF(AND(D765="当前已婚",G765&lt;参数与口径!$E$6),"存量兼容Lv1",IF(G765&gt;=等级配置!$C$103,"Lv100溢出","正常"))</x:f>
        <x:v>#NAME?</x:v>
      </x:c>
      <x:c r="K765" s="20" t="str">
        <x:f t="shared" si="11"/>
      </x:c>
    </x:row>
    <x:row r="766" ht="17">
      <x:c r="A766" s="58" t="s">
        <x:v>3376</x:v>
      </x:c>
      <x:c r="B766" s="58" t="s">
        <x:v>3377</x:v>
      </x:c>
      <x:c r="C766" s="58" t="s">
        <x:v>3378</x:v>
      </x:c>
      <x:c r="D766" s="58" t="s">
        <x:v>1295</x:v>
      </x:c>
      <x:c r="E766" s="18" t="s">
        <x:v>3379</x:v>
      </x:c>
      <x:c r="F766" s="18" t="s">
        <x:v>3380</x:v>
      </x:c>
      <x:c r="G766" s="126">
        <x:v>0</x:v>
      </x:c>
      <x:c r="H766" s="126" t="e">
        <x:f>IF(G766="","",IF(G766&lt;参数与口径!$E$6,1,MATCH(G766,等级配置!$C$4:$C$103,1)))</x:f>
        <x:v>#NAME?</x:v>
      </x:c>
      <x:c r="I766" s="58" t="e">
        <x:f>IF(H766="","",INDEX(等级配置!$B$4:$B$103,H766))</x:f>
        <x:v>#NAME?</x:v>
      </x:c>
      <x:c r="J766" s="58" t="e">
        <x:f>IF(AND(D766="当前已婚",G766&lt;参数与口径!$E$6),"存量兼容Lv1",IF(G766&gt;=等级配置!$C$103,"Lv100溢出","正常"))</x:f>
        <x:v>#NAME?</x:v>
      </x:c>
      <x:c r="K766" s="20" t="str">
        <x:f t="shared" si="11"/>
      </x:c>
    </x:row>
    <x:row r="767" ht="17">
      <x:c r="A767" s="58" t="s">
        <x:v>3381</x:v>
      </x:c>
      <x:c r="B767" s="58" t="s">
        <x:v>3382</x:v>
      </x:c>
      <x:c r="C767" s="58" t="s">
        <x:v>2138</x:v>
      </x:c>
      <x:c r="D767" s="58" t="s">
        <x:v>1295</x:v>
      </x:c>
      <x:c r="E767" s="18" t="s">
        <x:v>3383</x:v>
      </x:c>
      <x:c r="F767" s="18" t="s">
        <x:v>3384</x:v>
      </x:c>
      <x:c r="G767" s="126">
        <x:v>0</x:v>
      </x:c>
      <x:c r="H767" s="126" t="e">
        <x:f>IF(G767="","",IF(G767&lt;参数与口径!$E$6,1,MATCH(G767,等级配置!$C$4:$C$103,1)))</x:f>
        <x:v>#NAME?</x:v>
      </x:c>
      <x:c r="I767" s="58" t="e">
        <x:f>IF(H767="","",INDEX(等级配置!$B$4:$B$103,H767))</x:f>
        <x:v>#NAME?</x:v>
      </x:c>
      <x:c r="J767" s="58" t="e">
        <x:f>IF(AND(D767="当前已婚",G767&lt;参数与口径!$E$6),"存量兼容Lv1",IF(G767&gt;=等级配置!$C$103,"Lv100溢出","正常"))</x:f>
        <x:v>#NAME?</x:v>
      </x:c>
      <x:c r="K767" s="20" t="str">
        <x:f t="shared" si="11"/>
      </x:c>
    </x:row>
    <x:row r="768" ht="17">
      <x:c r="A768" s="58" t="s">
        <x:v>3385</x:v>
      </x:c>
      <x:c r="B768" s="58" t="s">
        <x:v>3386</x:v>
      </x:c>
      <x:c r="C768" s="58" t="s">
        <x:v>3064</x:v>
      </x:c>
      <x:c r="D768" s="58" t="s">
        <x:v>1295</x:v>
      </x:c>
      <x:c r="E768" s="18" t="s">
        <x:v>3387</x:v>
      </x:c>
      <x:c r="F768" s="18" t="s">
        <x:v>3388</x:v>
      </x:c>
      <x:c r="G768" s="126">
        <x:v>0</x:v>
      </x:c>
      <x:c r="H768" s="126" t="e">
        <x:f>IF(G768="","",IF(G768&lt;参数与口径!$E$6,1,MATCH(G768,等级配置!$C$4:$C$103,1)))</x:f>
        <x:v>#NAME?</x:v>
      </x:c>
      <x:c r="I768" s="58" t="e">
        <x:f>IF(H768="","",INDEX(等级配置!$B$4:$B$103,H768))</x:f>
        <x:v>#NAME?</x:v>
      </x:c>
      <x:c r="J768" s="58" t="e">
        <x:f>IF(AND(D768="当前已婚",G768&lt;参数与口径!$E$6),"存量兼容Lv1",IF(G768&gt;=等级配置!$C$103,"Lv100溢出","正常"))</x:f>
        <x:v>#NAME?</x:v>
      </x:c>
      <x:c r="K768" s="20" t="str">
        <x:f t="shared" si="11"/>
      </x:c>
    </x:row>
    <x:row r="769" ht="17">
      <x:c r="A769" s="58" t="s">
        <x:v>3389</x:v>
      </x:c>
      <x:c r="B769" s="58" t="s">
        <x:v>1764</x:v>
      </x:c>
      <x:c r="C769" s="58" t="s">
        <x:v>3390</x:v>
      </x:c>
      <x:c r="D769" s="58" t="s">
        <x:v>1295</x:v>
      </x:c>
      <x:c r="E769" s="18" t="s">
        <x:v>3391</x:v>
      </x:c>
      <x:c r="F769" s="18" t="s">
        <x:v>3392</x:v>
      </x:c>
      <x:c r="G769" s="126">
        <x:v>0</x:v>
      </x:c>
      <x:c r="H769" s="126" t="e">
        <x:f>IF(G769="","",IF(G769&lt;参数与口径!$E$6,1,MATCH(G769,等级配置!$C$4:$C$103,1)))</x:f>
        <x:v>#NAME?</x:v>
      </x:c>
      <x:c r="I769" s="58" t="e">
        <x:f>IF(H769="","",INDEX(等级配置!$B$4:$B$103,H769))</x:f>
        <x:v>#NAME?</x:v>
      </x:c>
      <x:c r="J769" s="58" t="e">
        <x:f>IF(AND(D769="当前已婚",G769&lt;参数与口径!$E$6),"存量兼容Lv1",IF(G769&gt;=等级配置!$C$103,"Lv100溢出","正常"))</x:f>
        <x:v>#NAME?</x:v>
      </x:c>
      <x:c r="K769" s="20" t="str">
        <x:f t="shared" si="11"/>
      </x:c>
    </x:row>
    <x:row r="770" ht="17">
      <x:c r="A770" s="58" t="s">
        <x:v>3393</x:v>
      </x:c>
      <x:c r="B770" s="58" t="s">
        <x:v>3394</x:v>
      </x:c>
      <x:c r="C770" s="58" t="s">
        <x:v>1847</x:v>
      </x:c>
      <x:c r="D770" s="58" t="s">
        <x:v>1295</x:v>
      </x:c>
      <x:c r="E770" s="18" t="s">
        <x:v>3395</x:v>
      </x:c>
      <x:c r="F770" s="18" t="s">
        <x:v>3396</x:v>
      </x:c>
      <x:c r="G770" s="126">
        <x:v>0</x:v>
      </x:c>
      <x:c r="H770" s="126" t="e">
        <x:f>IF(G770="","",IF(G770&lt;参数与口径!$E$6,1,MATCH(G770,等级配置!$C$4:$C$103,1)))</x:f>
        <x:v>#NAME?</x:v>
      </x:c>
      <x:c r="I770" s="58" t="e">
        <x:f>IF(H770="","",INDEX(等级配置!$B$4:$B$103,H770))</x:f>
        <x:v>#NAME?</x:v>
      </x:c>
      <x:c r="J770" s="58" t="e">
        <x:f>IF(AND(D770="当前已婚",G770&lt;参数与口径!$E$6),"存量兼容Lv1",IF(G770&gt;=等级配置!$C$103,"Lv100溢出","正常"))</x:f>
        <x:v>#NAME?</x:v>
      </x:c>
      <x:c r="K770" s="20" t="str">
        <x:f t="shared" ref="K770:K788" si="12">IF(AND(D770="当前已婚",F770&lt;&gt;""),"当前已婚但存在离婚日期",IF(AND(D770="当前已婚",G770=0),"当前CP亲密值为0",""))</x:f>
      </x:c>
    </x:row>
    <x:row r="771" ht="17">
      <x:c r="A771" s="58" t="s">
        <x:v>3397</x:v>
      </x:c>
      <x:c r="B771" s="58" t="s">
        <x:v>2215</x:v>
      </x:c>
      <x:c r="C771" s="58" t="s">
        <x:v>1241</x:v>
      </x:c>
      <x:c r="D771" s="58" t="s">
        <x:v>1295</x:v>
      </x:c>
      <x:c r="E771" s="18" t="s">
        <x:v>3398</x:v>
      </x:c>
      <x:c r="F771" s="18" t="s">
        <x:v>3399</x:v>
      </x:c>
      <x:c r="G771" s="126">
        <x:v>0</x:v>
      </x:c>
      <x:c r="H771" s="126" t="e">
        <x:f>IF(G771="","",IF(G771&lt;参数与口径!$E$6,1,MATCH(G771,等级配置!$C$4:$C$103,1)))</x:f>
        <x:v>#NAME?</x:v>
      </x:c>
      <x:c r="I771" s="58" t="e">
        <x:f>IF(H771="","",INDEX(等级配置!$B$4:$B$103,H771))</x:f>
        <x:v>#NAME?</x:v>
      </x:c>
      <x:c r="J771" s="58" t="e">
        <x:f>IF(AND(D771="当前已婚",G771&lt;参数与口径!$E$6),"存量兼容Lv1",IF(G771&gt;=等级配置!$C$103,"Lv100溢出","正常"))</x:f>
        <x:v>#NAME?</x:v>
      </x:c>
      <x:c r="K771" s="20" t="str">
        <x:f t="shared" si="12"/>
      </x:c>
    </x:row>
    <x:row r="772" ht="17">
      <x:c r="A772" s="58" t="s">
        <x:v>3400</x:v>
      </x:c>
      <x:c r="B772" s="58" t="s">
        <x:v>3401</x:v>
      </x:c>
      <x:c r="C772" s="58" t="s">
        <x:v>3402</x:v>
      </x:c>
      <x:c r="D772" s="58" t="s">
        <x:v>1295</x:v>
      </x:c>
      <x:c r="E772" s="18" t="s">
        <x:v>3403</x:v>
      </x:c>
      <x:c r="F772" s="18" t="s">
        <x:v>3404</x:v>
      </x:c>
      <x:c r="G772" s="126">
        <x:v>0</x:v>
      </x:c>
      <x:c r="H772" s="126" t="e">
        <x:f>IF(G772="","",IF(G772&lt;参数与口径!$E$6,1,MATCH(G772,等级配置!$C$4:$C$103,1)))</x:f>
        <x:v>#NAME?</x:v>
      </x:c>
      <x:c r="I772" s="58" t="e">
        <x:f>IF(H772="","",INDEX(等级配置!$B$4:$B$103,H772))</x:f>
        <x:v>#NAME?</x:v>
      </x:c>
      <x:c r="J772" s="58" t="e">
        <x:f>IF(AND(D772="当前已婚",G772&lt;参数与口径!$E$6),"存量兼容Lv1",IF(G772&gt;=等级配置!$C$103,"Lv100溢出","正常"))</x:f>
        <x:v>#NAME?</x:v>
      </x:c>
      <x:c r="K772" s="20" t="str">
        <x:f t="shared" si="12"/>
      </x:c>
    </x:row>
    <x:row r="773" ht="17">
      <x:c r="A773" s="58" t="s">
        <x:v>3405</x:v>
      </x:c>
      <x:c r="B773" s="58" t="s">
        <x:v>3406</x:v>
      </x:c>
      <x:c r="C773" s="58" t="s">
        <x:v>3407</x:v>
      </x:c>
      <x:c r="D773" s="58" t="s">
        <x:v>1295</x:v>
      </x:c>
      <x:c r="E773" s="18" t="s">
        <x:v>3408</x:v>
      </x:c>
      <x:c r="F773" s="18" t="s">
        <x:v>3409</x:v>
      </x:c>
      <x:c r="G773" s="126">
        <x:v>0</x:v>
      </x:c>
      <x:c r="H773" s="126" t="e">
        <x:f>IF(G773="","",IF(G773&lt;参数与口径!$E$6,1,MATCH(G773,等级配置!$C$4:$C$103,1)))</x:f>
        <x:v>#NAME?</x:v>
      </x:c>
      <x:c r="I773" s="58" t="e">
        <x:f>IF(H773="","",INDEX(等级配置!$B$4:$B$103,H773))</x:f>
        <x:v>#NAME?</x:v>
      </x:c>
      <x:c r="J773" s="58" t="e">
        <x:f>IF(AND(D773="当前已婚",G773&lt;参数与口径!$E$6),"存量兼容Lv1",IF(G773&gt;=等级配置!$C$103,"Lv100溢出","正常"))</x:f>
        <x:v>#NAME?</x:v>
      </x:c>
      <x:c r="K773" s="20" t="str">
        <x:f t="shared" si="12"/>
      </x:c>
    </x:row>
    <x:row r="774" ht="17">
      <x:c r="A774" s="58" t="s">
        <x:v>3410</x:v>
      </x:c>
      <x:c r="B774" s="58" t="s">
        <x:v>3411</x:v>
      </x:c>
      <x:c r="C774" s="58" t="s">
        <x:v>3360</x:v>
      </x:c>
      <x:c r="D774" s="58" t="s">
        <x:v>1295</x:v>
      </x:c>
      <x:c r="E774" s="18" t="s">
        <x:v>3412</x:v>
      </x:c>
      <x:c r="F774" s="18" t="s">
        <x:v>3413</x:v>
      </x:c>
      <x:c r="G774" s="126">
        <x:v>0</x:v>
      </x:c>
      <x:c r="H774" s="126" t="e">
        <x:f>IF(G774="","",IF(G774&lt;参数与口径!$E$6,1,MATCH(G774,等级配置!$C$4:$C$103,1)))</x:f>
        <x:v>#NAME?</x:v>
      </x:c>
      <x:c r="I774" s="58" t="e">
        <x:f>IF(H774="","",INDEX(等级配置!$B$4:$B$103,H774))</x:f>
        <x:v>#NAME?</x:v>
      </x:c>
      <x:c r="J774" s="58" t="e">
        <x:f>IF(AND(D774="当前已婚",G774&lt;参数与口径!$E$6),"存量兼容Lv1",IF(G774&gt;=等级配置!$C$103,"Lv100溢出","正常"))</x:f>
        <x:v>#NAME?</x:v>
      </x:c>
      <x:c r="K774" s="20" t="str">
        <x:f t="shared" si="12"/>
      </x:c>
    </x:row>
    <x:row r="775" ht="17">
      <x:c r="A775" s="58" t="s">
        <x:v>3414</x:v>
      </x:c>
      <x:c r="B775" s="58" t="s">
        <x:v>3415</x:v>
      </x:c>
      <x:c r="C775" s="58" t="s">
        <x:v>3416</x:v>
      </x:c>
      <x:c r="D775" s="58" t="s">
        <x:v>1295</x:v>
      </x:c>
      <x:c r="E775" s="18" t="s">
        <x:v>3417</x:v>
      </x:c>
      <x:c r="F775" s="18" t="s">
        <x:v>3418</x:v>
      </x:c>
      <x:c r="G775" s="126">
        <x:v>0</x:v>
      </x:c>
      <x:c r="H775" s="126" t="e">
        <x:f>IF(G775="","",IF(G775&lt;参数与口径!$E$6,1,MATCH(G775,等级配置!$C$4:$C$103,1)))</x:f>
        <x:v>#NAME?</x:v>
      </x:c>
      <x:c r="I775" s="58" t="e">
        <x:f>IF(H775="","",INDEX(等级配置!$B$4:$B$103,H775))</x:f>
        <x:v>#NAME?</x:v>
      </x:c>
      <x:c r="J775" s="58" t="e">
        <x:f>IF(AND(D775="当前已婚",G775&lt;参数与口径!$E$6),"存量兼容Lv1",IF(G775&gt;=等级配置!$C$103,"Lv100溢出","正常"))</x:f>
        <x:v>#NAME?</x:v>
      </x:c>
      <x:c r="K775" s="20" t="str">
        <x:f t="shared" si="12"/>
      </x:c>
    </x:row>
    <x:row r="776" ht="17">
      <x:c r="A776" s="58" t="s">
        <x:v>3419</x:v>
      </x:c>
      <x:c r="B776" s="58" t="s">
        <x:v>3420</x:v>
      </x:c>
      <x:c r="C776" s="58" t="s">
        <x:v>3421</x:v>
      </x:c>
      <x:c r="D776" s="58" t="s">
        <x:v>1295</x:v>
      </x:c>
      <x:c r="E776" s="18" t="s">
        <x:v>3422</x:v>
      </x:c>
      <x:c r="F776" s="18" t="s">
        <x:v>3423</x:v>
      </x:c>
      <x:c r="G776" s="126">
        <x:v>0</x:v>
      </x:c>
      <x:c r="H776" s="126" t="e">
        <x:f>IF(G776="","",IF(G776&lt;参数与口径!$E$6,1,MATCH(G776,等级配置!$C$4:$C$103,1)))</x:f>
        <x:v>#NAME?</x:v>
      </x:c>
      <x:c r="I776" s="58" t="e">
        <x:f>IF(H776="","",INDEX(等级配置!$B$4:$B$103,H776))</x:f>
        <x:v>#NAME?</x:v>
      </x:c>
      <x:c r="J776" s="58" t="e">
        <x:f>IF(AND(D776="当前已婚",G776&lt;参数与口径!$E$6),"存量兼容Lv1",IF(G776&gt;=等级配置!$C$103,"Lv100溢出","正常"))</x:f>
        <x:v>#NAME?</x:v>
      </x:c>
      <x:c r="K776" s="20" t="str">
        <x:f t="shared" si="12"/>
      </x:c>
    </x:row>
    <x:row r="777" ht="17">
      <x:c r="A777" s="58" t="s">
        <x:v>3424</x:v>
      </x:c>
      <x:c r="B777" s="58" t="s">
        <x:v>3425</x:v>
      </x:c>
      <x:c r="C777" s="58" t="s">
        <x:v>3426</x:v>
      </x:c>
      <x:c r="D777" s="58" t="s">
        <x:v>1295</x:v>
      </x:c>
      <x:c r="E777" s="18" t="s">
        <x:v>3427</x:v>
      </x:c>
      <x:c r="F777" s="18" t="s">
        <x:v>3428</x:v>
      </x:c>
      <x:c r="G777" s="126">
        <x:v>0</x:v>
      </x:c>
      <x:c r="H777" s="126" t="e">
        <x:f>IF(G777="","",IF(G777&lt;参数与口径!$E$6,1,MATCH(G777,等级配置!$C$4:$C$103,1)))</x:f>
        <x:v>#NAME?</x:v>
      </x:c>
      <x:c r="I777" s="58" t="e">
        <x:f>IF(H777="","",INDEX(等级配置!$B$4:$B$103,H777))</x:f>
        <x:v>#NAME?</x:v>
      </x:c>
      <x:c r="J777" s="58" t="e">
        <x:f>IF(AND(D777="当前已婚",G777&lt;参数与口径!$E$6),"存量兼容Lv1",IF(G777&gt;=等级配置!$C$103,"Lv100溢出","正常"))</x:f>
        <x:v>#NAME?</x:v>
      </x:c>
      <x:c r="K777" s="20" t="str">
        <x:f t="shared" si="12"/>
      </x:c>
    </x:row>
    <x:row r="778" ht="17">
      <x:c r="A778" s="58" t="s">
        <x:v>3429</x:v>
      </x:c>
      <x:c r="B778" s="58" t="s">
        <x:v>3430</x:v>
      </x:c>
      <x:c r="C778" s="58" t="s">
        <x:v>3431</x:v>
      </x:c>
      <x:c r="D778" s="58" t="s">
        <x:v>1295</x:v>
      </x:c>
      <x:c r="E778" s="18" t="s">
        <x:v>3432</x:v>
      </x:c>
      <x:c r="F778" s="18" t="s">
        <x:v>3433</x:v>
      </x:c>
      <x:c r="G778" s="126">
        <x:v>0</x:v>
      </x:c>
      <x:c r="H778" s="126" t="e">
        <x:f>IF(G778="","",IF(G778&lt;参数与口径!$E$6,1,MATCH(G778,等级配置!$C$4:$C$103,1)))</x:f>
        <x:v>#NAME?</x:v>
      </x:c>
      <x:c r="I778" s="58" t="e">
        <x:f>IF(H778="","",INDEX(等级配置!$B$4:$B$103,H778))</x:f>
        <x:v>#NAME?</x:v>
      </x:c>
      <x:c r="J778" s="58" t="e">
        <x:f>IF(AND(D778="当前已婚",G778&lt;参数与口径!$E$6),"存量兼容Lv1",IF(G778&gt;=等级配置!$C$103,"Lv100溢出","正常"))</x:f>
        <x:v>#NAME?</x:v>
      </x:c>
      <x:c r="K778" s="20" t="str">
        <x:f t="shared" si="12"/>
      </x:c>
    </x:row>
    <x:row r="779" ht="17">
      <x:c r="A779" s="58" t="s">
        <x:v>3434</x:v>
      </x:c>
      <x:c r="B779" s="58" t="s">
        <x:v>3435</x:v>
      </x:c>
      <x:c r="C779" s="58" t="s">
        <x:v>3436</x:v>
      </x:c>
      <x:c r="D779" s="58" t="s">
        <x:v>1295</x:v>
      </x:c>
      <x:c r="E779" s="18" t="s">
        <x:v>3437</x:v>
      </x:c>
      <x:c r="F779" s="18" t="s">
        <x:v>3438</x:v>
      </x:c>
      <x:c r="G779" s="126">
        <x:v>0</x:v>
      </x:c>
      <x:c r="H779" s="126" t="e">
        <x:f>IF(G779="","",IF(G779&lt;参数与口径!$E$6,1,MATCH(G779,等级配置!$C$4:$C$103,1)))</x:f>
        <x:v>#NAME?</x:v>
      </x:c>
      <x:c r="I779" s="58" t="e">
        <x:f>IF(H779="","",INDEX(等级配置!$B$4:$B$103,H779))</x:f>
        <x:v>#NAME?</x:v>
      </x:c>
      <x:c r="J779" s="58" t="e">
        <x:f>IF(AND(D779="当前已婚",G779&lt;参数与口径!$E$6),"存量兼容Lv1",IF(G779&gt;=等级配置!$C$103,"Lv100溢出","正常"))</x:f>
        <x:v>#NAME?</x:v>
      </x:c>
      <x:c r="K779" s="20" t="str">
        <x:f t="shared" si="12"/>
      </x:c>
    </x:row>
    <x:row r="780" ht="17">
      <x:c r="A780" s="58" t="s">
        <x:v>3439</x:v>
      </x:c>
      <x:c r="B780" s="58" t="s">
        <x:v>3440</x:v>
      </x:c>
      <x:c r="C780" s="58" t="s">
        <x:v>1257</x:v>
      </x:c>
      <x:c r="D780" s="58" t="s">
        <x:v>1295</x:v>
      </x:c>
      <x:c r="E780" s="18" t="s">
        <x:v>3441</x:v>
      </x:c>
      <x:c r="F780" s="18" t="s">
        <x:v>3442</x:v>
      </x:c>
      <x:c r="G780" s="126">
        <x:v>0</x:v>
      </x:c>
      <x:c r="H780" s="126" t="e">
        <x:f>IF(G780="","",IF(G780&lt;参数与口径!$E$6,1,MATCH(G780,等级配置!$C$4:$C$103,1)))</x:f>
        <x:v>#NAME?</x:v>
      </x:c>
      <x:c r="I780" s="58" t="e">
        <x:f>IF(H780="","",INDEX(等级配置!$B$4:$B$103,H780))</x:f>
        <x:v>#NAME?</x:v>
      </x:c>
      <x:c r="J780" s="58" t="e">
        <x:f>IF(AND(D780="当前已婚",G780&lt;参数与口径!$E$6),"存量兼容Lv1",IF(G780&gt;=等级配置!$C$103,"Lv100溢出","正常"))</x:f>
        <x:v>#NAME?</x:v>
      </x:c>
      <x:c r="K780" s="20" t="str">
        <x:f t="shared" si="12"/>
      </x:c>
    </x:row>
    <x:row r="781" ht="17">
      <x:c r="A781" s="58" t="s">
        <x:v>3443</x:v>
      </x:c>
      <x:c r="B781" s="58" t="s">
        <x:v>3444</x:v>
      </x:c>
      <x:c r="C781" s="58" t="s">
        <x:v>3445</x:v>
      </x:c>
      <x:c r="D781" s="58" t="s">
        <x:v>1295</x:v>
      </x:c>
      <x:c r="E781" s="18" t="s">
        <x:v>3446</x:v>
      </x:c>
      <x:c r="F781" s="18" t="s">
        <x:v>3447</x:v>
      </x:c>
      <x:c r="G781" s="126">
        <x:v>0</x:v>
      </x:c>
      <x:c r="H781" s="126" t="e">
        <x:f>IF(G781="","",IF(G781&lt;参数与口径!$E$6,1,MATCH(G781,等级配置!$C$4:$C$103,1)))</x:f>
        <x:v>#NAME?</x:v>
      </x:c>
      <x:c r="I781" s="58" t="e">
        <x:f>IF(H781="","",INDEX(等级配置!$B$4:$B$103,H781))</x:f>
        <x:v>#NAME?</x:v>
      </x:c>
      <x:c r="J781" s="58" t="e">
        <x:f>IF(AND(D781="当前已婚",G781&lt;参数与口径!$E$6),"存量兼容Lv1",IF(G781&gt;=等级配置!$C$103,"Lv100溢出","正常"))</x:f>
        <x:v>#NAME?</x:v>
      </x:c>
      <x:c r="K781" s="20" t="str">
        <x:f t="shared" si="12"/>
      </x:c>
    </x:row>
    <x:row r="782" ht="17">
      <x:c r="A782" s="58" t="s">
        <x:v>3448</x:v>
      </x:c>
      <x:c r="B782" s="58" t="s">
        <x:v>3449</x:v>
      </x:c>
      <x:c r="C782" s="58" t="s">
        <x:v>3450</x:v>
      </x:c>
      <x:c r="D782" s="58" t="s">
        <x:v>1295</x:v>
      </x:c>
      <x:c r="E782" s="18" t="s">
        <x:v>3451</x:v>
      </x:c>
      <x:c r="F782" s="18" t="s">
        <x:v>3452</x:v>
      </x:c>
      <x:c r="G782" s="126">
        <x:v>0</x:v>
      </x:c>
      <x:c r="H782" s="126" t="e">
        <x:f>IF(G782="","",IF(G782&lt;参数与口径!$E$6,1,MATCH(G782,等级配置!$C$4:$C$103,1)))</x:f>
        <x:v>#NAME?</x:v>
      </x:c>
      <x:c r="I782" s="58" t="e">
        <x:f>IF(H782="","",INDEX(等级配置!$B$4:$B$103,H782))</x:f>
        <x:v>#NAME?</x:v>
      </x:c>
      <x:c r="J782" s="58" t="e">
        <x:f>IF(AND(D782="当前已婚",G782&lt;参数与口径!$E$6),"存量兼容Lv1",IF(G782&gt;=等级配置!$C$103,"Lv100溢出","正常"))</x:f>
        <x:v>#NAME?</x:v>
      </x:c>
      <x:c r="K782" s="20" t="str">
        <x:f t="shared" si="12"/>
      </x:c>
    </x:row>
    <x:row r="783" ht="17">
      <x:c r="A783" s="58" t="s">
        <x:v>3453</x:v>
      </x:c>
      <x:c r="B783" s="58" t="s">
        <x:v>3454</x:v>
      </x:c>
      <x:c r="C783" s="58" t="s">
        <x:v>3455</x:v>
      </x:c>
      <x:c r="D783" s="58" t="s">
        <x:v>1295</x:v>
      </x:c>
      <x:c r="E783" s="18" t="s">
        <x:v>3456</x:v>
      </x:c>
      <x:c r="F783" s="18" t="s">
        <x:v>3457</x:v>
      </x:c>
      <x:c r="G783" s="126">
        <x:v>0</x:v>
      </x:c>
      <x:c r="H783" s="126" t="e">
        <x:f>IF(G783="","",IF(G783&lt;参数与口径!$E$6,1,MATCH(G783,等级配置!$C$4:$C$103,1)))</x:f>
        <x:v>#NAME?</x:v>
      </x:c>
      <x:c r="I783" s="58" t="e">
        <x:f>IF(H783="","",INDEX(等级配置!$B$4:$B$103,H783))</x:f>
        <x:v>#NAME?</x:v>
      </x:c>
      <x:c r="J783" s="58" t="e">
        <x:f>IF(AND(D783="当前已婚",G783&lt;参数与口径!$E$6),"存量兼容Lv1",IF(G783&gt;=等级配置!$C$103,"Lv100溢出","正常"))</x:f>
        <x:v>#NAME?</x:v>
      </x:c>
      <x:c r="K783" s="20" t="str">
        <x:f t="shared" si="12"/>
      </x:c>
    </x:row>
    <x:row r="784" ht="17">
      <x:c r="A784" s="58" t="s">
        <x:v>3458</x:v>
      </x:c>
      <x:c r="B784" s="58" t="s">
        <x:v>3459</x:v>
      </x:c>
      <x:c r="C784" s="58" t="s">
        <x:v>3460</x:v>
      </x:c>
      <x:c r="D784" s="58" t="s">
        <x:v>1295</x:v>
      </x:c>
      <x:c r="E784" s="18" t="s">
        <x:v>3461</x:v>
      </x:c>
      <x:c r="F784" s="18" t="s">
        <x:v>3462</x:v>
      </x:c>
      <x:c r="G784" s="126">
        <x:v>0</x:v>
      </x:c>
      <x:c r="H784" s="126" t="e">
        <x:f>IF(G784="","",IF(G784&lt;参数与口径!$E$6,1,MATCH(G784,等级配置!$C$4:$C$103,1)))</x:f>
        <x:v>#NAME?</x:v>
      </x:c>
      <x:c r="I784" s="58" t="e">
        <x:f>IF(H784="","",INDEX(等级配置!$B$4:$B$103,H784))</x:f>
        <x:v>#NAME?</x:v>
      </x:c>
      <x:c r="J784" s="58" t="e">
        <x:f>IF(AND(D784="当前已婚",G784&lt;参数与口径!$E$6),"存量兼容Lv1",IF(G784&gt;=等级配置!$C$103,"Lv100溢出","正常"))</x:f>
        <x:v>#NAME?</x:v>
      </x:c>
      <x:c r="K784" s="20" t="str">
        <x:f t="shared" si="12"/>
      </x:c>
    </x:row>
    <x:row r="785" ht="17">
      <x:c r="A785" s="58" t="s">
        <x:v>3463</x:v>
      </x:c>
      <x:c r="B785" s="58" t="s">
        <x:v>3464</x:v>
      </x:c>
      <x:c r="C785" s="58" t="s">
        <x:v>1807</x:v>
      </x:c>
      <x:c r="D785" s="58" t="s">
        <x:v>1295</x:v>
      </x:c>
      <x:c r="E785" s="18" t="s">
        <x:v>3465</x:v>
      </x:c>
      <x:c r="F785" s="18" t="s">
        <x:v>3466</x:v>
      </x:c>
      <x:c r="G785" s="126">
        <x:v>0</x:v>
      </x:c>
      <x:c r="H785" s="126" t="e">
        <x:f>IF(G785="","",IF(G785&lt;参数与口径!$E$6,1,MATCH(G785,等级配置!$C$4:$C$103,1)))</x:f>
        <x:v>#NAME?</x:v>
      </x:c>
      <x:c r="I785" s="58" t="e">
        <x:f>IF(H785="","",INDEX(等级配置!$B$4:$B$103,H785))</x:f>
        <x:v>#NAME?</x:v>
      </x:c>
      <x:c r="J785" s="58" t="e">
        <x:f>IF(AND(D785="当前已婚",G785&lt;参数与口径!$E$6),"存量兼容Lv1",IF(G785&gt;=等级配置!$C$103,"Lv100溢出","正常"))</x:f>
        <x:v>#NAME?</x:v>
      </x:c>
      <x:c r="K785" s="20" t="str">
        <x:f t="shared" si="12"/>
      </x:c>
    </x:row>
    <x:row r="786" ht="17">
      <x:c r="A786" s="58" t="s">
        <x:v>3467</x:v>
      </x:c>
      <x:c r="B786" s="58" t="s">
        <x:v>3468</x:v>
      </x:c>
      <x:c r="C786" s="58" t="s">
        <x:v>3469</x:v>
      </x:c>
      <x:c r="D786" s="58" t="s">
        <x:v>1295</x:v>
      </x:c>
      <x:c r="E786" s="18" t="s">
        <x:v>3470</x:v>
      </x:c>
      <x:c r="F786" s="18" t="s">
        <x:v>3471</x:v>
      </x:c>
      <x:c r="G786" s="126">
        <x:v>0</x:v>
      </x:c>
      <x:c r="H786" s="126" t="e">
        <x:f>IF(G786="","",IF(G786&lt;参数与口径!$E$6,1,MATCH(G786,等级配置!$C$4:$C$103,1)))</x:f>
        <x:v>#NAME?</x:v>
      </x:c>
      <x:c r="I786" s="58" t="e">
        <x:f>IF(H786="","",INDEX(等级配置!$B$4:$B$103,H786))</x:f>
        <x:v>#NAME?</x:v>
      </x:c>
      <x:c r="J786" s="58" t="e">
        <x:f>IF(AND(D786="当前已婚",G786&lt;参数与口径!$E$6),"存量兼容Lv1",IF(G786&gt;=等级配置!$C$103,"Lv100溢出","正常"))</x:f>
        <x:v>#NAME?</x:v>
      </x:c>
      <x:c r="K786" s="20" t="str">
        <x:f t="shared" si="12"/>
      </x:c>
    </x:row>
    <x:row r="787" ht="17">
      <x:c r="A787" s="58" t="s">
        <x:v>3472</x:v>
      </x:c>
      <x:c r="B787" s="58" t="s">
        <x:v>3473</x:v>
      </x:c>
      <x:c r="C787" s="58" t="s">
        <x:v>3474</x:v>
      </x:c>
      <x:c r="D787" s="58" t="s">
        <x:v>1295</x:v>
      </x:c>
      <x:c r="E787" s="18" t="s">
        <x:v>3475</x:v>
      </x:c>
      <x:c r="F787" s="18" t="s">
        <x:v>3476</x:v>
      </x:c>
      <x:c r="G787" s="126">
        <x:v>0</x:v>
      </x:c>
      <x:c r="H787" s="126" t="e">
        <x:f>IF(G787="","",IF(G787&lt;参数与口径!$E$6,1,MATCH(G787,等级配置!$C$4:$C$103,1)))</x:f>
        <x:v>#NAME?</x:v>
      </x:c>
      <x:c r="I787" s="58" t="e">
        <x:f>IF(H787="","",INDEX(等级配置!$B$4:$B$103,H787))</x:f>
        <x:v>#NAME?</x:v>
      </x:c>
      <x:c r="J787" s="58" t="e">
        <x:f>IF(AND(D787="当前已婚",G787&lt;参数与口径!$E$6),"存量兼容Lv1",IF(G787&gt;=等级配置!$C$103,"Lv100溢出","正常"))</x:f>
        <x:v>#NAME?</x:v>
      </x:c>
      <x:c r="K787" s="20" t="str">
        <x:f t="shared" si="12"/>
      </x:c>
    </x:row>
    <x:row r="788" ht="17">
      <x:c r="A788" s="59" t="s">
        <x:v>3477</x:v>
      </x:c>
      <x:c r="B788" s="59" t="s">
        <x:v>3478</x:v>
      </x:c>
      <x:c r="C788" s="59" t="s">
        <x:v>3479</x:v>
      </x:c>
      <x:c r="D788" s="59" t="s">
        <x:v>1295</x:v>
      </x:c>
      <x:c r="E788" s="21" t="s">
        <x:v>3480</x:v>
      </x:c>
      <x:c r="F788" s="21" t="s">
        <x:v>3481</x:v>
      </x:c>
      <x:c r="G788" s="127">
        <x:v>0</x:v>
      </x:c>
      <x:c r="H788" s="127" t="e">
        <x:f>IF(G788="","",IF(G788&lt;参数与口径!$E$6,1,MATCH(G788,等级配置!$C$4:$C$103,1)))</x:f>
        <x:v>#NAME?</x:v>
      </x:c>
      <x:c r="I788" s="59" t="e">
        <x:f>IF(H788="","",INDEX(等级配置!$B$4:$B$103,H788))</x:f>
        <x:v>#NAME?</x:v>
      </x:c>
      <x:c r="J788" s="59" t="e">
        <x:f>IF(AND(D788="当前已婚",G788&lt;参数与口径!$E$6),"存量兼容Lv1",IF(G788&gt;=等级配置!$C$103,"Lv100溢出","正常"))</x:f>
        <x:v>#NAME?</x:v>
      </x:c>
      <x:c r="K788" s="22" t="str">
        <x:f t="shared" si="12"/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5" customWidth="1"/>
    <x:col min="2" max="2" width="18" customWidth="1"/>
    <x:col min="3" max="3" width="3" customWidth="1"/>
    <x:col min="4" max="4" width="24" customWidth="1"/>
    <x:col min="5" max="5" width="22" customWidth="1"/>
    <x:col min="6" max="6" width="15" customWidth="1"/>
    <x:col min="7" max="7" width="19" customWidth="1"/>
    <x:col min="8" max="8" width="47" customWidth="1"/>
  </x:cols>
  <x:sheetData>
    <x:row r="1" ht="29" customHeight="1">
      <x:c r="A1" s="1" t="str">
        <x:v>CP等级、关系礼物与任务参数｜Lv100 / 每20级一阶段 v3.7</x:v>
      </x:c>
      <x:c r="B1" s="1"/>
      <x:c r="C1" s="1"/>
      <x:c r="D1" s="1"/>
      <x:c r="E1" s="1"/>
      <x:c r="F1" s="1"/>
      <x:c r="G1" s="1"/>
      <x:c r="H1" s="1"/>
    </x:row>
    <x:row r="2" ht="38" customHeight="1">
      <x:c r="A2" s="2" t="str">
        <x:v>CP建立门槛、等级曲线和任务配置保持不变。本版调整BOND与前两档CP礼物的价格和固定亲密值；CP礼物仍按Lv1/Lv10/Lv20解锁。</x:v>
      </x:c>
      <x:c r="B2" s="2"/>
      <x:c r="C2" s="2"/>
      <x:c r="D2" s="2"/>
      <x:c r="E2" s="2"/>
      <x:c r="F2" s="2"/>
      <x:c r="G2" s="2"/>
      <x:c r="H2" s="2"/>
    </x:row>
    <x:row r="4" ht="28" customHeight="1">
      <x:c r="A4" s="46" t="s">
        <x:v>3482</x:v>
      </x:c>
      <x:c r="B4" s="46" t="s">
        <x:v>3483</x:v>
      </x:c>
      <x:c r="D4" s="3" t="s">
        <x:v>3484</x:v>
      </x:c>
      <x:c r="E4" s="3" t="s">
        <x:v>3485</x:v>
      </x:c>
      <x:c r="F4" s="3" t="s">
        <x:v>3486</x:v>
      </x:c>
      <x:c r="G4" s="3" t="s">
        <x:v>3487</x:v>
      </x:c>
      <x:c r="H4" s="3" t="s">
        <x:v>3488</x:v>
      </x:c>
    </x:row>
    <x:row r="5" ht="25" customHeight="1">
      <x:c r="A5" s="134" t="s">
        <x:v>3489</x:v>
      </x:c>
      <x:c r="B5" s="16" t="e">
        <x:f>COUNTA(当前CP样本!$A$4:$A$315)</x:f>
        <x:v>#NAME?</x:v>
      </x:c>
      <x:c r="D5" s="134" t="s">
        <x:v>3490</x:v>
      </x:c>
      <x:c r="E5" s="15" t="s">
        <x:v>3491</x:v>
      </x:c>
      <x:c r="F5" s="15" t="s">
        <x:v>3492</x:v>
      </x:c>
      <x:c r="G5" s="15" t="s">
        <x:v>3493</x:v>
      </x:c>
      <x:c r="H5" s="17" t="s">
        <x:v>3494</x:v>
      </x:c>
    </x:row>
    <x:row r="6" ht="25" customHeight="1">
      <x:c r="A6" s="135" t="s">
        <x:v>3495</x:v>
      </x:c>
      <x:c r="B6" s="19" t="e">
        <x:f>787-B5</x:f>
        <x:v>#NAME?</x:v>
      </x:c>
      <x:c r="D6" s="135" t="s">
        <x:v>3496</x:v>
      </x:c>
      <x:c r="E6" s="19">
        <x:v>2000</x:v>
      </x:c>
      <x:c r="F6" s="18" t="s">
        <x:v>3497</x:v>
      </x:c>
      <x:c r="G6" s="18" t="s">
        <x:v>3498</x:v>
      </x:c>
      <x:c r="H6" s="20" t="s">
        <x:v>3499</x:v>
      </x:c>
    </x:row>
    <x:row r="7" ht="25" customHeight="1">
      <x:c r="A7" s="135" t="s">
        <x:v>3500</x:v>
      </x:c>
      <x:c r="B7" s="19" t="e">
        <x:f>COUNTIF(当前CP样本!$E$4:$E$315,"&lt;"&amp;$E$6)</x:f>
        <x:v>#NAME?</x:v>
      </x:c>
      <x:c r="D7" s="135" t="s">
        <x:v>3501</x:v>
      </x:c>
      <x:c r="E7" s="19" t="e">
        <x:f>平台曲线参考!E83</x:f>
        <x:v>#NAME?</x:v>
      </x:c>
      <x:c r="F7" s="18" t="s">
        <x:v>3502</x:v>
      </x:c>
      <x:c r="G7" s="18" t="s">
        <x:v>3503</x:v>
      </x:c>
      <x:c r="H7" s="20" t="s">
        <x:v>3504</x:v>
      </x:c>
    </x:row>
    <x:row r="8" ht="25" customHeight="1">
      <x:c r="A8" s="135" t="s">
        <x:v>3505</x:v>
      </x:c>
      <x:c r="B8" s="19" t="e">
        <x:f>COUNTIF(当前CP样本!$E$4:$E$315,0)</x:f>
        <x:v>#NAME?</x:v>
      </x:c>
      <x:c r="D8" s="135" t="s">
        <x:v>3506</x:v>
      </x:c>
      <x:c r="E8" s="136">
        <x:v>20000000</x:v>
      </x:c>
      <x:c r="F8" s="18" t="s">
        <x:v>3497</x:v>
      </x:c>
      <x:c r="G8" s="18" t="s">
        <x:v>3507</x:v>
      </x:c>
      <x:c r="H8" s="20" t="s">
        <x:v>3508</x:v>
      </x:c>
    </x:row>
    <x:row r="9" ht="25" customHeight="1">
      <x:c r="A9" s="135" t="s">
        <x:v>3509</x:v>
      </x:c>
      <x:c r="B9" s="19" t="e">
        <x:f>COUNTIF(当前CP样本!$D$4:$D$315,"&lt;&gt;")</x:f>
        <x:v>#NAME?</x:v>
      </x:c>
      <x:c r="D9" s="135" t="s">
        <x:v>3510</x:v>
      </x:c>
      <x:c r="E9" s="137" t="e">
        <x:f>(E8-E16)/E7</x:f>
        <x:v>#NAME?</x:v>
      </x:c>
      <x:c r="F9" s="18" t="s">
        <x:v>3511</x:v>
      </x:c>
      <x:c r="G9" s="18" t="s">
        <x:v>3512</x:v>
      </x:c>
      <x:c r="H9" s="20" t="s">
        <x:v>3513</x:v>
      </x:c>
    </x:row>
    <x:row r="10" ht="25" customHeight="1">
      <x:c r="A10" s="135" t="s">
        <x:v>3514</x:v>
      </x:c>
      <x:c r="B10" s="19" t="e">
        <x:f>_xlfn.PERCENTILE.INC(当前CP样本!$E$4:$E$315,0.5)</x:f>
        <x:v>#NAME?</x:v>
      </x:c>
      <x:c r="D10" s="135" t="s">
        <x:v>3515</x:v>
      </x:c>
      <x:c r="E10" s="136">
        <x:v>100</x:v>
      </x:c>
      <x:c r="F10" s="18" t="s">
        <x:v>3497</x:v>
      </x:c>
      <x:c r="G10" s="18" t="s">
        <x:v>3507</x:v>
      </x:c>
      <x:c r="H10" s="20" t="s">
        <x:v>3516</x:v>
      </x:c>
    </x:row>
    <x:row r="11" ht="25" customHeight="1">
      <x:c r="A11" s="135" t="s">
        <x:v>3517</x:v>
      </x:c>
      <x:c r="B11" s="19" t="e">
        <x:f>_xlfn.PERCENTILE.INC(当前CP样本!$E$4:$E$315,0.9)</x:f>
        <x:v>#NAME?</x:v>
      </x:c>
      <x:c r="D11" s="135" t="s">
        <x:v>3518</x:v>
      </x:c>
      <x:c r="E11" s="136">
        <x:v>1000</x:v>
      </x:c>
      <x:c r="F11" s="18" t="s">
        <x:v>3497</x:v>
      </x:c>
      <x:c r="G11" s="18" t="s">
        <x:v>3507</x:v>
      </x:c>
      <x:c r="H11" s="20" t="s">
        <x:v>3519</x:v>
      </x:c>
    </x:row>
    <x:row r="12" ht="25" customHeight="1">
      <x:c r="A12" s="135" t="s">
        <x:v>3520</x:v>
      </x:c>
      <x:c r="B12" s="19" t="e">
        <x:f>_xlfn.PERCENTILE.INC(当前CP样本!$E$4:$E$315,0.99)</x:f>
        <x:v>#NAME?</x:v>
      </x:c>
      <x:c r="D12" s="135" t="s">
        <x:v>3521</x:v>
      </x:c>
      <x:c r="E12" s="136">
        <x:v>10000</x:v>
      </x:c>
      <x:c r="F12" s="18" t="s">
        <x:v>3497</x:v>
      </x:c>
      <x:c r="G12" s="18" t="s">
        <x:v>3507</x:v>
      </x:c>
      <x:c r="H12" s="20" t="s">
        <x:v>3522</x:v>
      </x:c>
    </x:row>
    <x:row r="13" ht="25" customHeight="1">
      <x:c r="A13" s="138" t="s">
        <x:v>3523</x:v>
      </x:c>
      <x:c r="B13" s="42" t="e">
        <x:f>MAX(当前CP样本!$E$4:$E$315)</x:f>
        <x:v>#NAME?</x:v>
      </x:c>
      <x:c r="D13" s="135" t="s">
        <x:v>3524</x:v>
      </x:c>
      <x:c r="E13" s="19" t="e">
        <x:f>MAX(当前CP样本!$F$4:$F$315)</x:f>
        <x:v>#NAME?</x:v>
      </x:c>
      <x:c r="F13" s="18" t="s">
        <x:v>3525</x:v>
      </x:c>
      <x:c r="G13" s="18" t="s">
        <x:v>3526</x:v>
      </x:c>
      <x:c r="H13" s="20" t="s">
        <x:v>3527</x:v>
      </x:c>
    </x:row>
    <x:row r="14" ht="25" customHeight="1">
      <x:c r="D14" s="135" t="s">
        <x:v>3528</x:v>
      </x:c>
      <x:c r="E14" s="19" t="e">
        <x:f>等级配置!C84</x:f>
        <x:v>#NAME?</x:v>
      </x:c>
      <x:c r="F14" s="18" t="s">
        <x:v>3497</x:v>
      </x:c>
      <x:c r="G14" s="18" t="s">
        <x:v>3512</x:v>
      </x:c>
      <x:c r="H14" s="20" t="s">
        <x:v>3529</x:v>
      </x:c>
    </x:row>
    <x:row r="15" ht="25" customHeight="1">
      <x:c r="D15" s="138" t="s">
        <x:v>3530</x:v>
      </x:c>
      <x:c r="E15" s="42" t="e">
        <x:f>E14-B13</x:f>
        <x:v>#NAME?</x:v>
      </x:c>
      <x:c r="F15" s="21" t="s">
        <x:v>3497</x:v>
      </x:c>
      <x:c r="G15" s="21" t="s">
        <x:v>3512</x:v>
      </x:c>
      <x:c r="H15" s="22" t="s">
        <x:v>3531</x:v>
      </x:c>
    </x:row>
    <x:row r="16" ht="28" customHeight="1">
      <x:c r="D16" s="139" t="s">
        <x:v>3532</x:v>
      </x:c>
      <x:c r="E16" s="140">
        <x:v>3500</x:v>
      </x:c>
      <x:c r="F16" s="141" t="s">
        <x:v>3497</x:v>
      </x:c>
      <x:c r="G16" s="141" t="s">
        <x:v>3493</x:v>
      </x:c>
      <x:c r="H16" s="142" t="s">
        <x:v>3533</x:v>
      </x:c>
    </x:row>
    <x:row r="17" ht="25" customHeight="1">
      <x:c r="D17" s="14" t="s">
        <x:v>3534</x:v>
      </x:c>
      <x:c r="E17" s="14" t="s">
        <x:v>3535</x:v>
      </x:c>
      <x:c r="F17" s="14" t="s">
        <x:v>3536</x:v>
      </x:c>
      <x:c r="G17" s="14" t="s">
        <x:v>3537</x:v>
      </x:c>
      <x:c r="H17" s="14" t="s">
        <x:v>3538</x:v>
      </x:c>
    </x:row>
    <x:row r="18" ht="25" customHeight="1">
      <x:c r="D18" s="134" t="s">
        <x:v>3539</x:v>
      </x:c>
      <x:c r="E18" s="17" t="s">
        <x:v>3540</x:v>
      </x:c>
      <x:c r="F18" s="143">
        <x:v>1</x:v>
      </x:c>
      <x:c r="G18" s="17" t="s">
        <x:v>3541</x:v>
      </x:c>
      <x:c r="H18" s="17" t="s">
        <x:v>3542</x:v>
      </x:c>
    </x:row>
    <x:row r="19" ht="25" customHeight="1">
      <x:c r="D19" s="135" t="s">
        <x:v>3543</x:v>
      </x:c>
      <x:c r="E19" s="20" t="s">
        <x:v>3544</x:v>
      </x:c>
      <x:c r="F19" s="144">
        <x:v>21</x:v>
      </x:c>
      <x:c r="G19" s="20" t="s">
        <x:v>3545</x:v>
      </x:c>
      <x:c r="H19" s="20" t="s">
        <x:v>3546</x:v>
      </x:c>
    </x:row>
    <x:row r="20" ht="25" customHeight="1">
      <x:c r="D20" s="135" t="s">
        <x:v>3547</x:v>
      </x:c>
      <x:c r="E20" s="20" t="s">
        <x:v>3548</x:v>
      </x:c>
      <x:c r="F20" s="144">
        <x:v>41</x:v>
      </x:c>
      <x:c r="G20" s="20" t="s">
        <x:v>3549</x:v>
      </x:c>
      <x:c r="H20" s="20" t="s">
        <x:v>3550</x:v>
      </x:c>
    </x:row>
    <x:row r="21" ht="25" customHeight="1">
      <x:c r="D21" s="135" t="s">
        <x:v>3551</x:v>
      </x:c>
      <x:c r="E21" s="20" t="s">
        <x:v>3552</x:v>
      </x:c>
      <x:c r="F21" s="144">
        <x:v>61</x:v>
      </x:c>
      <x:c r="G21" s="20" t="s">
        <x:v>3553</x:v>
      </x:c>
      <x:c r="H21" s="20" t="s">
        <x:v>3554</x:v>
      </x:c>
    </x:row>
    <x:row r="22" ht="25" customHeight="1">
      <x:c r="D22" s="138" t="s">
        <x:v>3555</x:v>
      </x:c>
      <x:c r="E22" s="22" t="s">
        <x:v>3556</x:v>
      </x:c>
      <x:c r="F22" s="145">
        <x:v>81</x:v>
      </x:c>
      <x:c r="G22" s="22" t="s">
        <x:v>3557</x:v>
      </x:c>
      <x:c r="H22" s="22" t="s">
        <x:v>3558</x:v>
      </x:c>
    </x:row>
  </x:sheetData>
  <x:mergeCells>
    <x:mergeCell ref="A1:H1"/>
    <x:mergeCell ref="A2:H2"/>
  </x:mergeCells>
  <x:dataValidations count="3">
    <x:dataValidation type="whole" operator="between" sqref="E8">
      <x:formula1>16000000</x:formula1>
      <x:formula2>100000000</x:formula2>
    </x:dataValidation>
    <x:dataValidation type="whole" operator="between" sqref="E12">
      <x:formula1>1</x:formula1>
      <x:formula2>1000000</x:formula2>
    </x:dataValidation>
    <x:dataValidation type="whole" operator="between" sqref="E9:E11">
      <x:formula1>1</x:formula1>
      <x:formula2>100000</x:formula2>
    </x:dataValidation>
  </x:dataValidations>
  <x:pageMargins left="0.7" right="0.7" top="0.75" bottom="0.75" header="0.3" footer="0.3"/>
  <x:legacyDrawing xmlns:r="http://schemas.openxmlformats.org/officeDocument/2006/relationships" r:id="Rc5c15a54a6f947c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0" customWidth="1"/>
    <x:col min="2" max="2" width="15" customWidth="1"/>
    <x:col min="3" max="4" width="21" customWidth="1"/>
    <x:col min="5" max="5" width="22" customWidth="1"/>
    <x:col min="6" max="9" width="17" customWidth="1"/>
    <x:col min="10" max="10" width="43" customWidth="1"/>
  </x:cols>
  <x:sheetData>
    <x:row r="1" ht="29" customHeight="1">
      <x:c r="A1" s="1" t="s">
        <x:v>3559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8" customHeight="1">
      <x:c r="A2" s="2" t="s">
        <x:v>3560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56" t="s">
        <x:v>3561</x:v>
      </x:c>
      <x:c r="B3" s="56" t="s">
        <x:v>8</x:v>
      </x:c>
      <x:c r="C3" s="56" t="s">
        <x:v>3562</x:v>
      </x:c>
      <x:c r="D3" s="56" t="s">
        <x:v>3563</x:v>
      </x:c>
      <x:c r="E3" s="56" t="s">
        <x:v>3564</x:v>
      </x:c>
      <x:c r="F3" s="56" t="s">
        <x:v>3489</x:v>
      </x:c>
      <x:c r="G3" s="56" t="s">
        <x:v>3565</x:v>
      </x:c>
      <x:c r="H3" s="56" t="s">
        <x:v>3566</x:v>
      </x:c>
      <x:c r="I3" s="56" t="s">
        <x:v>3567</x:v>
      </x:c>
      <x:c r="J3" s="56" t="s">
        <x:v>3568</x:v>
      </x:c>
    </x:row>
    <x:row r="4" ht="22" customHeight="1">
      <x:c r="A4" s="57">
        <x:v>1</x:v>
      </x:c>
      <x:c r="B4" s="57" t="s">
        <x:v>3539</x:v>
      </x:c>
      <x:c r="C4" s="128" t="e">
        <x:f>平台曲线参考!K4</x:f>
        <x:v>#NAME?</x:v>
      </x:c>
      <x:c r="D4" s="128" t="e">
        <x:f t="shared" ref="D4:D67" si="0">IF(A4=1,C4,C4-C3)</x:f>
        <x:v>#NAME?</x:v>
      </x:c>
      <x:c r="E4" s="129" t="n">
        <x:f>0</x:f>
        <x:v>0</x:v>
      </x:c>
      <x:c r="F4" s="128" t="e">
        <x:f>COUNTIF(当前CP样本!$F$4:$F$315,A4)</x:f>
        <x:v>#NAME?</x:v>
      </x:c>
      <x:c r="G4" s="129" t="e">
        <x:f>F4/参数与口径!$B$5</x:f>
        <x:v>#NAME?</x:v>
      </x:c>
      <x:c r="H4" s="128" t="e">
        <x:f>COUNTIF(当前CP样本!$F$4:$F$315,"&gt;="&amp;A4)</x:f>
        <x:v>#NAME?</x:v>
      </x:c>
      <x:c r="I4" s="129" t="e">
        <x:f>H4/参数与口径!$B$5</x:f>
        <x:v>#NAME?</x:v>
      </x:c>
      <x:c r="J4" s="17" t="s">
        <x:v>3569</x:v>
      </x:c>
    </x:row>
    <x:row r="5" ht="22" customHeight="1">
      <x:c r="A5" s="58">
        <x:v>2</x:v>
      </x:c>
      <x:c r="B5" s="58" t="s">
        <x:v>3539</x:v>
      </x:c>
      <x:c r="C5" s="130" t="e">
        <x:f>平台曲线参考!K5</x:f>
        <x:v>#NAME?</x:v>
      </x:c>
      <x:c r="D5" s="130">
        <x:f t="shared" si="0"/>
        <x:v>3000</x:v>
      </x:c>
      <x:c r="E5" s="131" t="e">
        <x:f t="shared" ref="E5:E68" si="1">D5/C4</x:f>
        <x:v>#NAME?</x:v>
      </x:c>
      <x:c r="F5" s="130" t="e">
        <x:f>COUNTIF(当前CP样本!$F$4:$F$315,A5)</x:f>
        <x:v>#NAME?</x:v>
      </x:c>
      <x:c r="G5" s="131" t="e">
        <x:f>F5/参数与口径!$B$5</x:f>
        <x:v>#NAME?</x:v>
      </x:c>
      <x:c r="H5" s="130" t="e">
        <x:f>COUNTIF(当前CP样本!$F$4:$F$315,"&gt;="&amp;A5)</x:f>
        <x:v>#NAME?</x:v>
      </x:c>
      <x:c r="I5" s="131" t="e">
        <x:f>H5/参数与口径!$B$5</x:f>
        <x:v>#NAME?</x:v>
      </x:c>
      <x:c r="J5" s="20"/>
    </x:row>
    <x:row r="6" ht="22" customHeight="1">
      <x:c r="A6" s="58">
        <x:v>3</x:v>
      </x:c>
      <x:c r="B6" s="58" t="s">
        <x:v>3539</x:v>
      </x:c>
      <x:c r="C6" s="130" t="e">
        <x:f>平台曲线参考!K6</x:f>
        <x:v>#NAME?</x:v>
      </x:c>
      <x:c r="D6" s="130">
        <x:f t="shared" si="0"/>
        <x:v>7000</x:v>
      </x:c>
      <x:c r="E6" s="131">
        <x:f t="shared" si="1"/>
        <x:v>1.4</x:v>
      </x:c>
      <x:c r="F6" s="130" t="e">
        <x:f>COUNTIF(当前CP样本!$F$4:$F$315,A6)</x:f>
        <x:v>#NAME?</x:v>
      </x:c>
      <x:c r="G6" s="131" t="e">
        <x:f>F6/参数与口径!$B$5</x:f>
        <x:v>#NAME?</x:v>
      </x:c>
      <x:c r="H6" s="130" t="e">
        <x:f>COUNTIF(当前CP样本!$F$4:$F$315,"&gt;="&amp;A6)</x:f>
        <x:v>#NAME?</x:v>
      </x:c>
      <x:c r="I6" s="131" t="e">
        <x:f>H6/参数与口径!$B$5</x:f>
        <x:v>#NAME?</x:v>
      </x:c>
      <x:c r="J6" s="20"/>
    </x:row>
    <x:row r="7" ht="22" customHeight="1">
      <x:c r="A7" s="58">
        <x:v>4</x:v>
      </x:c>
      <x:c r="B7" s="58" t="s">
        <x:v>3539</x:v>
      </x:c>
      <x:c r="C7" s="130" t="e">
        <x:f>平台曲线参考!K7</x:f>
        <x:v>#NAME?</x:v>
      </x:c>
      <x:c r="D7" s="130">
        <x:f t="shared" si="0"/>
        <x:v>12000</x:v>
      </x:c>
      <x:c r="E7" s="131">
        <x:f t="shared" si="1"/>
        <x:v>1</x:v>
      </x:c>
      <x:c r="F7" s="130" t="e">
        <x:f>COUNTIF(当前CP样本!$F$4:$F$315,A7)</x:f>
        <x:v>#NAME?</x:v>
      </x:c>
      <x:c r="G7" s="131" t="e">
        <x:f>F7/参数与口径!$B$5</x:f>
        <x:v>#NAME?</x:v>
      </x:c>
      <x:c r="H7" s="130" t="e">
        <x:f>COUNTIF(当前CP样本!$F$4:$F$315,"&gt;="&amp;A7)</x:f>
        <x:v>#NAME?</x:v>
      </x:c>
      <x:c r="I7" s="131" t="e">
        <x:f>H7/参数与口径!$B$5</x:f>
        <x:v>#NAME?</x:v>
      </x:c>
      <x:c r="J7" s="20"/>
    </x:row>
    <x:row r="8" ht="22" customHeight="1">
      <x:c r="A8" s="58">
        <x:v>5</x:v>
      </x:c>
      <x:c r="B8" s="58" t="s">
        <x:v>3539</x:v>
      </x:c>
      <x:c r="C8" s="130" t="e">
        <x:f>平台曲线参考!K8</x:f>
        <x:v>#NAME?</x:v>
      </x:c>
      <x:c r="D8" s="130">
        <x:f t="shared" si="0"/>
        <x:v>16700</x:v>
      </x:c>
      <x:c r="E8" s="131">
        <x:f t="shared" si="1"/>
        <x:v>0.695833333333333</x:v>
      </x:c>
      <x:c r="F8" s="130" t="e">
        <x:f>COUNTIF(当前CP样本!$F$4:$F$315,A8)</x:f>
        <x:v>#NAME?</x:v>
      </x:c>
      <x:c r="G8" s="131" t="e">
        <x:f>F8/参数与口径!$B$5</x:f>
        <x:v>#NAME?</x:v>
      </x:c>
      <x:c r="H8" s="130" t="e">
        <x:f>COUNTIF(当前CP样本!$F$4:$F$315,"&gt;="&amp;A8)</x:f>
        <x:v>#NAME?</x:v>
      </x:c>
      <x:c r="I8" s="131" t="e">
        <x:f>H8/参数与口径!$B$5</x:f>
        <x:v>#NAME?</x:v>
      </x:c>
      <x:c r="J8" s="20"/>
    </x:row>
    <x:row r="9" ht="22" customHeight="1">
      <x:c r="A9" s="58">
        <x:v>6</x:v>
      </x:c>
      <x:c r="B9" s="58" t="s">
        <x:v>3539</x:v>
      </x:c>
      <x:c r="C9" s="130" t="e">
        <x:f>平台曲线参考!K9</x:f>
        <x:v>#NAME?</x:v>
      </x:c>
      <x:c r="D9" s="130">
        <x:f t="shared" si="0"/>
        <x:v>18200</x:v>
      </x:c>
      <x:c r="E9" s="131">
        <x:f t="shared" si="1"/>
        <x:v>0.447174447174447</x:v>
      </x:c>
      <x:c r="F9" s="130" t="e">
        <x:f>COUNTIF(当前CP样本!$F$4:$F$315,A9)</x:f>
        <x:v>#NAME?</x:v>
      </x:c>
      <x:c r="G9" s="131" t="e">
        <x:f>F9/参数与口径!$B$5</x:f>
        <x:v>#NAME?</x:v>
      </x:c>
      <x:c r="H9" s="130" t="e">
        <x:f>COUNTIF(当前CP样本!$F$4:$F$315,"&gt;="&amp;A9)</x:f>
        <x:v>#NAME?</x:v>
      </x:c>
      <x:c r="I9" s="131" t="e">
        <x:f>H9/参数与口径!$B$5</x:f>
        <x:v>#NAME?</x:v>
      </x:c>
      <x:c r="J9" s="20"/>
    </x:row>
    <x:row r="10" ht="22" customHeight="1">
      <x:c r="A10" s="58">
        <x:v>7</x:v>
      </x:c>
      <x:c r="B10" s="58" t="s">
        <x:v>3539</x:v>
      </x:c>
      <x:c r="C10" s="130" t="e">
        <x:f>平台曲线参考!K10</x:f>
        <x:v>#NAME?</x:v>
      </x:c>
      <x:c r="D10" s="130">
        <x:f t="shared" si="0"/>
        <x:v>23600</x:v>
      </x:c>
      <x:c r="E10" s="131">
        <x:f t="shared" si="1"/>
        <x:v>0.400679117147708</x:v>
      </x:c>
      <x:c r="F10" s="130" t="e">
        <x:f>COUNTIF(当前CP样本!$F$4:$F$315,A10)</x:f>
        <x:v>#NAME?</x:v>
      </x:c>
      <x:c r="G10" s="131" t="e">
        <x:f>F10/参数与口径!$B$5</x:f>
        <x:v>#NAME?</x:v>
      </x:c>
      <x:c r="H10" s="130" t="e">
        <x:f>COUNTIF(当前CP样本!$F$4:$F$315,"&gt;="&amp;A10)</x:f>
        <x:v>#NAME?</x:v>
      </x:c>
      <x:c r="I10" s="131" t="e">
        <x:f>H10/参数与口径!$B$5</x:f>
        <x:v>#NAME?</x:v>
      </x:c>
      <x:c r="J10" s="20"/>
    </x:row>
    <x:row r="11" ht="22" customHeight="1">
      <x:c r="A11" s="58">
        <x:v>8</x:v>
      </x:c>
      <x:c r="B11" s="58" t="s">
        <x:v>3539</x:v>
      </x:c>
      <x:c r="C11" s="130" t="e">
        <x:f>平台曲线参考!K11</x:f>
        <x:v>#NAME?</x:v>
      </x:c>
      <x:c r="D11" s="130">
        <x:f t="shared" si="0"/>
        <x:v>27600</x:v>
      </x:c>
      <x:c r="E11" s="131">
        <x:f t="shared" si="1"/>
        <x:v>0.334545454545455</x:v>
      </x:c>
      <x:c r="F11" s="130" t="e">
        <x:f>COUNTIF(当前CP样本!$F$4:$F$315,A11)</x:f>
        <x:v>#NAME?</x:v>
      </x:c>
      <x:c r="G11" s="131" t="e">
        <x:f>F11/参数与口径!$B$5</x:f>
        <x:v>#NAME?</x:v>
      </x:c>
      <x:c r="H11" s="130" t="e">
        <x:f>COUNTIF(当前CP样本!$F$4:$F$315,"&gt;="&amp;A11)</x:f>
        <x:v>#NAME?</x:v>
      </x:c>
      <x:c r="I11" s="131" t="e">
        <x:f>H11/参数与口径!$B$5</x:f>
        <x:v>#NAME?</x:v>
      </x:c>
      <x:c r="J11" s="20"/>
    </x:row>
    <x:row r="12" ht="22" customHeight="1">
      <x:c r="A12" s="58">
        <x:v>9</x:v>
      </x:c>
      <x:c r="B12" s="58" t="s">
        <x:v>3539</x:v>
      </x:c>
      <x:c r="C12" s="130" t="e">
        <x:f>平台曲线参考!K12</x:f>
        <x:v>#NAME?</x:v>
      </x:c>
      <x:c r="D12" s="130">
        <x:f t="shared" si="0"/>
        <x:v>31500</x:v>
      </x:c>
      <x:c r="E12" s="131">
        <x:f t="shared" si="1"/>
        <x:v>0.286103542234332</x:v>
      </x:c>
      <x:c r="F12" s="130" t="e">
        <x:f>COUNTIF(当前CP样本!$F$4:$F$315,A12)</x:f>
        <x:v>#NAME?</x:v>
      </x:c>
      <x:c r="G12" s="131" t="e">
        <x:f>F12/参数与口径!$B$5</x:f>
        <x:v>#NAME?</x:v>
      </x:c>
      <x:c r="H12" s="130" t="e">
        <x:f>COUNTIF(当前CP样本!$F$4:$F$315,"&gt;="&amp;A12)</x:f>
        <x:v>#NAME?</x:v>
      </x:c>
      <x:c r="I12" s="131" t="e">
        <x:f>H12/参数与口径!$B$5</x:f>
        <x:v>#NAME?</x:v>
      </x:c>
      <x:c r="J12" s="20"/>
    </x:row>
    <x:row r="13" ht="22" customHeight="1">
      <x:c r="A13" s="58">
        <x:v>10</x:v>
      </x:c>
      <x:c r="B13" s="58" t="s">
        <x:v>3539</x:v>
      </x:c>
      <x:c r="C13" s="130" t="e">
        <x:f>平台曲线参考!K13</x:f>
        <x:v>#NAME?</x:v>
      </x:c>
      <x:c r="D13" s="130">
        <x:f t="shared" si="0"/>
        <x:v>35400</x:v>
      </x:c>
      <x:c r="E13" s="131">
        <x:f t="shared" si="1"/>
        <x:v>0.25</x:v>
      </x:c>
      <x:c r="F13" s="130" t="e">
        <x:f>COUNTIF(当前CP样本!$F$4:$F$315,A13)</x:f>
        <x:v>#NAME?</x:v>
      </x:c>
      <x:c r="G13" s="131" t="e">
        <x:f>F13/参数与口径!$B$5</x:f>
        <x:v>#NAME?</x:v>
      </x:c>
      <x:c r="H13" s="130" t="e">
        <x:f>COUNTIF(当前CP样本!$F$4:$F$315,"&gt;="&amp;A13)</x:f>
        <x:v>#NAME?</x:v>
      </x:c>
      <x:c r="I13" s="131" t="e">
        <x:f>H13/参数与口径!$B$5</x:f>
        <x:v>#NAME?</x:v>
      </x:c>
      <x:c r="J13" s="20" t="s">
        <x:v>3570</x:v>
      </x:c>
    </x:row>
    <x:row r="14" ht="22" customHeight="1">
      <x:c r="A14" s="58">
        <x:v>11</x:v>
      </x:c>
      <x:c r="B14" s="58" t="s">
        <x:v>3539</x:v>
      </x:c>
      <x:c r="C14" s="130" t="e">
        <x:f>平台曲线参考!K14</x:f>
        <x:v>#NAME?</x:v>
      </x:c>
      <x:c r="D14" s="130">
        <x:f t="shared" si="0"/>
        <x:v>39400</x:v>
      </x:c>
      <x:c r="E14" s="131">
        <x:f t="shared" si="1"/>
        <x:v>0.222598870056497</x:v>
      </x:c>
      <x:c r="F14" s="130" t="e">
        <x:f>COUNTIF(当前CP样本!$F$4:$F$315,A14)</x:f>
        <x:v>#NAME?</x:v>
      </x:c>
      <x:c r="G14" s="131" t="e">
        <x:f>F14/参数与口径!$B$5</x:f>
        <x:v>#NAME?</x:v>
      </x:c>
      <x:c r="H14" s="130" t="e">
        <x:f>COUNTIF(当前CP样本!$F$4:$F$315,"&gt;="&amp;A14)</x:f>
        <x:v>#NAME?</x:v>
      </x:c>
      <x:c r="I14" s="131" t="e">
        <x:f>H14/参数与口径!$B$5</x:f>
        <x:v>#NAME?</x:v>
      </x:c>
      <x:c r="J14" s="20"/>
    </x:row>
    <x:row r="15" ht="22" customHeight="1">
      <x:c r="A15" s="58">
        <x:v>12</x:v>
      </x:c>
      <x:c r="B15" s="58" t="s">
        <x:v>3539</x:v>
      </x:c>
      <x:c r="C15" s="130" t="e">
        <x:f>平台曲线参考!K15</x:f>
        <x:v>#NAME?</x:v>
      </x:c>
      <x:c r="D15" s="130">
        <x:f t="shared" si="0"/>
        <x:v>48100</x:v>
      </x:c>
      <x:c r="E15" s="131">
        <x:f t="shared" si="1"/>
        <x:v>0.222273567467653</x:v>
      </x:c>
      <x:c r="F15" s="130" t="e">
        <x:f>COUNTIF(当前CP样本!$F$4:$F$315,A15)</x:f>
        <x:v>#NAME?</x:v>
      </x:c>
      <x:c r="G15" s="131" t="e">
        <x:f>F15/参数与口径!$B$5</x:f>
        <x:v>#NAME?</x:v>
      </x:c>
      <x:c r="H15" s="130" t="e">
        <x:f>COUNTIF(当前CP样本!$F$4:$F$315,"&gt;="&amp;A15)</x:f>
        <x:v>#NAME?</x:v>
      </x:c>
      <x:c r="I15" s="131" t="e">
        <x:f>H15/参数与口径!$B$5</x:f>
        <x:v>#NAME?</x:v>
      </x:c>
      <x:c r="J15" s="20"/>
    </x:row>
    <x:row r="16" ht="22" customHeight="1">
      <x:c r="A16" s="58">
        <x:v>13</x:v>
      </x:c>
      <x:c r="B16" s="58" t="s">
        <x:v>3539</x:v>
      </x:c>
      <x:c r="C16" s="130" t="e">
        <x:f>平台曲线参考!K16</x:f>
        <x:v>#NAME?</x:v>
      </x:c>
      <x:c r="D16" s="130">
        <x:f t="shared" si="0"/>
        <x:v>52500</x:v>
      </x:c>
      <x:c r="E16" s="131">
        <x:f t="shared" si="1"/>
        <x:v>0.198487712665406</x:v>
      </x:c>
      <x:c r="F16" s="130" t="e">
        <x:f>COUNTIF(当前CP样本!$F$4:$F$315,A16)</x:f>
        <x:v>#NAME?</x:v>
      </x:c>
      <x:c r="G16" s="131" t="e">
        <x:f>F16/参数与口径!$B$5</x:f>
        <x:v>#NAME?</x:v>
      </x:c>
      <x:c r="H16" s="130" t="e">
        <x:f>COUNTIF(当前CP样本!$F$4:$F$315,"&gt;="&amp;A16)</x:f>
        <x:v>#NAME?</x:v>
      </x:c>
      <x:c r="I16" s="131" t="e">
        <x:f>H16/参数与口径!$B$5</x:f>
        <x:v>#NAME?</x:v>
      </x:c>
      <x:c r="J16" s="20"/>
    </x:row>
    <x:row r="17" ht="22" customHeight="1">
      <x:c r="A17" s="58">
        <x:v>14</x:v>
      </x:c>
      <x:c r="B17" s="58" t="s">
        <x:v>3539</x:v>
      </x:c>
      <x:c r="C17" s="130" t="e">
        <x:f>平台曲线参考!K17</x:f>
        <x:v>#NAME?</x:v>
      </x:c>
      <x:c r="D17" s="130">
        <x:f t="shared" si="0"/>
        <x:v>56900</x:v>
      </x:c>
      <x:c r="E17" s="131">
        <x:f t="shared" si="1"/>
        <x:v>0.179495268138801</x:v>
      </x:c>
      <x:c r="F17" s="130" t="e">
        <x:f>COUNTIF(当前CP样本!$F$4:$F$315,A17)</x:f>
        <x:v>#NAME?</x:v>
      </x:c>
      <x:c r="G17" s="131" t="e">
        <x:f>F17/参数与口径!$B$5</x:f>
        <x:v>#NAME?</x:v>
      </x:c>
      <x:c r="H17" s="130" t="e">
        <x:f>COUNTIF(当前CP样本!$F$4:$F$315,"&gt;="&amp;A17)</x:f>
        <x:v>#NAME?</x:v>
      </x:c>
      <x:c r="I17" s="131" t="e">
        <x:f>H17/参数与口径!$B$5</x:f>
        <x:v>#NAME?</x:v>
      </x:c>
      <x:c r="J17" s="20"/>
    </x:row>
    <x:row r="18" ht="22" customHeight="1">
      <x:c r="A18" s="58">
        <x:v>15</x:v>
      </x:c>
      <x:c r="B18" s="58" t="s">
        <x:v>3539</x:v>
      </x:c>
      <x:c r="C18" s="130" t="e">
        <x:f>平台曲线参考!K18</x:f>
        <x:v>#NAME?</x:v>
      </x:c>
      <x:c r="D18" s="130">
        <x:f t="shared" si="0"/>
        <x:v>61200</x:v>
      </x:c>
      <x:c r="E18" s="131">
        <x:f t="shared" si="1"/>
        <x:v>0.163680128376571</x:v>
      </x:c>
      <x:c r="F18" s="130" t="e">
        <x:f>COUNTIF(当前CP样本!$F$4:$F$315,A18)</x:f>
        <x:v>#NAME?</x:v>
      </x:c>
      <x:c r="G18" s="131" t="e">
        <x:f>F18/参数与口径!$B$5</x:f>
        <x:v>#NAME?</x:v>
      </x:c>
      <x:c r="H18" s="130" t="e">
        <x:f>COUNTIF(当前CP样本!$F$4:$F$315,"&gt;="&amp;A18)</x:f>
        <x:v>#NAME?</x:v>
      </x:c>
      <x:c r="I18" s="131" t="e">
        <x:f>H18/参数与口径!$B$5</x:f>
        <x:v>#NAME?</x:v>
      </x:c>
      <x:c r="J18" s="20"/>
    </x:row>
    <x:row r="19" ht="22" customHeight="1">
      <x:c r="A19" s="58">
        <x:v>16</x:v>
      </x:c>
      <x:c r="B19" s="58" t="s">
        <x:v>3539</x:v>
      </x:c>
      <x:c r="C19" s="130" t="e">
        <x:f>平台曲线参考!K19</x:f>
        <x:v>#NAME?</x:v>
      </x:c>
      <x:c r="D19" s="130">
        <x:f t="shared" si="0"/>
        <x:v>65600</x:v>
      </x:c>
      <x:c r="E19" s="131">
        <x:f t="shared" si="1"/>
        <x:v>0.1507699379453</x:v>
      </x:c>
      <x:c r="F19" s="130" t="e">
        <x:f>COUNTIF(当前CP样本!$F$4:$F$315,A19)</x:f>
        <x:v>#NAME?</x:v>
      </x:c>
      <x:c r="G19" s="131" t="e">
        <x:f>F19/参数与口径!$B$5</x:f>
        <x:v>#NAME?</x:v>
      </x:c>
      <x:c r="H19" s="130" t="e">
        <x:f>COUNTIF(当前CP样本!$F$4:$F$315,"&gt;="&amp;A19)</x:f>
        <x:v>#NAME?</x:v>
      </x:c>
      <x:c r="I19" s="131" t="e">
        <x:f>H19/参数与口径!$B$5</x:f>
        <x:v>#NAME?</x:v>
      </x:c>
      <x:c r="J19" s="20"/>
    </x:row>
    <x:row r="20" ht="22" customHeight="1">
      <x:c r="A20" s="58">
        <x:v>17</x:v>
      </x:c>
      <x:c r="B20" s="58" t="s">
        <x:v>3539</x:v>
      </x:c>
      <x:c r="C20" s="130" t="e">
        <x:f>平台曲线参考!K20</x:f>
        <x:v>#NAME?</x:v>
      </x:c>
      <x:c r="D20" s="130">
        <x:f t="shared" si="0"/>
        <x:v>70000</x:v>
      </x:c>
      <x:c r="E20" s="131">
        <x:f t="shared" si="1"/>
        <x:v>0.139804274016377</x:v>
      </x:c>
      <x:c r="F20" s="130" t="e">
        <x:f>COUNTIF(当前CP样本!$F$4:$F$315,A20)</x:f>
        <x:v>#NAME?</x:v>
      </x:c>
      <x:c r="G20" s="131" t="e">
        <x:f>F20/参数与口径!$B$5</x:f>
        <x:v>#NAME?</x:v>
      </x:c>
      <x:c r="H20" s="130" t="e">
        <x:f>COUNTIF(当前CP样本!$F$4:$F$315,"&gt;="&amp;A20)</x:f>
        <x:v>#NAME?</x:v>
      </x:c>
      <x:c r="I20" s="131" t="e">
        <x:f>H20/参数与口径!$B$5</x:f>
        <x:v>#NAME?</x:v>
      </x:c>
      <x:c r="J20" s="20"/>
    </x:row>
    <x:row r="21" ht="22" customHeight="1">
      <x:c r="A21" s="58">
        <x:v>18</x:v>
      </x:c>
      <x:c r="B21" s="58" t="s">
        <x:v>3539</x:v>
      </x:c>
      <x:c r="C21" s="130" t="e">
        <x:f>平台曲线参考!K21</x:f>
        <x:v>#NAME?</x:v>
      </x:c>
      <x:c r="D21" s="130">
        <x:f t="shared" si="0"/>
        <x:v>74400</x:v>
      </x:c>
      <x:c r="E21" s="131">
        <x:f t="shared" si="1"/>
        <x:v>0.130366216926581</x:v>
      </x:c>
      <x:c r="F21" s="130" t="e">
        <x:f>COUNTIF(当前CP样本!$F$4:$F$315,A21)</x:f>
        <x:v>#NAME?</x:v>
      </x:c>
      <x:c r="G21" s="131" t="e">
        <x:f>F21/参数与口径!$B$5</x:f>
        <x:v>#NAME?</x:v>
      </x:c>
      <x:c r="H21" s="130" t="e">
        <x:f>COUNTIF(当前CP样本!$F$4:$F$315,"&gt;="&amp;A21)</x:f>
        <x:v>#NAME?</x:v>
      </x:c>
      <x:c r="I21" s="131" t="e">
        <x:f>H21/参数与口径!$B$5</x:f>
        <x:v>#NAME?</x:v>
      </x:c>
      <x:c r="J21" s="20"/>
    </x:row>
    <x:row r="22" ht="22" customHeight="1">
      <x:c r="A22" s="58">
        <x:v>19</x:v>
      </x:c>
      <x:c r="B22" s="58" t="s">
        <x:v>3539</x:v>
      </x:c>
      <x:c r="C22" s="130" t="e">
        <x:f>平台曲线参考!K22</x:f>
        <x:v>#NAME?</x:v>
      </x:c>
      <x:c r="D22" s="130">
        <x:f t="shared" si="0"/>
        <x:v>78700</x:v>
      </x:c>
      <x:c r="E22" s="131">
        <x:f t="shared" si="1"/>
        <x:v>0.121996589676019</x:v>
      </x:c>
      <x:c r="F22" s="130" t="e">
        <x:f>COUNTIF(当前CP样本!$F$4:$F$315,A22)</x:f>
        <x:v>#NAME?</x:v>
      </x:c>
      <x:c r="G22" s="131" t="e">
        <x:f>F22/参数与口径!$B$5</x:f>
        <x:v>#NAME?</x:v>
      </x:c>
      <x:c r="H22" s="130" t="e">
        <x:f>COUNTIF(当前CP样本!$F$4:$F$315,"&gt;="&amp;A22)</x:f>
        <x:v>#NAME?</x:v>
      </x:c>
      <x:c r="I22" s="131" t="e">
        <x:f>H22/参数与口径!$B$5</x:f>
        <x:v>#NAME?</x:v>
      </x:c>
      <x:c r="J22" s="20"/>
    </x:row>
    <x:row r="23" ht="22" customHeight="1">
      <x:c r="A23" s="58">
        <x:v>20</x:v>
      </x:c>
      <x:c r="B23" s="58" t="s">
        <x:v>3539</x:v>
      </x:c>
      <x:c r="C23" s="130" t="e">
        <x:f>平台曲线参考!K23</x:f>
        <x:v>#NAME?</x:v>
      </x:c>
      <x:c r="D23" s="130">
        <x:f t="shared" si="0"/>
        <x:v>83100</x:v>
      </x:c>
      <x:c r="E23" s="131">
        <x:f t="shared" si="1"/>
        <x:v>0.1148107211937</x:v>
      </x:c>
      <x:c r="F23" s="130" t="e">
        <x:f>COUNTIF(当前CP样本!$F$4:$F$315,A23)</x:f>
        <x:v>#NAME?</x:v>
      </x:c>
      <x:c r="G23" s="131" t="e">
        <x:f>F23/参数与口径!$B$5</x:f>
        <x:v>#NAME?</x:v>
      </x:c>
      <x:c r="H23" s="130" t="e">
        <x:f>COUNTIF(当前CP样本!$F$4:$F$315,"&gt;="&amp;A23)</x:f>
        <x:v>#NAME?</x:v>
      </x:c>
      <x:c r="I23" s="131" t="e">
        <x:f>H23/参数与口径!$B$5</x:f>
        <x:v>#NAME?</x:v>
      </x:c>
      <x:c r="J23" s="20" t="s">
        <x:v>3571</x:v>
      </x:c>
    </x:row>
    <x:row r="24" ht="22" customHeight="1">
      <x:c r="A24" s="58">
        <x:v>21</x:v>
      </x:c>
      <x:c r="B24" s="58" t="s">
        <x:v>3543</x:v>
      </x:c>
      <x:c r="C24" s="130" t="e">
        <x:f>平台曲线参考!K24</x:f>
        <x:v>#NAME?</x:v>
      </x:c>
      <x:c r="D24" s="130">
        <x:f t="shared" si="0"/>
        <x:v>87100</x:v>
      </x:c>
      <x:c r="E24" s="131">
        <x:f t="shared" si="1"/>
        <x:v>0.107943983145371</x:v>
      </x:c>
      <x:c r="F24" s="130" t="e">
        <x:f>COUNTIF(当前CP样本!$F$4:$F$315,A24)</x:f>
        <x:v>#NAME?</x:v>
      </x:c>
      <x:c r="G24" s="131" t="e">
        <x:f>F24/参数与口径!$B$5</x:f>
        <x:v>#NAME?</x:v>
      </x:c>
      <x:c r="H24" s="130" t="e">
        <x:f>COUNTIF(当前CP样本!$F$4:$F$315,"&gt;="&amp;A24)</x:f>
        <x:v>#NAME?</x:v>
      </x:c>
      <x:c r="I24" s="131" t="e">
        <x:f>H24/参数与口径!$B$5</x:f>
        <x:v>#NAME?</x:v>
      </x:c>
      <x:c r="J24" s="20" t="s">
        <x:v>3572</x:v>
      </x:c>
    </x:row>
    <x:row r="25" ht="22" customHeight="1">
      <x:c r="A25" s="58">
        <x:v>22</x:v>
      </x:c>
      <x:c r="B25" s="58" t="s">
        <x:v>3543</x:v>
      </x:c>
      <x:c r="C25" s="130" t="e">
        <x:f>平台曲线参考!K25</x:f>
        <x:v>#NAME?</x:v>
      </x:c>
      <x:c r="D25" s="130">
        <x:f t="shared" si="0"/>
        <x:v>101000</x:v>
      </x:c>
      <x:c r="E25" s="131">
        <x:f t="shared" si="1"/>
        <x:v>0.112975391498881</x:v>
      </x:c>
      <x:c r="F25" s="130" t="e">
        <x:f>COUNTIF(当前CP样本!$F$4:$F$315,A25)</x:f>
        <x:v>#NAME?</x:v>
      </x:c>
      <x:c r="G25" s="131" t="e">
        <x:f>F25/参数与口径!$B$5</x:f>
        <x:v>#NAME?</x:v>
      </x:c>
      <x:c r="H25" s="130" t="e">
        <x:f>COUNTIF(当前CP样本!$F$4:$F$315,"&gt;="&amp;A25)</x:f>
        <x:v>#NAME?</x:v>
      </x:c>
      <x:c r="I25" s="131" t="e">
        <x:f>H25/参数与口径!$B$5</x:f>
        <x:v>#NAME?</x:v>
      </x:c>
      <x:c r="J25" s="20"/>
    </x:row>
    <x:row r="26" ht="22" customHeight="1">
      <x:c r="A26" s="58">
        <x:v>23</x:v>
      </x:c>
      <x:c r="B26" s="58" t="s">
        <x:v>3543</x:v>
      </x:c>
      <x:c r="C26" s="130" t="e">
        <x:f>平台曲线参考!K26</x:f>
        <x:v>#NAME?</x:v>
      </x:c>
      <x:c r="D26" s="130">
        <x:f t="shared" si="0"/>
        <x:v>106000</x:v>
      </x:c>
      <x:c r="E26" s="131">
        <x:f t="shared" si="1"/>
        <x:v>0.106532663316583</x:v>
      </x:c>
      <x:c r="F26" s="130" t="e">
        <x:f>COUNTIF(当前CP样本!$F$4:$F$315,A26)</x:f>
        <x:v>#NAME?</x:v>
      </x:c>
      <x:c r="G26" s="131" t="e">
        <x:f>F26/参数与口径!$B$5</x:f>
        <x:v>#NAME?</x:v>
      </x:c>
      <x:c r="H26" s="130" t="e">
        <x:f>COUNTIF(当前CP样本!$F$4:$F$315,"&gt;="&amp;A26)</x:f>
        <x:v>#NAME?</x:v>
      </x:c>
      <x:c r="I26" s="131" t="e">
        <x:f>H26/参数与口径!$B$5</x:f>
        <x:v>#NAME?</x:v>
      </x:c>
      <x:c r="J26" s="20"/>
    </x:row>
    <x:row r="27" ht="22" customHeight="1">
      <x:c r="A27" s="58">
        <x:v>24</x:v>
      </x:c>
      <x:c r="B27" s="58" t="s">
        <x:v>3543</x:v>
      </x:c>
      <x:c r="C27" s="130" t="e">
        <x:f>平台曲线参考!K27</x:f>
        <x:v>#NAME?</x:v>
      </x:c>
      <x:c r="D27" s="130">
        <x:f t="shared" si="0"/>
        <x:v>111000</x:v>
      </x:c>
      <x:c r="E27" s="131">
        <x:f t="shared" si="1"/>
        <x:v>0.100817438692098</x:v>
      </x:c>
      <x:c r="F27" s="130" t="e">
        <x:f>COUNTIF(当前CP样本!$F$4:$F$315,A27)</x:f>
        <x:v>#NAME?</x:v>
      </x:c>
      <x:c r="G27" s="131" t="e">
        <x:f>F27/参数与口径!$B$5</x:f>
        <x:v>#NAME?</x:v>
      </x:c>
      <x:c r="H27" s="130" t="e">
        <x:f>COUNTIF(当前CP样本!$F$4:$F$315,"&gt;="&amp;A27)</x:f>
        <x:v>#NAME?</x:v>
      </x:c>
      <x:c r="I27" s="131" t="e">
        <x:f>H27/参数与口径!$B$5</x:f>
        <x:v>#NAME?</x:v>
      </x:c>
      <x:c r="J27" s="20"/>
    </x:row>
    <x:row r="28" ht="22" customHeight="1">
      <x:c r="A28" s="58">
        <x:v>25</x:v>
      </x:c>
      <x:c r="B28" s="58" t="s">
        <x:v>3543</x:v>
      </x:c>
      <x:c r="C28" s="130" t="e">
        <x:f>平台曲线参考!K28</x:f>
        <x:v>#NAME?</x:v>
      </x:c>
      <x:c r="D28" s="130">
        <x:f t="shared" si="0"/>
        <x:v>115000</x:v>
      </x:c>
      <x:c r="E28" s="131">
        <x:f t="shared" si="1"/>
        <x:v>0.0948844884488449</x:v>
      </x:c>
      <x:c r="F28" s="130" t="e">
        <x:f>COUNTIF(当前CP样本!$F$4:$F$315,A28)</x:f>
        <x:v>#NAME?</x:v>
      </x:c>
      <x:c r="G28" s="131" t="e">
        <x:f>F28/参数与口径!$B$5</x:f>
        <x:v>#NAME?</x:v>
      </x:c>
      <x:c r="H28" s="130" t="e">
        <x:f>COUNTIF(当前CP样本!$F$4:$F$315,"&gt;="&amp;A28)</x:f>
        <x:v>#NAME?</x:v>
      </x:c>
      <x:c r="I28" s="131" t="e">
        <x:f>H28/参数与口径!$B$5</x:f>
        <x:v>#NAME?</x:v>
      </x:c>
      <x:c r="J28" s="20"/>
    </x:row>
    <x:row r="29" ht="22" customHeight="1">
      <x:c r="A29" s="58">
        <x:v>26</x:v>
      </x:c>
      <x:c r="B29" s="58" t="s">
        <x:v>3543</x:v>
      </x:c>
      <x:c r="C29" s="130" t="e">
        <x:f>平台曲线参考!K29</x:f>
        <x:v>#NAME?</x:v>
      </x:c>
      <x:c r="D29" s="130">
        <x:f t="shared" si="0"/>
        <x:v>121000</x:v>
      </x:c>
      <x:c r="E29" s="131">
        <x:f t="shared" si="1"/>
        <x:v>0.0911831198191409</x:v>
      </x:c>
      <x:c r="F29" s="130" t="e">
        <x:f>COUNTIF(当前CP样本!$F$4:$F$315,A29)</x:f>
        <x:v>#NAME?</x:v>
      </x:c>
      <x:c r="G29" s="131" t="e">
        <x:f>F29/参数与口径!$B$5</x:f>
        <x:v>#NAME?</x:v>
      </x:c>
      <x:c r="H29" s="130" t="e">
        <x:f>COUNTIF(当前CP样本!$F$4:$F$315,"&gt;="&amp;A29)</x:f>
        <x:v>#NAME?</x:v>
      </x:c>
      <x:c r="I29" s="131" t="e">
        <x:f>H29/参数与口径!$B$5</x:f>
        <x:v>#NAME?</x:v>
      </x:c>
      <x:c r="J29" s="20"/>
    </x:row>
    <x:row r="30" ht="22" customHeight="1">
      <x:c r="A30" s="58">
        <x:v>27</x:v>
      </x:c>
      <x:c r="B30" s="58" t="s">
        <x:v>3543</x:v>
      </x:c>
      <x:c r="C30" s="130" t="e">
        <x:f>平台曲线参考!K30</x:f>
        <x:v>#NAME?</x:v>
      </x:c>
      <x:c r="D30" s="130">
        <x:f t="shared" si="0"/>
        <x:v>125000</x:v>
      </x:c>
      <x:c r="E30" s="131">
        <x:f t="shared" si="1"/>
        <x:v>0.0863259668508287</x:v>
      </x:c>
      <x:c r="F30" s="130" t="e">
        <x:f>COUNTIF(当前CP样本!$F$4:$F$315,A30)</x:f>
        <x:v>#NAME?</x:v>
      </x:c>
      <x:c r="G30" s="131" t="e">
        <x:f>F30/参数与口径!$B$5</x:f>
        <x:v>#NAME?</x:v>
      </x:c>
      <x:c r="H30" s="130" t="e">
        <x:f>COUNTIF(当前CP样本!$F$4:$F$315,"&gt;="&amp;A30)</x:f>
        <x:v>#NAME?</x:v>
      </x:c>
      <x:c r="I30" s="131" t="e">
        <x:f>H30/参数与口径!$B$5</x:f>
        <x:v>#NAME?</x:v>
      </x:c>
      <x:c r="J30" s="20"/>
    </x:row>
    <x:row r="31" ht="22" customHeight="1">
      <x:c r="A31" s="58">
        <x:v>28</x:v>
      </x:c>
      <x:c r="B31" s="58" t="s">
        <x:v>3543</x:v>
      </x:c>
      <x:c r="C31" s="130" t="e">
        <x:f>平台曲线参考!K31</x:f>
        <x:v>#NAME?</x:v>
      </x:c>
      <x:c r="D31" s="130">
        <x:f t="shared" si="0"/>
        <x:v>130000</x:v>
      </x:c>
      <x:c r="E31" s="131">
        <x:f t="shared" si="1"/>
        <x:v>0.0826446280991736</x:v>
      </x:c>
      <x:c r="F31" s="130" t="e">
        <x:f>COUNTIF(当前CP样本!$F$4:$F$315,A31)</x:f>
        <x:v>#NAME?</x:v>
      </x:c>
      <x:c r="G31" s="131" t="e">
        <x:f>F31/参数与口径!$B$5</x:f>
        <x:v>#NAME?</x:v>
      </x:c>
      <x:c r="H31" s="130" t="e">
        <x:f>COUNTIF(当前CP样本!$F$4:$F$315,"&gt;="&amp;A31)</x:f>
        <x:v>#NAME?</x:v>
      </x:c>
      <x:c r="I31" s="131" t="e">
        <x:f>H31/参数与口径!$B$5</x:f>
        <x:v>#NAME?</x:v>
      </x:c>
      <x:c r="J31" s="20"/>
    </x:row>
    <x:row r="32" ht="22" customHeight="1">
      <x:c r="A32" s="58">
        <x:v>29</x:v>
      </x:c>
      <x:c r="B32" s="58" t="s">
        <x:v>3543</x:v>
      </x:c>
      <x:c r="C32" s="130" t="e">
        <x:f>平台曲线参考!K32</x:f>
        <x:v>#NAME?</x:v>
      </x:c>
      <x:c r="D32" s="130">
        <x:f t="shared" si="0"/>
        <x:v>135000</x:v>
      </x:c>
      <x:c r="E32" s="131">
        <x:f t="shared" si="1"/>
        <x:v>0.0792718731650029</x:v>
      </x:c>
      <x:c r="F32" s="130" t="e">
        <x:f>COUNTIF(当前CP样本!$F$4:$F$315,A32)</x:f>
        <x:v>#NAME?</x:v>
      </x:c>
      <x:c r="G32" s="131" t="e">
        <x:f>F32/参数与口径!$B$5</x:f>
        <x:v>#NAME?</x:v>
      </x:c>
      <x:c r="H32" s="130" t="e">
        <x:f>COUNTIF(当前CP样本!$F$4:$F$315,"&gt;="&amp;A32)</x:f>
        <x:v>#NAME?</x:v>
      </x:c>
      <x:c r="I32" s="131" t="e">
        <x:f>H32/参数与口径!$B$5</x:f>
        <x:v>#NAME?</x:v>
      </x:c>
      <x:c r="J32" s="20"/>
    </x:row>
    <x:row r="33" ht="22" customHeight="1">
      <x:c r="A33" s="58">
        <x:v>30</x:v>
      </x:c>
      <x:c r="B33" s="58" t="s">
        <x:v>3543</x:v>
      </x:c>
      <x:c r="C33" s="130" t="e">
        <x:f>平台曲线参考!K33</x:f>
        <x:v>#NAME?</x:v>
      </x:c>
      <x:c r="D33" s="130">
        <x:f t="shared" si="0"/>
        <x:v>139000</x:v>
      </x:c>
      <x:c r="E33" s="131">
        <x:f t="shared" si="1"/>
        <x:v>0.0756256800870511</x:v>
      </x:c>
      <x:c r="F33" s="130" t="e">
        <x:f>COUNTIF(当前CP样本!$F$4:$F$315,A33)</x:f>
        <x:v>#NAME?</x:v>
      </x:c>
      <x:c r="G33" s="131" t="e">
        <x:f>F33/参数与口径!$B$5</x:f>
        <x:v>#NAME?</x:v>
      </x:c>
      <x:c r="H33" s="130" t="e">
        <x:f>COUNTIF(当前CP样本!$F$4:$F$315,"&gt;="&amp;A33)</x:f>
        <x:v>#NAME?</x:v>
      </x:c>
      <x:c r="I33" s="131" t="e">
        <x:f>H33/参数与口径!$B$5</x:f>
        <x:v>#NAME?</x:v>
      </x:c>
      <x:c r="J33" s="20"/>
    </x:row>
    <x:row r="34" ht="22" customHeight="1">
      <x:c r="A34" s="58">
        <x:v>31</x:v>
      </x:c>
      <x:c r="B34" s="58" t="s">
        <x:v>3543</x:v>
      </x:c>
      <x:c r="C34" s="130" t="e">
        <x:f>平台曲线参考!K34</x:f>
        <x:v>#NAME?</x:v>
      </x:c>
      <x:c r="D34" s="130">
        <x:f t="shared" si="0"/>
        <x:v>144000</x:v>
      </x:c>
      <x:c r="E34" s="131">
        <x:f t="shared" si="1"/>
        <x:v>0.0728376327769348</x:v>
      </x:c>
      <x:c r="F34" s="130" t="e">
        <x:f>COUNTIF(当前CP样本!$F$4:$F$315,A34)</x:f>
        <x:v>#NAME?</x:v>
      </x:c>
      <x:c r="G34" s="131" t="e">
        <x:f>F34/参数与口径!$B$5</x:f>
        <x:v>#NAME?</x:v>
      </x:c>
      <x:c r="H34" s="130" t="e">
        <x:f>COUNTIF(当前CP样本!$F$4:$F$315,"&gt;="&amp;A34)</x:f>
        <x:v>#NAME?</x:v>
      </x:c>
      <x:c r="I34" s="131" t="e">
        <x:f>H34/参数与口径!$B$5</x:f>
        <x:v>#NAME?</x:v>
      </x:c>
      <x:c r="J34" s="20"/>
    </x:row>
    <x:row r="35" ht="22" customHeight="1">
      <x:c r="A35" s="58">
        <x:v>32</x:v>
      </x:c>
      <x:c r="B35" s="58" t="s">
        <x:v>3543</x:v>
      </x:c>
      <x:c r="C35" s="130" t="e">
        <x:f>平台曲线参考!K35</x:f>
        <x:v>#NAME?</x:v>
      </x:c>
      <x:c r="D35" s="130">
        <x:f t="shared" si="0"/>
        <x:v>163000</x:v>
      </x:c>
      <x:c r="E35" s="131">
        <x:f t="shared" si="1"/>
        <x:v>0.0768505421970768</x:v>
      </x:c>
      <x:c r="F35" s="130" t="e">
        <x:f>COUNTIF(当前CP样本!$F$4:$F$315,A35)</x:f>
        <x:v>#NAME?</x:v>
      </x:c>
      <x:c r="G35" s="131" t="e">
        <x:f>F35/参数与口径!$B$5</x:f>
        <x:v>#NAME?</x:v>
      </x:c>
      <x:c r="H35" s="130" t="e">
        <x:f>COUNTIF(当前CP样本!$F$4:$F$315,"&gt;="&amp;A35)</x:f>
        <x:v>#NAME?</x:v>
      </x:c>
      <x:c r="I35" s="131" t="e">
        <x:f>H35/参数与口径!$B$5</x:f>
        <x:v>#NAME?</x:v>
      </x:c>
      <x:c r="J35" s="20"/>
    </x:row>
    <x:row r="36" ht="22" customHeight="1">
      <x:c r="A36" s="58">
        <x:v>33</x:v>
      </x:c>
      <x:c r="B36" s="58" t="s">
        <x:v>3543</x:v>
      </x:c>
      <x:c r="C36" s="130" t="e">
        <x:f>平台曲线参考!K36</x:f>
        <x:v>#NAME?</x:v>
      </x:c>
      <x:c r="D36" s="130">
        <x:f t="shared" si="0"/>
        <x:v>168000</x:v>
      </x:c>
      <x:c r="E36" s="131">
        <x:f t="shared" si="1"/>
        <x:v>0.0735551663747811</x:v>
      </x:c>
      <x:c r="F36" s="130" t="e">
        <x:f>COUNTIF(当前CP样本!$F$4:$F$315,A36)</x:f>
        <x:v>#NAME?</x:v>
      </x:c>
      <x:c r="G36" s="131" t="e">
        <x:f>F36/参数与口径!$B$5</x:f>
        <x:v>#NAME?</x:v>
      </x:c>
      <x:c r="H36" s="130" t="e">
        <x:f>COUNTIF(当前CP样本!$F$4:$F$315,"&gt;="&amp;A36)</x:f>
        <x:v>#NAME?</x:v>
      </x:c>
      <x:c r="I36" s="131" t="e">
        <x:f>H36/参数与口径!$B$5</x:f>
        <x:v>#NAME?</x:v>
      </x:c>
      <x:c r="J36" s="20"/>
    </x:row>
    <x:row r="37" ht="22" customHeight="1">
      <x:c r="A37" s="58">
        <x:v>34</x:v>
      </x:c>
      <x:c r="B37" s="58" t="s">
        <x:v>3543</x:v>
      </x:c>
      <x:c r="C37" s="130" t="e">
        <x:f>平台曲线参考!K37</x:f>
        <x:v>#NAME?</x:v>
      </x:c>
      <x:c r="D37" s="130">
        <x:f t="shared" si="0"/>
        <x:v>173000</x:v>
      </x:c>
      <x:c r="E37" s="131">
        <x:f t="shared" si="1"/>
        <x:v>0.0705546492659054</x:v>
      </x:c>
      <x:c r="F37" s="130" t="e">
        <x:f>COUNTIF(当前CP样本!$F$4:$F$315,A37)</x:f>
        <x:v>#NAME?</x:v>
      </x:c>
      <x:c r="G37" s="131" t="e">
        <x:f>F37/参数与口径!$B$5</x:f>
        <x:v>#NAME?</x:v>
      </x:c>
      <x:c r="H37" s="130" t="e">
        <x:f>COUNTIF(当前CP样本!$F$4:$F$315,"&gt;="&amp;A37)</x:f>
        <x:v>#NAME?</x:v>
      </x:c>
      <x:c r="I37" s="131" t="e">
        <x:f>H37/参数与口径!$B$5</x:f>
        <x:v>#NAME?</x:v>
      </x:c>
      <x:c r="J37" s="20"/>
    </x:row>
    <x:row r="38" ht="22" customHeight="1">
      <x:c r="A38" s="58">
        <x:v>35</x:v>
      </x:c>
      <x:c r="B38" s="58" t="s">
        <x:v>3543</x:v>
      </x:c>
      <x:c r="C38" s="130" t="e">
        <x:f>平台曲线参考!K38</x:f>
        <x:v>#NAME?</x:v>
      </x:c>
      <x:c r="D38" s="130">
        <x:f t="shared" si="0"/>
        <x:v>179000</x:v>
      </x:c>
      <x:c r="E38" s="131">
        <x:f t="shared" si="1"/>
        <x:v>0.0681904761904762</x:v>
      </x:c>
      <x:c r="F38" s="130" t="e">
        <x:f>COUNTIF(当前CP样本!$F$4:$F$315,A38)</x:f>
        <x:v>#NAME?</x:v>
      </x:c>
      <x:c r="G38" s="131" t="e">
        <x:f>F38/参数与口径!$B$5</x:f>
        <x:v>#NAME?</x:v>
      </x:c>
      <x:c r="H38" s="130" t="e">
        <x:f>COUNTIF(当前CP样本!$F$4:$F$315,"&gt;="&amp;A38)</x:f>
        <x:v>#NAME?</x:v>
      </x:c>
      <x:c r="I38" s="131" t="e">
        <x:f>H38/参数与口径!$B$5</x:f>
        <x:v>#NAME?</x:v>
      </x:c>
      <x:c r="J38" s="20"/>
    </x:row>
    <x:row r="39" ht="22" customHeight="1">
      <x:c r="A39" s="58">
        <x:v>36</x:v>
      </x:c>
      <x:c r="B39" s="58" t="s">
        <x:v>3543</x:v>
      </x:c>
      <x:c r="C39" s="130" t="e">
        <x:f>平台曲线参考!K39</x:f>
        <x:v>#NAME?</x:v>
      </x:c>
      <x:c r="D39" s="130">
        <x:f t="shared" si="0"/>
        <x:v>184000</x:v>
      </x:c>
      <x:c r="E39" s="131">
        <x:f t="shared" si="1"/>
        <x:v>0.0656205420827389</x:v>
      </x:c>
      <x:c r="F39" s="130" t="e">
        <x:f>COUNTIF(当前CP样本!$F$4:$F$315,A39)</x:f>
        <x:v>#NAME?</x:v>
      </x:c>
      <x:c r="G39" s="131" t="e">
        <x:f>F39/参数与口径!$B$5</x:f>
        <x:v>#NAME?</x:v>
      </x:c>
      <x:c r="H39" s="130" t="e">
        <x:f>COUNTIF(当前CP样本!$F$4:$F$315,"&gt;="&amp;A39)</x:f>
        <x:v>#NAME?</x:v>
      </x:c>
      <x:c r="I39" s="131" t="e">
        <x:f>H39/参数与口径!$B$5</x:f>
        <x:v>#NAME?</x:v>
      </x:c>
      <x:c r="J39" s="20"/>
    </x:row>
    <x:row r="40" ht="22" customHeight="1">
      <x:c r="A40" s="58">
        <x:v>37</x:v>
      </x:c>
      <x:c r="B40" s="58" t="s">
        <x:v>3543</x:v>
      </x:c>
      <x:c r="C40" s="130" t="e">
        <x:f>平台曲线参考!K40</x:f>
        <x:v>#NAME?</x:v>
      </x:c>
      <x:c r="D40" s="130">
        <x:f t="shared" si="0"/>
        <x:v>188000</x:v>
      </x:c>
      <x:c r="E40" s="131">
        <x:f t="shared" si="1"/>
        <x:v>0.0629183400267738</x:v>
      </x:c>
      <x:c r="F40" s="130" t="e">
        <x:f>COUNTIF(当前CP样本!$F$4:$F$315,A40)</x:f>
        <x:v>#NAME?</x:v>
      </x:c>
      <x:c r="G40" s="131" t="e">
        <x:f>F40/参数与口径!$B$5</x:f>
        <x:v>#NAME?</x:v>
      </x:c>
      <x:c r="H40" s="130" t="e">
        <x:f>COUNTIF(当前CP样本!$F$4:$F$315,"&gt;="&amp;A40)</x:f>
        <x:v>#NAME?</x:v>
      </x:c>
      <x:c r="I40" s="131" t="e">
        <x:f>H40/参数与口径!$B$5</x:f>
        <x:v>#NAME?</x:v>
      </x:c>
      <x:c r="J40" s="20"/>
    </x:row>
    <x:row r="41" ht="22" customHeight="1">
      <x:c r="A41" s="58">
        <x:v>38</x:v>
      </x:c>
      <x:c r="B41" s="58" t="s">
        <x:v>3543</x:v>
      </x:c>
      <x:c r="C41" s="130" t="e">
        <x:f>平台曲线参考!K41</x:f>
        <x:v>#NAME?</x:v>
      </x:c>
      <x:c r="D41" s="130">
        <x:f t="shared" si="0"/>
        <x:v>195000</x:v>
      </x:c>
      <x:c r="E41" s="131">
        <x:f t="shared" si="1"/>
        <x:v>0.0613979848866499</x:v>
      </x:c>
      <x:c r="F41" s="130" t="e">
        <x:f>COUNTIF(当前CP样本!$F$4:$F$315,A41)</x:f>
        <x:v>#NAME?</x:v>
      </x:c>
      <x:c r="G41" s="131" t="e">
        <x:f>F41/参数与口径!$B$5</x:f>
        <x:v>#NAME?</x:v>
      </x:c>
      <x:c r="H41" s="130" t="e">
        <x:f>COUNTIF(当前CP样本!$F$4:$F$315,"&gt;="&amp;A41)</x:f>
        <x:v>#NAME?</x:v>
      </x:c>
      <x:c r="I41" s="131" t="e">
        <x:f>H41/参数与口径!$B$5</x:f>
        <x:v>#NAME?</x:v>
      </x:c>
      <x:c r="J41" s="20"/>
    </x:row>
    <x:row r="42" ht="22" customHeight="1">
      <x:c r="A42" s="58">
        <x:v>39</x:v>
      </x:c>
      <x:c r="B42" s="58" t="s">
        <x:v>3543</x:v>
      </x:c>
      <x:c r="C42" s="130" t="e">
        <x:f>平台曲线参考!K42</x:f>
        <x:v>#NAME?</x:v>
      </x:c>
      <x:c r="D42" s="130">
        <x:f t="shared" si="0"/>
        <x:v>199000</x:v>
      </x:c>
      <x:c r="E42" s="131">
        <x:f t="shared" si="1"/>
        <x:v>0.0590329279145654</x:v>
      </x:c>
      <x:c r="F42" s="130" t="e">
        <x:f>COUNTIF(当前CP样本!$F$4:$F$315,A42)</x:f>
        <x:v>#NAME?</x:v>
      </x:c>
      <x:c r="G42" s="131" t="e">
        <x:f>F42/参数与口径!$B$5</x:f>
        <x:v>#NAME?</x:v>
      </x:c>
      <x:c r="H42" s="130" t="e">
        <x:f>COUNTIF(当前CP样本!$F$4:$F$315,"&gt;="&amp;A42)</x:f>
        <x:v>#NAME?</x:v>
      </x:c>
      <x:c r="I42" s="131" t="e">
        <x:f>H42/参数与口径!$B$5</x:f>
        <x:v>#NAME?</x:v>
      </x:c>
      <x:c r="J42" s="20"/>
    </x:row>
    <x:row r="43" ht="22" customHeight="1">
      <x:c r="A43" s="58">
        <x:v>40</x:v>
      </x:c>
      <x:c r="B43" s="58" t="s">
        <x:v>3543</x:v>
      </x:c>
      <x:c r="C43" s="130" t="e">
        <x:f>平台曲线参考!K43</x:f>
        <x:v>#NAME?</x:v>
      </x:c>
      <x:c r="D43" s="130">
        <x:f t="shared" si="0"/>
        <x:v>205000</x:v>
      </x:c>
      <x:c r="E43" s="131">
        <x:f t="shared" si="1"/>
        <x:v>0.0574229691876751</x:v>
      </x:c>
      <x:c r="F43" s="130" t="e">
        <x:f>COUNTIF(当前CP样本!$F$4:$F$315,A43)</x:f>
        <x:v>#NAME?</x:v>
      </x:c>
      <x:c r="G43" s="131" t="e">
        <x:f>F43/参数与口径!$B$5</x:f>
        <x:v>#NAME?</x:v>
      </x:c>
      <x:c r="H43" s="130" t="e">
        <x:f>COUNTIF(当前CP样本!$F$4:$F$315,"&gt;="&amp;A43)</x:f>
        <x:v>#NAME?</x:v>
      </x:c>
      <x:c r="I43" s="131" t="e">
        <x:f>H43/参数与口径!$B$5</x:f>
        <x:v>#NAME?</x:v>
      </x:c>
      <x:c r="J43" s="20"/>
    </x:row>
    <x:row r="44" ht="22" customHeight="1">
      <x:c r="A44" s="58">
        <x:v>41</x:v>
      </x:c>
      <x:c r="B44" s="58" t="s">
        <x:v>3547</x:v>
      </x:c>
      <x:c r="C44" s="130" t="e">
        <x:f>平台曲线参考!K44</x:f>
        <x:v>#NAME?</x:v>
      </x:c>
      <x:c r="D44" s="130">
        <x:f t="shared" si="0"/>
        <x:v>210000</x:v>
      </x:c>
      <x:c r="E44" s="131">
        <x:f t="shared" si="1"/>
        <x:v>0.0556291390728477</x:v>
      </x:c>
      <x:c r="F44" s="130" t="e">
        <x:f>COUNTIF(当前CP样本!$F$4:$F$315,A44)</x:f>
        <x:v>#NAME?</x:v>
      </x:c>
      <x:c r="G44" s="131" t="e">
        <x:f>F44/参数与口径!$B$5</x:f>
        <x:v>#NAME?</x:v>
      </x:c>
      <x:c r="H44" s="130" t="e">
        <x:f>COUNTIF(当前CP样本!$F$4:$F$315,"&gt;="&amp;A44)</x:f>
        <x:v>#NAME?</x:v>
      </x:c>
      <x:c r="I44" s="131" t="e">
        <x:f>H44/参数与口径!$B$5</x:f>
        <x:v>#NAME?</x:v>
      </x:c>
      <x:c r="J44" s="20" t="s">
        <x:v>3573</x:v>
      </x:c>
    </x:row>
    <x:row r="45" ht="22" customHeight="1">
      <x:c r="A45" s="58">
        <x:v>42</x:v>
      </x:c>
      <x:c r="B45" s="58" t="s">
        <x:v>3547</x:v>
      </x:c>
      <x:c r="C45" s="130" t="e">
        <x:f>平台曲线参考!K45</x:f>
        <x:v>#NAME?</x:v>
      </x:c>
      <x:c r="D45" s="130">
        <x:f t="shared" si="0"/>
        <x:v>239000</x:v>
      </x:c>
      <x:c r="E45" s="131">
        <x:f t="shared" si="1"/>
        <x:v>0.0599749058971142</x:v>
      </x:c>
      <x:c r="F45" s="130" t="e">
        <x:f>COUNTIF(当前CP样本!$F$4:$F$315,A45)</x:f>
        <x:v>#NAME?</x:v>
      </x:c>
      <x:c r="G45" s="131" t="e">
        <x:f>F45/参数与口径!$B$5</x:f>
        <x:v>#NAME?</x:v>
      </x:c>
      <x:c r="H45" s="130" t="e">
        <x:f>COUNTIF(当前CP样本!$F$4:$F$315,"&gt;="&amp;A45)</x:f>
        <x:v>#NAME?</x:v>
      </x:c>
      <x:c r="I45" s="131" t="e">
        <x:f>H45/参数与口径!$B$5</x:f>
        <x:v>#NAME?</x:v>
      </x:c>
      <x:c r="J45" s="20"/>
    </x:row>
    <x:row r="46" ht="22" customHeight="1">
      <x:c r="A46" s="58">
        <x:v>43</x:v>
      </x:c>
      <x:c r="B46" s="58" t="s">
        <x:v>3547</x:v>
      </x:c>
      <x:c r="C46" s="130" t="e">
        <x:f>平台曲线参考!K46</x:f>
        <x:v>#NAME?</x:v>
      </x:c>
      <x:c r="D46" s="130">
        <x:f t="shared" si="0"/>
        <x:v>245000</x:v>
      </x:c>
      <x:c r="E46" s="131">
        <x:f t="shared" si="1"/>
        <x:v>0.0580018939393939</x:v>
      </x:c>
      <x:c r="F46" s="130" t="e">
        <x:f>COUNTIF(当前CP样本!$F$4:$F$315,A46)</x:f>
        <x:v>#NAME?</x:v>
      </x:c>
      <x:c r="G46" s="131" t="e">
        <x:f>F46/参数与口径!$B$5</x:f>
        <x:v>#NAME?</x:v>
      </x:c>
      <x:c r="H46" s="130" t="e">
        <x:f>COUNTIF(当前CP样本!$F$4:$F$315,"&gt;="&amp;A46)</x:f>
        <x:v>#NAME?</x:v>
      </x:c>
      <x:c r="I46" s="131" t="e">
        <x:f>H46/参数与口径!$B$5</x:f>
        <x:v>#NAME?</x:v>
      </x:c>
      <x:c r="J46" s="20"/>
    </x:row>
    <x:row r="47" ht="22" customHeight="1">
      <x:c r="A47" s="58">
        <x:v>44</x:v>
      </x:c>
      <x:c r="B47" s="58" t="s">
        <x:v>3547</x:v>
      </x:c>
      <x:c r="C47" s="130" t="e">
        <x:f>平台曲线参考!K47</x:f>
        <x:v>#NAME?</x:v>
      </x:c>
      <x:c r="D47" s="130">
        <x:f t="shared" si="0"/>
        <x:v>251000</x:v>
      </x:c>
      <x:c r="E47" s="131">
        <x:f t="shared" si="1"/>
        <x:v>0.0561646900872678</x:v>
      </x:c>
      <x:c r="F47" s="130" t="e">
        <x:f>COUNTIF(当前CP样本!$F$4:$F$315,A47)</x:f>
        <x:v>#NAME?</x:v>
      </x:c>
      <x:c r="G47" s="131" t="e">
        <x:f>F47/参数与口径!$B$5</x:f>
        <x:v>#NAME?</x:v>
      </x:c>
      <x:c r="H47" s="130" t="e">
        <x:f>COUNTIF(当前CP样本!$F$4:$F$315,"&gt;="&amp;A47)</x:f>
        <x:v>#NAME?</x:v>
      </x:c>
      <x:c r="I47" s="131" t="e">
        <x:f>H47/参数与口径!$B$5</x:f>
        <x:v>#NAME?</x:v>
      </x:c>
      <x:c r="J47" s="20"/>
    </x:row>
    <x:row r="48" ht="22" customHeight="1">
      <x:c r="A48" s="58">
        <x:v>45</x:v>
      </x:c>
      <x:c r="B48" s="58" t="s">
        <x:v>3547</x:v>
      </x:c>
      <x:c r="C48" s="130" t="e">
        <x:f>平台曲线参考!K48</x:f>
        <x:v>#NAME?</x:v>
      </x:c>
      <x:c r="D48" s="130">
        <x:f t="shared" si="0"/>
        <x:v>256000</x:v>
      </x:c>
      <x:c r="E48" s="131">
        <x:f t="shared" si="1"/>
        <x:v>0.0542372881355932</x:v>
      </x:c>
      <x:c r="F48" s="130" t="e">
        <x:f>COUNTIF(当前CP样本!$F$4:$F$315,A48)</x:f>
        <x:v>#NAME?</x:v>
      </x:c>
      <x:c r="G48" s="131" t="e">
        <x:f>F48/参数与口径!$B$5</x:f>
        <x:v>#NAME?</x:v>
      </x:c>
      <x:c r="H48" s="130" t="e">
        <x:f>COUNTIF(当前CP样本!$F$4:$F$315,"&gt;="&amp;A48)</x:f>
        <x:v>#NAME?</x:v>
      </x:c>
      <x:c r="I48" s="131" t="e">
        <x:f>H48/参数与口径!$B$5</x:f>
        <x:v>#NAME?</x:v>
      </x:c>
      <x:c r="J48" s="20"/>
    </x:row>
    <x:row r="49" ht="22" customHeight="1">
      <x:c r="A49" s="58">
        <x:v>46</x:v>
      </x:c>
      <x:c r="B49" s="58" t="s">
        <x:v>3547</x:v>
      </x:c>
      <x:c r="C49" s="130" t="e">
        <x:f>平台曲线参考!K49</x:f>
        <x:v>#NAME?</x:v>
      </x:c>
      <x:c r="D49" s="130">
        <x:f t="shared" si="0"/>
        <x:v>263000</x:v>
      </x:c>
      <x:c r="E49" s="131">
        <x:f t="shared" si="1"/>
        <x:v>0.0528536977491961</x:v>
      </x:c>
      <x:c r="F49" s="130" t="e">
        <x:f>COUNTIF(当前CP样本!$F$4:$F$315,A49)</x:f>
        <x:v>#NAME?</x:v>
      </x:c>
      <x:c r="G49" s="131" t="e">
        <x:f>F49/参数与口径!$B$5</x:f>
        <x:v>#NAME?</x:v>
      </x:c>
      <x:c r="H49" s="130" t="e">
        <x:f>COUNTIF(当前CP样本!$F$4:$F$315,"&gt;="&amp;A49)</x:f>
        <x:v>#NAME?</x:v>
      </x:c>
      <x:c r="I49" s="131" t="e">
        <x:f>H49/参数与口径!$B$5</x:f>
        <x:v>#NAME?</x:v>
      </x:c>
      <x:c r="J49" s="20"/>
    </x:row>
    <x:row r="50" ht="22" customHeight="1">
      <x:c r="A50" s="58">
        <x:v>47</x:v>
      </x:c>
      <x:c r="B50" s="58" t="s">
        <x:v>3547</x:v>
      </x:c>
      <x:c r="C50" s="130" t="e">
        <x:f>平台曲线参考!K50</x:f>
        <x:v>#NAME?</x:v>
      </x:c>
      <x:c r="D50" s="130">
        <x:f t="shared" si="0"/>
        <x:v>268000</x:v>
      </x:c>
      <x:c r="E50" s="131">
        <x:f t="shared" si="1"/>
        <x:v>0.0511548005344531</x:v>
      </x:c>
      <x:c r="F50" s="130" t="e">
        <x:f>COUNTIF(当前CP样本!$F$4:$F$315,A50)</x:f>
        <x:v>#NAME?</x:v>
      </x:c>
      <x:c r="G50" s="131" t="e">
        <x:f>F50/参数与口径!$B$5</x:f>
        <x:v>#NAME?</x:v>
      </x:c>
      <x:c r="H50" s="130" t="e">
        <x:f>COUNTIF(当前CP样本!$F$4:$F$315,"&gt;="&amp;A50)</x:f>
        <x:v>#NAME?</x:v>
      </x:c>
      <x:c r="I50" s="131" t="e">
        <x:f>H50/参数与口径!$B$5</x:f>
        <x:v>#NAME?</x:v>
      </x:c>
      <x:c r="J50" s="20"/>
    </x:row>
    <x:row r="51" ht="22" customHeight="1">
      <x:c r="A51" s="58">
        <x:v>48</x:v>
      </x:c>
      <x:c r="B51" s="58" t="s">
        <x:v>3547</x:v>
      </x:c>
      <x:c r="C51" s="130" t="e">
        <x:f>平台曲线参考!K51</x:f>
        <x:v>#NAME?</x:v>
      </x:c>
      <x:c r="D51" s="130">
        <x:f t="shared" si="0"/>
        <x:v>274000</x:v>
      </x:c>
      <x:c r="E51" s="131">
        <x:f t="shared" si="1"/>
        <x:v>0.0497548574541493</x:v>
      </x:c>
      <x:c r="F51" s="130" t="e">
        <x:f>COUNTIF(当前CP样本!$F$4:$F$315,A51)</x:f>
        <x:v>#NAME?</x:v>
      </x:c>
      <x:c r="G51" s="131" t="e">
        <x:f>F51/参数与口径!$B$5</x:f>
        <x:v>#NAME?</x:v>
      </x:c>
      <x:c r="H51" s="130" t="e">
        <x:f>COUNTIF(当前CP样本!$F$4:$F$315,"&gt;="&amp;A51)</x:f>
        <x:v>#NAME?</x:v>
      </x:c>
      <x:c r="I51" s="131" t="e">
        <x:f>H51/参数与口径!$B$5</x:f>
        <x:v>#NAME?</x:v>
      </x:c>
      <x:c r="J51" s="20"/>
    </x:row>
    <x:row r="52" ht="22" customHeight="1">
      <x:c r="A52" s="58">
        <x:v>49</x:v>
      </x:c>
      <x:c r="B52" s="58" t="s">
        <x:v>3547</x:v>
      </x:c>
      <x:c r="C52" s="130" t="e">
        <x:f>平台曲线参考!K52</x:f>
        <x:v>#NAME?</x:v>
      </x:c>
      <x:c r="D52" s="130">
        <x:f t="shared" si="0"/>
        <x:v>280000</x:v>
      </x:c>
      <x:c r="E52" s="131">
        <x:f t="shared" si="1"/>
        <x:v>0.0484345268984605</x:v>
      </x:c>
      <x:c r="F52" s="130" t="e">
        <x:f>COUNTIF(当前CP样本!$F$4:$F$315,A52)</x:f>
        <x:v>#NAME?</x:v>
      </x:c>
      <x:c r="G52" s="131" t="e">
        <x:f>F52/参数与口径!$B$5</x:f>
        <x:v>#NAME?</x:v>
      </x:c>
      <x:c r="H52" s="130" t="e">
        <x:f>COUNTIF(当前CP样本!$F$4:$F$315,"&gt;="&amp;A52)</x:f>
        <x:v>#NAME?</x:v>
      </x:c>
      <x:c r="I52" s="131" t="e">
        <x:f>H52/参数与口径!$B$5</x:f>
        <x:v>#NAME?</x:v>
      </x:c>
      <x:c r="J52" s="20"/>
    </x:row>
    <x:row r="53" ht="22" customHeight="1">
      <x:c r="A53" s="58">
        <x:v>50</x:v>
      </x:c>
      <x:c r="B53" s="58" t="s">
        <x:v>3547</x:v>
      </x:c>
      <x:c r="C53" s="130" t="e">
        <x:f>平台曲线参考!K53</x:f>
        <x:v>#NAME?</x:v>
      </x:c>
      <x:c r="D53" s="130">
        <x:f t="shared" si="0"/>
        <x:v>286000</x:v>
      </x:c>
      <x:c r="E53" s="131">
        <x:f t="shared" si="1"/>
        <x:v>0.0471869328493648</x:v>
      </x:c>
      <x:c r="F53" s="130" t="e">
        <x:f>COUNTIF(当前CP样本!$F$4:$F$315,A53)</x:f>
        <x:v>#NAME?</x:v>
      </x:c>
      <x:c r="G53" s="131" t="e">
        <x:f>F53/参数与口径!$B$5</x:f>
        <x:v>#NAME?</x:v>
      </x:c>
      <x:c r="H53" s="130" t="e">
        <x:f>COUNTIF(当前CP样本!$F$4:$F$315,"&gt;="&amp;A53)</x:f>
        <x:v>#NAME?</x:v>
      </x:c>
      <x:c r="I53" s="131" t="e">
        <x:f>H53/参数与口径!$B$5</x:f>
        <x:v>#NAME?</x:v>
      </x:c>
      <x:c r="J53" s="20"/>
    </x:row>
    <x:row r="54" ht="22" customHeight="1">
      <x:c r="A54" s="58">
        <x:v>51</x:v>
      </x:c>
      <x:c r="B54" s="58" t="s">
        <x:v>3547</x:v>
      </x:c>
      <x:c r="C54" s="130" t="e">
        <x:f>平台曲线参考!K54</x:f>
        <x:v>#NAME?</x:v>
      </x:c>
      <x:c r="D54" s="130">
        <x:f t="shared" si="0"/>
        <x:v>292000</x:v>
      </x:c>
      <x:c r="E54" s="131">
        <x:f t="shared" si="1"/>
        <x:v>0.0460059870805105</x:v>
      </x:c>
      <x:c r="F54" s="130" t="e">
        <x:f>COUNTIF(当前CP样本!$F$4:$F$315,A54)</x:f>
        <x:v>#NAME?</x:v>
      </x:c>
      <x:c r="G54" s="131" t="e">
        <x:f>F54/参数与口径!$B$5</x:f>
        <x:v>#NAME?</x:v>
      </x:c>
      <x:c r="H54" s="130" t="e">
        <x:f>COUNTIF(当前CP样本!$F$4:$F$315,"&gt;="&amp;A54)</x:f>
        <x:v>#NAME?</x:v>
      </x:c>
      <x:c r="I54" s="131" t="e">
        <x:f>H54/参数与口径!$B$5</x:f>
        <x:v>#NAME?</x:v>
      </x:c>
      <x:c r="J54" s="20"/>
    </x:row>
    <x:row r="55" ht="22" customHeight="1">
      <x:c r="A55" s="58">
        <x:v>52</x:v>
      </x:c>
      <x:c r="B55" s="58" t="s">
        <x:v>3547</x:v>
      </x:c>
      <x:c r="C55" s="130" t="e">
        <x:f>平台曲线参考!K55</x:f>
        <x:v>#NAME?</x:v>
      </x:c>
      <x:c r="D55" s="130">
        <x:f t="shared" si="0"/>
        <x:v>327000</x:v>
      </x:c>
      <x:c r="E55" s="131">
        <x:f t="shared" si="1"/>
        <x:v>0.0492544057840036</x:v>
      </x:c>
      <x:c r="F55" s="130" t="e">
        <x:f>COUNTIF(当前CP样本!$F$4:$F$315,A55)</x:f>
        <x:v>#NAME?</x:v>
      </x:c>
      <x:c r="G55" s="131" t="e">
        <x:f>F55/参数与口径!$B$5</x:f>
        <x:v>#NAME?</x:v>
      </x:c>
      <x:c r="H55" s="130" t="e">
        <x:f>COUNTIF(当前CP样本!$F$4:$F$315,"&gt;="&amp;A55)</x:f>
        <x:v>#NAME?</x:v>
      </x:c>
      <x:c r="I55" s="131" t="e">
        <x:f>H55/参数与口径!$B$5</x:f>
        <x:v>#NAME?</x:v>
      </x:c>
      <x:c r="J55" s="20"/>
    </x:row>
    <x:row r="56" ht="22" customHeight="1">
      <x:c r="A56" s="58">
        <x:v>53</x:v>
      </x:c>
      <x:c r="B56" s="58" t="s">
        <x:v>3547</x:v>
      </x:c>
      <x:c r="C56" s="130" t="e">
        <x:f>平台曲线参考!K56</x:f>
        <x:v>#NAME?</x:v>
      </x:c>
      <x:c r="D56" s="130">
        <x:f t="shared" si="0"/>
        <x:v>333000</x:v>
      </x:c>
      <x:c r="E56" s="131">
        <x:f t="shared" si="1"/>
        <x:v>0.0478036175710594</x:v>
      </x:c>
      <x:c r="F56" s="130" t="e">
        <x:f>COUNTIF(当前CP样本!$F$4:$F$315,A56)</x:f>
        <x:v>#NAME?</x:v>
      </x:c>
      <x:c r="G56" s="131" t="e">
        <x:f>F56/参数与口径!$B$5</x:f>
        <x:v>#NAME?</x:v>
      </x:c>
      <x:c r="H56" s="130" t="e">
        <x:f>COUNTIF(当前CP样本!$F$4:$F$315,"&gt;="&amp;A56)</x:f>
        <x:v>#NAME?</x:v>
      </x:c>
      <x:c r="I56" s="131" t="e">
        <x:f>H56/参数与口径!$B$5</x:f>
        <x:v>#NAME?</x:v>
      </x:c>
      <x:c r="J56" s="20"/>
    </x:row>
    <x:row r="57" ht="22" customHeight="1">
      <x:c r="A57" s="58">
        <x:v>54</x:v>
      </x:c>
      <x:c r="B57" s="58" t="s">
        <x:v>3547</x:v>
      </x:c>
      <x:c r="C57" s="130" t="e">
        <x:f>平台曲线参考!K57</x:f>
        <x:v>#NAME?</x:v>
      </x:c>
      <x:c r="D57" s="130">
        <x:f t="shared" si="0"/>
        <x:v>340000</x:v>
      </x:c>
      <x:c r="E57" s="131">
        <x:f t="shared" si="1"/>
        <x:v>0.0465817235237704</x:v>
      </x:c>
      <x:c r="F57" s="130" t="e">
        <x:f>COUNTIF(当前CP样本!$F$4:$F$315,A57)</x:f>
        <x:v>#NAME?</x:v>
      </x:c>
      <x:c r="G57" s="131" t="e">
        <x:f>F57/参数与口径!$B$5</x:f>
        <x:v>#NAME?</x:v>
      </x:c>
      <x:c r="H57" s="130" t="e">
        <x:f>COUNTIF(当前CP样本!$F$4:$F$315,"&gt;="&amp;A57)</x:f>
        <x:v>#NAME?</x:v>
      </x:c>
      <x:c r="I57" s="131" t="e">
        <x:f>H57/参数与口径!$B$5</x:f>
        <x:v>#NAME?</x:v>
      </x:c>
      <x:c r="J57" s="20"/>
    </x:row>
    <x:row r="58" ht="22" customHeight="1">
      <x:c r="A58" s="58">
        <x:v>55</x:v>
      </x:c>
      <x:c r="B58" s="58" t="s">
        <x:v>3547</x:v>
      </x:c>
      <x:c r="C58" s="130" t="e">
        <x:f>平台曲线参考!K58</x:f>
        <x:v>#NAME?</x:v>
      </x:c>
      <x:c r="D58" s="130">
        <x:f t="shared" si="0"/>
        <x:v>347000</x:v>
      </x:c>
      <x:c r="E58" s="131">
        <x:f t="shared" si="1"/>
        <x:v>0.0454247938211808</x:v>
      </x:c>
      <x:c r="F58" s="130" t="e">
        <x:f>COUNTIF(当前CP样本!$F$4:$F$315,A58)</x:f>
        <x:v>#NAME?</x:v>
      </x:c>
      <x:c r="G58" s="131" t="e">
        <x:f>F58/参数与口径!$B$5</x:f>
        <x:v>#NAME?</x:v>
      </x:c>
      <x:c r="H58" s="130" t="e">
        <x:f>COUNTIF(当前CP样本!$F$4:$F$315,"&gt;="&amp;A58)</x:f>
        <x:v>#NAME?</x:v>
      </x:c>
      <x:c r="I58" s="131" t="e">
        <x:f>H58/参数与口径!$B$5</x:f>
        <x:v>#NAME?</x:v>
      </x:c>
      <x:c r="J58" s="20"/>
    </x:row>
    <x:row r="59" ht="22" customHeight="1">
      <x:c r="A59" s="58">
        <x:v>56</x:v>
      </x:c>
      <x:c r="B59" s="58" t="s">
        <x:v>3547</x:v>
      </x:c>
      <x:c r="C59" s="130" t="e">
        <x:f>平台曲线参考!K59</x:f>
        <x:v>#NAME?</x:v>
      </x:c>
      <x:c r="D59" s="130">
        <x:f t="shared" si="0"/>
        <x:v>353000</x:v>
      </x:c>
      <x:c r="E59" s="131">
        <x:f t="shared" si="1"/>
        <x:v>0.0442023541197095</x:v>
      </x:c>
      <x:c r="F59" s="130" t="e">
        <x:f>COUNTIF(当前CP样本!$F$4:$F$315,A59)</x:f>
        <x:v>#NAME?</x:v>
      </x:c>
      <x:c r="G59" s="131" t="e">
        <x:f>F59/参数与口径!$B$5</x:f>
        <x:v>#NAME?</x:v>
      </x:c>
      <x:c r="H59" s="130" t="e">
        <x:f>COUNTIF(当前CP样本!$F$4:$F$315,"&gt;="&amp;A59)</x:f>
        <x:v>#NAME?</x:v>
      </x:c>
      <x:c r="I59" s="131" t="e">
        <x:f>H59/参数与口径!$B$5</x:f>
        <x:v>#NAME?</x:v>
      </x:c>
      <x:c r="J59" s="20"/>
    </x:row>
    <x:row r="60" ht="22" customHeight="1">
      <x:c r="A60" s="58">
        <x:v>57</x:v>
      </x:c>
      <x:c r="B60" s="58" t="s">
        <x:v>3547</x:v>
      </x:c>
      <x:c r="C60" s="130" t="e">
        <x:f>平台曲线参考!K60</x:f>
        <x:v>#NAME?</x:v>
      </x:c>
      <x:c r="D60" s="130">
        <x:f t="shared" si="0"/>
        <x:v>359000</x:v>
      </x:c>
      <x:c r="E60" s="131">
        <x:f t="shared" si="1"/>
        <x:v>0.0430507255066555</x:v>
      </x:c>
      <x:c r="F60" s="130" t="e">
        <x:f>COUNTIF(当前CP样本!$F$4:$F$315,A60)</x:f>
        <x:v>#NAME?</x:v>
      </x:c>
      <x:c r="G60" s="131" t="e">
        <x:f>F60/参数与口径!$B$5</x:f>
        <x:v>#NAME?</x:v>
      </x:c>
      <x:c r="H60" s="130" t="e">
        <x:f>COUNTIF(当前CP样本!$F$4:$F$315,"&gt;="&amp;A60)</x:f>
        <x:v>#NAME?</x:v>
      </x:c>
      <x:c r="I60" s="131" t="e">
        <x:f>H60/参数与口径!$B$5</x:f>
        <x:v>#NAME?</x:v>
      </x:c>
      <x:c r="J60" s="20"/>
    </x:row>
    <x:row r="61" ht="22" customHeight="1">
      <x:c r="A61" s="58">
        <x:v>58</x:v>
      </x:c>
      <x:c r="B61" s="58" t="s">
        <x:v>3547</x:v>
      </x:c>
      <x:c r="C61" s="130" t="e">
        <x:f>平台曲线参考!K61</x:f>
        <x:v>#NAME?</x:v>
      </x:c>
      <x:c r="D61" s="130">
        <x:f t="shared" si="0"/>
        <x:v>366000</x:v>
      </x:c>
      <x:c r="E61" s="131">
        <x:f t="shared" si="1"/>
        <x:v>0.0420786387675328</x:v>
      </x:c>
      <x:c r="F61" s="130" t="e">
        <x:f>COUNTIF(当前CP样本!$F$4:$F$315,A61)</x:f>
        <x:v>#NAME?</x:v>
      </x:c>
      <x:c r="G61" s="131" t="e">
        <x:f>F61/参数与口径!$B$5</x:f>
        <x:v>#NAME?</x:v>
      </x:c>
      <x:c r="H61" s="130" t="e">
        <x:f>COUNTIF(当前CP样本!$F$4:$F$315,"&gt;="&amp;A61)</x:f>
        <x:v>#NAME?</x:v>
      </x:c>
      <x:c r="I61" s="131" t="e">
        <x:f>H61/参数与口径!$B$5</x:f>
        <x:v>#NAME?</x:v>
      </x:c>
      <x:c r="J61" s="20"/>
    </x:row>
    <x:row r="62" ht="22" customHeight="1">
      <x:c r="A62" s="58">
        <x:v>59</x:v>
      </x:c>
      <x:c r="B62" s="58" t="s">
        <x:v>3547</x:v>
      </x:c>
      <x:c r="C62" s="130" t="e">
        <x:f>平台曲线参考!K62</x:f>
        <x:v>#NAME?</x:v>
      </x:c>
      <x:c r="D62" s="130">
        <x:f t="shared" si="0"/>
        <x:v>372000</x:v>
      </x:c>
      <x:c r="E62" s="131">
        <x:f t="shared" si="1"/>
        <x:v>0.0410414827890556</x:v>
      </x:c>
      <x:c r="F62" s="130" t="e">
        <x:f>COUNTIF(当前CP样本!$F$4:$F$315,A62)</x:f>
        <x:v>#NAME?</x:v>
      </x:c>
      <x:c r="G62" s="131" t="e">
        <x:f>F62/参数与口径!$B$5</x:f>
        <x:v>#NAME?</x:v>
      </x:c>
      <x:c r="H62" s="130" t="e">
        <x:f>COUNTIF(当前CP样本!$F$4:$F$315,"&gt;="&amp;A62)</x:f>
        <x:v>#NAME?</x:v>
      </x:c>
      <x:c r="I62" s="131" t="e">
        <x:f>H62/参数与口径!$B$5</x:f>
        <x:v>#NAME?</x:v>
      </x:c>
      <x:c r="J62" s="20"/>
    </x:row>
    <x:row r="63" ht="22" customHeight="1">
      <x:c r="A63" s="58">
        <x:v>60</x:v>
      </x:c>
      <x:c r="B63" s="58" t="s">
        <x:v>3547</x:v>
      </x:c>
      <x:c r="C63" s="130" t="e">
        <x:f>平台曲线参考!K63</x:f>
        <x:v>#NAME?</x:v>
      </x:c>
      <x:c r="D63" s="130">
        <x:f t="shared" si="0"/>
        <x:v>378000</x:v>
      </x:c>
      <x:c r="E63" s="131">
        <x:f t="shared" si="1"/>
        <x:v>0.0400593471810089</x:v>
      </x:c>
      <x:c r="F63" s="130" t="e">
        <x:f>COUNTIF(当前CP样本!$F$4:$F$315,A63)</x:f>
        <x:v>#NAME?</x:v>
      </x:c>
      <x:c r="G63" s="131" t="e">
        <x:f>F63/参数与口径!$B$5</x:f>
        <x:v>#NAME?</x:v>
      </x:c>
      <x:c r="H63" s="130" t="e">
        <x:f>COUNTIF(当前CP样本!$F$4:$F$315,"&gt;="&amp;A63)</x:f>
        <x:v>#NAME?</x:v>
      </x:c>
      <x:c r="I63" s="131" t="e">
        <x:f>H63/参数与口径!$B$5</x:f>
        <x:v>#NAME?</x:v>
      </x:c>
      <x:c r="J63" s="20"/>
    </x:row>
    <x:row r="64" ht="22" customHeight="1">
      <x:c r="A64" s="58">
        <x:v>61</x:v>
      </x:c>
      <x:c r="B64" s="58" t="s">
        <x:v>3551</x:v>
      </x:c>
      <x:c r="C64" s="130" t="e">
        <x:f>平台曲线参考!K64</x:f>
        <x:v>#NAME?</x:v>
      </x:c>
      <x:c r="D64" s="130">
        <x:f t="shared" si="0"/>
        <x:v>385000</x:v>
      </x:c>
      <x:c r="E64" s="131">
        <x:f t="shared" si="1"/>
        <x:v>0.0392296718972896</x:v>
      </x:c>
      <x:c r="F64" s="130" t="e">
        <x:f>COUNTIF(当前CP样本!$F$4:$F$315,A64)</x:f>
        <x:v>#NAME?</x:v>
      </x:c>
      <x:c r="G64" s="131" t="e">
        <x:f>F64/参数与口径!$B$5</x:f>
        <x:v>#NAME?</x:v>
      </x:c>
      <x:c r="H64" s="130" t="e">
        <x:f>COUNTIF(当前CP样本!$F$4:$F$315,"&gt;="&amp;A64)</x:f>
        <x:v>#NAME?</x:v>
      </x:c>
      <x:c r="I64" s="131" t="e">
        <x:f>H64/参数与口径!$B$5</x:f>
        <x:v>#NAME?</x:v>
      </x:c>
      <x:c r="J64" s="20" t="s">
        <x:v>3574</x:v>
      </x:c>
    </x:row>
    <x:row r="65" ht="22" customHeight="1">
      <x:c r="A65" s="58">
        <x:v>62</x:v>
      </x:c>
      <x:c r="B65" s="58" t="s">
        <x:v>3551</x:v>
      </x:c>
      <x:c r="C65" s="130" t="e">
        <x:f>平台曲线参考!K65</x:f>
        <x:v>#NAME?</x:v>
      </x:c>
      <x:c r="D65" s="130">
        <x:f t="shared" si="0"/>
        <x:v>427000</x:v>
      </x:c>
      <x:c r="E65" s="131">
        <x:f t="shared" si="1"/>
        <x:v>0.0418668496911462</x:v>
      </x:c>
      <x:c r="F65" s="130" t="e">
        <x:f>COUNTIF(当前CP样本!$F$4:$F$315,A65)</x:f>
        <x:v>#NAME?</x:v>
      </x:c>
      <x:c r="G65" s="131" t="e">
        <x:f>F65/参数与口径!$B$5</x:f>
        <x:v>#NAME?</x:v>
      </x:c>
      <x:c r="H65" s="130" t="e">
        <x:f>COUNTIF(当前CP样本!$F$4:$F$315,"&gt;="&amp;A65)</x:f>
        <x:v>#NAME?</x:v>
      </x:c>
      <x:c r="I65" s="131" t="e">
        <x:f>H65/参数与口径!$B$5</x:f>
        <x:v>#NAME?</x:v>
      </x:c>
      <x:c r="J65" s="20"/>
    </x:row>
    <x:row r="66" ht="22" customHeight="1">
      <x:c r="A66" s="58">
        <x:v>63</x:v>
      </x:c>
      <x:c r="B66" s="58" t="s">
        <x:v>3551</x:v>
      </x:c>
      <x:c r="C66" s="130" t="e">
        <x:f>平台曲线参考!K66</x:f>
        <x:v>#NAME?</x:v>
      </x:c>
      <x:c r="D66" s="130">
        <x:f t="shared" si="0"/>
        <x:v>434000</x:v>
      </x:c>
      <x:c r="E66" s="131">
        <x:f t="shared" si="1"/>
        <x:v>0.0408432147562582</x:v>
      </x:c>
      <x:c r="F66" s="130" t="e">
        <x:f>COUNTIF(当前CP样本!$F$4:$F$315,A66)</x:f>
        <x:v>#NAME?</x:v>
      </x:c>
      <x:c r="G66" s="131" t="e">
        <x:f>F66/参数与口径!$B$5</x:f>
        <x:v>#NAME?</x:v>
      </x:c>
      <x:c r="H66" s="130" t="e">
        <x:f>COUNTIF(当前CP样本!$F$4:$F$315,"&gt;="&amp;A66)</x:f>
        <x:v>#NAME?</x:v>
      </x:c>
      <x:c r="I66" s="131" t="e">
        <x:f>H66/参数与口径!$B$5</x:f>
        <x:v>#NAME?</x:v>
      </x:c>
      <x:c r="J66" s="20"/>
    </x:row>
    <x:row r="67" ht="22" customHeight="1">
      <x:c r="A67" s="58">
        <x:v>64</x:v>
      </x:c>
      <x:c r="B67" s="58" t="s">
        <x:v>3551</x:v>
      </x:c>
      <x:c r="C67" s="130" t="e">
        <x:f>平台曲线参考!K67</x:f>
        <x:v>#NAME?</x:v>
      </x:c>
      <x:c r="D67" s="130">
        <x:f t="shared" si="0"/>
        <x:v>441000</x:v>
      </x:c>
      <x:c r="E67" s="131">
        <x:f t="shared" si="1"/>
        <x:v>0.039873417721519</x:v>
      </x:c>
      <x:c r="F67" s="130" t="e">
        <x:f>COUNTIF(当前CP样本!$F$4:$F$315,A67)</x:f>
        <x:v>#NAME?</x:v>
      </x:c>
      <x:c r="G67" s="131" t="e">
        <x:f>F67/参数与口径!$B$5</x:f>
        <x:v>#NAME?</x:v>
      </x:c>
      <x:c r="H67" s="130" t="e">
        <x:f>COUNTIF(当前CP样本!$F$4:$F$315,"&gt;="&amp;A67)</x:f>
        <x:v>#NAME?</x:v>
      </x:c>
      <x:c r="I67" s="131" t="e">
        <x:f>H67/参数与口径!$B$5</x:f>
        <x:v>#NAME?</x:v>
      </x:c>
      <x:c r="J67" s="20"/>
    </x:row>
    <x:row r="68" ht="22" customHeight="1">
      <x:c r="A68" s="58">
        <x:v>65</x:v>
      </x:c>
      <x:c r="B68" s="58" t="s">
        <x:v>3551</x:v>
      </x:c>
      <x:c r="C68" s="130" t="e">
        <x:f>平台曲线参考!K68</x:f>
        <x:v>#NAME?</x:v>
      </x:c>
      <x:c r="D68" s="130" t="e">
        <x:f t="shared" ref="D68:D103" si="2">IF(A68=1,C68,C68-C67)</x:f>
        <x:v>#NAME?</x:v>
      </x:c>
      <x:c r="E68" s="131">
        <x:f t="shared" si="1"/>
        <x:v>0.0389531345100426</x:v>
      </x:c>
      <x:c r="F68" s="130" t="e">
        <x:f>COUNTIF(当前CP样本!$F$4:$F$315,A68)</x:f>
        <x:v>#NAME?</x:v>
      </x:c>
      <x:c r="G68" s="131" t="e">
        <x:f>F68/参数与口径!$B$5</x:f>
        <x:v>#NAME?</x:v>
      </x:c>
      <x:c r="H68" s="130" t="e">
        <x:f>COUNTIF(当前CP样本!$F$4:$F$315,"&gt;="&amp;A68)</x:f>
        <x:v>#NAME?</x:v>
      </x:c>
      <x:c r="I68" s="131" t="e">
        <x:f>H68/参数与口径!$B$5</x:f>
        <x:v>#NAME?</x:v>
      </x:c>
      <x:c r="J68" s="20"/>
    </x:row>
    <x:row r="69" ht="22" customHeight="1">
      <x:c r="A69" s="58">
        <x:v>66</x:v>
      </x:c>
      <x:c r="B69" s="58" t="s">
        <x:v>3551</x:v>
      </x:c>
      <x:c r="C69" s="130" t="e">
        <x:f>平台曲线参考!K69</x:f>
        <x:v>#NAME?</x:v>
      </x:c>
      <x:c r="D69" s="130">
        <x:f t="shared" si="2"/>
        <x:v>455000</x:v>
      </x:c>
      <x:c r="E69" s="131" t="e">
        <x:f t="shared" ref="E69:E103" si="3">D69/C68</x:f>
        <x:v>#NAME?</x:v>
      </x:c>
      <x:c r="F69" s="130" t="e">
        <x:f>COUNTIF(当前CP样本!$F$4:$F$315,A69)</x:f>
        <x:v>#NAME?</x:v>
      </x:c>
      <x:c r="G69" s="131" t="e">
        <x:f>F69/参数与口径!$B$5</x:f>
        <x:v>#NAME?</x:v>
      </x:c>
      <x:c r="H69" s="130" t="e">
        <x:f>COUNTIF(当前CP样本!$F$4:$F$315,"&gt;="&amp;A69)</x:f>
        <x:v>#NAME?</x:v>
      </x:c>
      <x:c r="I69" s="131" t="e">
        <x:f>H69/参数与口径!$B$5</x:f>
        <x:v>#NAME?</x:v>
      </x:c>
      <x:c r="J69" s="20"/>
    </x:row>
    <x:row r="70" ht="22" customHeight="1">
      <x:c r="A70" s="58">
        <x:v>67</x:v>
      </x:c>
      <x:c r="B70" s="58" t="s">
        <x:v>3551</x:v>
      </x:c>
      <x:c r="C70" s="130" t="e">
        <x:f>平台曲线参考!K70</x:f>
        <x:v>#NAME?</x:v>
      </x:c>
      <x:c r="D70" s="130">
        <x:f t="shared" si="2"/>
        <x:v>462000</x:v>
      </x:c>
      <x:c r="E70" s="131">
        <x:f t="shared" si="3"/>
        <x:v>0.0372460496613995</x:v>
      </x:c>
      <x:c r="F70" s="130" t="e">
        <x:f>COUNTIF(当前CP样本!$F$4:$F$315,A70)</x:f>
        <x:v>#NAME?</x:v>
      </x:c>
      <x:c r="G70" s="131" t="e">
        <x:f>F70/参数与口径!$B$5</x:f>
        <x:v>#NAME?</x:v>
      </x:c>
      <x:c r="H70" s="130" t="e">
        <x:f>COUNTIF(当前CP样本!$F$4:$F$315,"&gt;="&amp;A70)</x:f>
        <x:v>#NAME?</x:v>
      </x:c>
      <x:c r="I70" s="131" t="e">
        <x:f>H70/参数与口径!$B$5</x:f>
        <x:v>#NAME?</x:v>
      </x:c>
      <x:c r="J70" s="20"/>
    </x:row>
    <x:row r="71" ht="22" customHeight="1">
      <x:c r="A71" s="58">
        <x:v>68</x:v>
      </x:c>
      <x:c r="B71" s="58" t="s">
        <x:v>3551</x:v>
      </x:c>
      <x:c r="C71" s="130" t="e">
        <x:f>平台曲线参考!K71</x:f>
        <x:v>#NAME?</x:v>
      </x:c>
      <x:c r="D71" s="130">
        <x:f t="shared" si="2"/>
        <x:v>469000</x:v>
      </x:c>
      <x:c r="E71" s="131">
        <x:f t="shared" si="3"/>
        <x:v>0.0364526659412405</x:v>
      </x:c>
      <x:c r="F71" s="130" t="e">
        <x:f>COUNTIF(当前CP样本!$F$4:$F$315,A71)</x:f>
        <x:v>#NAME?</x:v>
      </x:c>
      <x:c r="G71" s="131" t="e">
        <x:f>F71/参数与口径!$B$5</x:f>
        <x:v>#NAME?</x:v>
      </x:c>
      <x:c r="H71" s="130" t="e">
        <x:f>COUNTIF(当前CP样本!$F$4:$F$315,"&gt;="&amp;A71)</x:f>
        <x:v>#NAME?</x:v>
      </x:c>
      <x:c r="I71" s="131" t="e">
        <x:f>H71/参数与口径!$B$5</x:f>
        <x:v>#NAME?</x:v>
      </x:c>
      <x:c r="J71" s="20"/>
    </x:row>
    <x:row r="72" ht="22" customHeight="1">
      <x:c r="A72" s="58">
        <x:v>69</x:v>
      </x:c>
      <x:c r="B72" s="58" t="s">
        <x:v>3551</x:v>
      </x:c>
      <x:c r="C72" s="130" t="e">
        <x:f>平台曲线参考!K72</x:f>
        <x:v>#NAME?</x:v>
      </x:c>
      <x:c r="D72" s="130">
        <x:f t="shared" si="2"/>
        <x:v>476000</x:v>
      </x:c>
      <x:c r="E72" s="131">
        <x:f t="shared" si="3"/>
        <x:v>0.0356955380577428</x:v>
      </x:c>
      <x:c r="F72" s="130" t="e">
        <x:f>COUNTIF(当前CP样本!$F$4:$F$315,A72)</x:f>
        <x:v>#NAME?</x:v>
      </x:c>
      <x:c r="G72" s="131" t="e">
        <x:f>F72/参数与口径!$B$5</x:f>
        <x:v>#NAME?</x:v>
      </x:c>
      <x:c r="H72" s="130" t="e">
        <x:f>COUNTIF(当前CP样本!$F$4:$F$315,"&gt;="&amp;A72)</x:f>
        <x:v>#NAME?</x:v>
      </x:c>
      <x:c r="I72" s="131" t="e">
        <x:f>H72/参数与口径!$B$5</x:f>
        <x:v>#NAME?</x:v>
      </x:c>
      <x:c r="J72" s="20"/>
    </x:row>
    <x:row r="73" ht="22" customHeight="1">
      <x:c r="A73" s="58">
        <x:v>70</x:v>
      </x:c>
      <x:c r="B73" s="58" t="s">
        <x:v>3551</x:v>
      </x:c>
      <x:c r="C73" s="130" t="e">
        <x:f>平台曲线参考!K73</x:f>
        <x:v>#NAME?</x:v>
      </x:c>
      <x:c r="D73" s="130">
        <x:f t="shared" si="2"/>
        <x:v>483000</x:v>
      </x:c>
      <x:c r="E73" s="131">
        <x:f t="shared" si="3"/>
        <x:v>0.0349721236695388</x:v>
      </x:c>
      <x:c r="F73" s="130" t="e">
        <x:f>COUNTIF(当前CP样本!$F$4:$F$315,A73)</x:f>
        <x:v>#NAME?</x:v>
      </x:c>
      <x:c r="G73" s="131" t="e">
        <x:f>F73/参数与口径!$B$5</x:f>
        <x:v>#NAME?</x:v>
      </x:c>
      <x:c r="H73" s="130" t="e">
        <x:f>COUNTIF(当前CP样本!$F$4:$F$315,"&gt;="&amp;A73)</x:f>
        <x:v>#NAME?</x:v>
      </x:c>
      <x:c r="I73" s="131" t="e">
        <x:f>H73/参数与口径!$B$5</x:f>
        <x:v>#NAME?</x:v>
      </x:c>
      <x:c r="J73" s="20"/>
    </x:row>
    <x:row r="74" ht="22" customHeight="1">
      <x:c r="A74" s="58">
        <x:v>71</x:v>
      </x:c>
      <x:c r="B74" s="58" t="s">
        <x:v>3551</x:v>
      </x:c>
      <x:c r="C74" s="130" t="e">
        <x:f>平台曲线参考!K74</x:f>
        <x:v>#NAME?</x:v>
      </x:c>
      <x:c r="D74" s="130">
        <x:f t="shared" si="2"/>
        <x:v>490000</x:v>
      </x:c>
      <x:c r="E74" s="131">
        <x:f t="shared" si="3"/>
        <x:v>0.0342801175318315</x:v>
      </x:c>
      <x:c r="F74" s="130" t="e">
        <x:f>COUNTIF(当前CP样本!$F$4:$F$315,A74)</x:f>
        <x:v>#NAME?</x:v>
      </x:c>
      <x:c r="G74" s="131" t="e">
        <x:f>F74/参数与口径!$B$5</x:f>
        <x:v>#NAME?</x:v>
      </x:c>
      <x:c r="H74" s="130" t="e">
        <x:f>COUNTIF(当前CP样本!$F$4:$F$315,"&gt;="&amp;A74)</x:f>
        <x:v>#NAME?</x:v>
      </x:c>
      <x:c r="I74" s="131" t="e">
        <x:f>H74/参数与口径!$B$5</x:f>
        <x:v>#NAME?</x:v>
      </x:c>
      <x:c r="J74" s="20"/>
    </x:row>
    <x:row r="75" ht="22" customHeight="1">
      <x:c r="A75" s="58">
        <x:v>72</x:v>
      </x:c>
      <x:c r="B75" s="58" t="s">
        <x:v>3551</x:v>
      </x:c>
      <x:c r="C75" s="130" t="e">
        <x:f>平台曲线参考!K75</x:f>
        <x:v>#NAME?</x:v>
      </x:c>
      <x:c r="D75" s="130">
        <x:f t="shared" si="2"/>
        <x:v>548000</x:v>
      </x:c>
      <x:c r="E75" s="131">
        <x:f t="shared" si="3"/>
        <x:v>0.0370670995670996</x:v>
      </x:c>
      <x:c r="F75" s="130" t="e">
        <x:f>COUNTIF(当前CP样本!$F$4:$F$315,A75)</x:f>
        <x:v>#NAME?</x:v>
      </x:c>
      <x:c r="G75" s="131" t="e">
        <x:f>F75/参数与口径!$B$5</x:f>
        <x:v>#NAME?</x:v>
      </x:c>
      <x:c r="H75" s="130" t="e">
        <x:f>COUNTIF(当前CP样本!$F$4:$F$315,"&gt;="&amp;A75)</x:f>
        <x:v>#NAME?</x:v>
      </x:c>
      <x:c r="I75" s="131" t="e">
        <x:f>H75/参数与口径!$B$5</x:f>
        <x:v>#NAME?</x:v>
      </x:c>
      <x:c r="J75" s="20" t="s">
        <x:v>3575</x:v>
      </x:c>
    </x:row>
    <x:row r="76" ht="22" customHeight="1">
      <x:c r="A76" s="58">
        <x:v>73</x:v>
      </x:c>
      <x:c r="B76" s="58" t="s">
        <x:v>3551</x:v>
      </x:c>
      <x:c r="C76" s="130" t="e">
        <x:f>平台曲线参考!K76</x:f>
        <x:v>#NAME?</x:v>
      </x:c>
      <x:c r="D76" s="130">
        <x:f t="shared" si="2"/>
        <x:v>557000</x:v>
      </x:c>
      <x:c r="E76" s="131">
        <x:f t="shared" si="3"/>
        <x:v>0.0363292460213932</x:v>
      </x:c>
      <x:c r="F76" s="130" t="e">
        <x:f>COUNTIF(当前CP样本!$F$4:$F$315,A76)</x:f>
        <x:v>#NAME?</x:v>
      </x:c>
      <x:c r="G76" s="131" t="e">
        <x:f>F76/参数与口径!$B$5</x:f>
        <x:v>#NAME?</x:v>
      </x:c>
      <x:c r="H76" s="130" t="e">
        <x:f>COUNTIF(当前CP样本!$F$4:$F$315,"&gt;="&amp;A76)</x:f>
        <x:v>#NAME?</x:v>
      </x:c>
      <x:c r="I76" s="131" t="e">
        <x:f>H76/参数与口径!$B$5</x:f>
        <x:v>#NAME?</x:v>
      </x:c>
      <x:c r="J76" s="20"/>
    </x:row>
    <x:row r="77" ht="22" customHeight="1">
      <x:c r="A77" s="58">
        <x:v>74</x:v>
      </x:c>
      <x:c r="B77" s="58" t="s">
        <x:v>3551</x:v>
      </x:c>
      <x:c r="C77" s="130" t="e">
        <x:f>平台曲线参考!K77</x:f>
        <x:v>#NAME?</x:v>
      </x:c>
      <x:c r="D77" s="130">
        <x:f t="shared" si="2"/>
        <x:v>564000</x:v>
      </x:c>
      <x:c r="E77" s="131">
        <x:f t="shared" si="3"/>
        <x:v>0.0354962552709422</x:v>
      </x:c>
      <x:c r="F77" s="130" t="e">
        <x:f>COUNTIF(当前CP样本!$F$4:$F$315,A77)</x:f>
        <x:v>#NAME?</x:v>
      </x:c>
      <x:c r="G77" s="131" t="e">
        <x:f>F77/参数与口径!$B$5</x:f>
        <x:v>#NAME?</x:v>
      </x:c>
      <x:c r="H77" s="130" t="e">
        <x:f>COUNTIF(当前CP样本!$F$4:$F$315,"&gt;="&amp;A77)</x:f>
        <x:v>#NAME?</x:v>
      </x:c>
      <x:c r="I77" s="131" t="e">
        <x:f>H77/参数与口径!$B$5</x:f>
        <x:v>#NAME?</x:v>
      </x:c>
      <x:c r="J77" s="20"/>
    </x:row>
    <x:row r="78" ht="22" customHeight="1">
      <x:c r="A78" s="58">
        <x:v>75</x:v>
      </x:c>
      <x:c r="B78" s="58" t="s">
        <x:v>3551</x:v>
      </x:c>
      <x:c r="C78" s="130" t="e">
        <x:f>平台曲线参考!K78</x:f>
        <x:v>#NAME?</x:v>
      </x:c>
      <x:c r="D78" s="130">
        <x:f t="shared" si="2"/>
        <x:v>572000</x:v>
      </x:c>
      <x:c r="E78" s="131">
        <x:f t="shared" si="3"/>
        <x:v>0.0347656962256123</x:v>
      </x:c>
      <x:c r="F78" s="130" t="e">
        <x:f>COUNTIF(当前CP样本!$F$4:$F$315,A78)</x:f>
        <x:v>#NAME?</x:v>
      </x:c>
      <x:c r="G78" s="131" t="e">
        <x:f>F78/参数与口径!$B$5</x:f>
        <x:v>#NAME?</x:v>
      </x:c>
      <x:c r="H78" s="130" t="e">
        <x:f>COUNTIF(当前CP样本!$F$4:$F$315,"&gt;="&amp;A78)</x:f>
        <x:v>#NAME?</x:v>
      </x:c>
      <x:c r="I78" s="131" t="e">
        <x:f>H78/参数与口径!$B$5</x:f>
        <x:v>#NAME?</x:v>
      </x:c>
      <x:c r="J78" s="20"/>
    </x:row>
    <x:row r="79" ht="22" customHeight="1">
      <x:c r="A79" s="58">
        <x:v>76</x:v>
      </x:c>
      <x:c r="B79" s="58" t="s">
        <x:v>3551</x:v>
      </x:c>
      <x:c r="C79" s="130" t="e">
        <x:f>平台曲线参考!K79</x:f>
        <x:v>#NAME?</x:v>
      </x:c>
      <x:c r="D79" s="130">
        <x:f t="shared" si="2"/>
        <x:v>579000</x:v>
      </x:c>
      <x:c r="E79" s="131">
        <x:f t="shared" si="3"/>
        <x:v>0.0340088105726872</x:v>
      </x:c>
      <x:c r="F79" s="130" t="e">
        <x:f>COUNTIF(当前CP样本!$F$4:$F$315,A79)</x:f>
        <x:v>#NAME?</x:v>
      </x:c>
      <x:c r="G79" s="131" t="e">
        <x:f>F79/参数与口径!$B$5</x:f>
        <x:v>#NAME?</x:v>
      </x:c>
      <x:c r="H79" s="130" t="e">
        <x:f>COUNTIF(当前CP样本!$F$4:$F$315,"&gt;="&amp;A79)</x:f>
        <x:v>#NAME?</x:v>
      </x:c>
      <x:c r="I79" s="131" t="e">
        <x:f>H79/参数与口径!$B$5</x:f>
        <x:v>#NAME?</x:v>
      </x:c>
      <x:c r="J79" s="20"/>
    </x:row>
    <x:row r="80" ht="22" customHeight="1">
      <x:c r="A80" s="58">
        <x:v>77</x:v>
      </x:c>
      <x:c r="B80" s="58" t="s">
        <x:v>3551</x:v>
      </x:c>
      <x:c r="C80" s="130" t="e">
        <x:f>平台曲线参考!K80</x:f>
        <x:v>#NAME?</x:v>
      </x:c>
      <x:c r="D80" s="130">
        <x:f t="shared" si="2"/>
        <x:v>588000</x:v>
      </x:c>
      <x:c r="E80" s="131">
        <x:f t="shared" si="3"/>
        <x:v>0.0334014996591684</x:v>
      </x:c>
      <x:c r="F80" s="130" t="e">
        <x:f>COUNTIF(当前CP样本!$F$4:$F$315,A80)</x:f>
        <x:v>#NAME?</x:v>
      </x:c>
      <x:c r="G80" s="131" t="e">
        <x:f>F80/参数与口径!$B$5</x:f>
        <x:v>#NAME?</x:v>
      </x:c>
      <x:c r="H80" s="130" t="e">
        <x:f>COUNTIF(当前CP样本!$F$4:$F$315,"&gt;="&amp;A80)</x:f>
        <x:v>#NAME?</x:v>
      </x:c>
      <x:c r="I80" s="131" t="e">
        <x:f>H80/参数与口径!$B$5</x:f>
        <x:v>#NAME?</x:v>
      </x:c>
      <x:c r="J80" s="20"/>
    </x:row>
    <x:row r="81" ht="22" customHeight="1">
      <x:c r="A81" s="58">
        <x:v>78</x:v>
      </x:c>
      <x:c r="B81" s="58" t="s">
        <x:v>3551</x:v>
      </x:c>
      <x:c r="C81" s="130" t="e">
        <x:f>平台曲线参考!K81</x:f>
        <x:v>#NAME?</x:v>
      </x:c>
      <x:c r="D81" s="130">
        <x:f t="shared" si="2"/>
        <x:v>595000</x:v>
      </x:c>
      <x:c r="E81" s="131">
        <x:f t="shared" si="3"/>
        <x:v>0.0327066842568162</x:v>
      </x:c>
      <x:c r="F81" s="130" t="e">
        <x:f>COUNTIF(当前CP样本!$F$4:$F$315,A81)</x:f>
        <x:v>#NAME?</x:v>
      </x:c>
      <x:c r="G81" s="131" t="e">
        <x:f>F81/参数与口径!$B$5</x:f>
        <x:v>#NAME?</x:v>
      </x:c>
      <x:c r="H81" s="130" t="e">
        <x:f>COUNTIF(当前CP样本!$F$4:$F$315,"&gt;="&amp;A81)</x:f>
        <x:v>#NAME?</x:v>
      </x:c>
      <x:c r="I81" s="131" t="e">
        <x:f>H81/参数与口径!$B$5</x:f>
        <x:v>#NAME?</x:v>
      </x:c>
      <x:c r="J81" s="20"/>
    </x:row>
    <x:row r="82" ht="22" customHeight="1">
      <x:c r="A82" s="58">
        <x:v>79</x:v>
      </x:c>
      <x:c r="B82" s="58" t="s">
        <x:v>3551</x:v>
      </x:c>
      <x:c r="C82" s="130" t="e">
        <x:f>平台曲线参考!K82</x:f>
        <x:v>#NAME?</x:v>
      </x:c>
      <x:c r="D82" s="130">
        <x:f t="shared" si="2"/>
        <x:v>602000</x:v>
      </x:c>
      <x:c r="E82" s="131">
        <x:f t="shared" si="3"/>
        <x:v>0.0320434342896684</x:v>
      </x:c>
      <x:c r="F82" s="130" t="e">
        <x:f>COUNTIF(当前CP样本!$F$4:$F$315,A82)</x:f>
        <x:v>#NAME?</x:v>
      </x:c>
      <x:c r="G82" s="131" t="e">
        <x:f>F82/参数与口径!$B$5</x:f>
        <x:v>#NAME?</x:v>
      </x:c>
      <x:c r="H82" s="130" t="e">
        <x:f>COUNTIF(当前CP样本!$F$4:$F$315,"&gt;="&amp;A82)</x:f>
        <x:v>#NAME?</x:v>
      </x:c>
      <x:c r="I82" s="131" t="e">
        <x:f>H82/参数与口径!$B$5</x:f>
        <x:v>#NAME?</x:v>
      </x:c>
      <x:c r="J82" s="20"/>
    </x:row>
    <x:row r="83" ht="22" customHeight="1">
      <x:c r="A83" s="58">
        <x:v>80</x:v>
      </x:c>
      <x:c r="B83" s="58" t="s">
        <x:v>3551</x:v>
      </x:c>
      <x:c r="C83" s="130" t="e">
        <x:f>平台曲线参考!K83</x:f>
        <x:v>#NAME?</x:v>
      </x:c>
      <x:c r="D83" s="130">
        <x:f t="shared" si="2"/>
        <x:v>611000</x:v>
      </x:c>
      <x:c r="E83" s="131">
        <x:f t="shared" si="3"/>
        <x:v>0.0315127133941926</x:v>
      </x:c>
      <x:c r="F83" s="130" t="e">
        <x:f>COUNTIF(当前CP样本!$F$4:$F$315,A83)</x:f>
        <x:v>#NAME?</x:v>
      </x:c>
      <x:c r="G83" s="131" t="e">
        <x:f>F83/参数与口径!$B$5</x:f>
        <x:v>#NAME?</x:v>
      </x:c>
      <x:c r="H83" s="130" t="e">
        <x:f>COUNTIF(当前CP样本!$F$4:$F$315,"&gt;="&amp;A83)</x:f>
        <x:v>#NAME?</x:v>
      </x:c>
      <x:c r="I83" s="131" t="e">
        <x:f>H83/参数与口径!$B$5</x:f>
        <x:v>#NAME?</x:v>
      </x:c>
      <x:c r="J83" s="20" t="s">
        <x:v>3576</x:v>
      </x:c>
    </x:row>
    <x:row r="84" ht="22" customHeight="1">
      <x:c r="A84" s="58">
        <x:v>81</x:v>
      </x:c>
      <x:c r="B84" s="58" t="s">
        <x:v>3555</x:v>
      </x:c>
      <x:c r="C84" s="130" t="e">
        <x:f>平台曲线参考!K84</x:f>
        <x:v>#NAME?</x:v>
      </x:c>
      <x:c r="D84" s="130">
        <x:f t="shared" si="2"/>
        <x:v>620000</x:v>
      </x:c>
      <x:c r="E84" s="131">
        <x:f t="shared" si="3"/>
        <x:v>0.031</x:v>
      </x:c>
      <x:c r="F84" s="130" t="e">
        <x:f>COUNTIF(当前CP样本!$F$4:$F$315,A84)</x:f>
        <x:v>#NAME?</x:v>
      </x:c>
      <x:c r="G84" s="131" t="e">
        <x:f>F84/参数与口径!$B$5</x:f>
        <x:v>#NAME?</x:v>
      </x:c>
      <x:c r="H84" s="130" t="e">
        <x:f>COUNTIF(当前CP样本!$F$4:$F$315,"&gt;="&amp;A84)</x:f>
        <x:v>#NAME?</x:v>
      </x:c>
      <x:c r="I84" s="131" t="e">
        <x:f>H84/参数与口径!$B$5</x:f>
        <x:v>#NAME?</x:v>
      </x:c>
      <x:c r="J84" s="20" t="s">
        <x:v>3577</x:v>
      </x:c>
    </x:row>
    <x:row r="85" ht="22" customHeight="1">
      <x:c r="A85" s="58">
        <x:v>82</x:v>
      </x:c>
      <x:c r="B85" s="58" t="s">
        <x:v>3555</x:v>
      </x:c>
      <x:c r="C85" s="130" t="e">
        <x:f>平台曲线参考!K85</x:f>
        <x:v>#NAME?</x:v>
      </x:c>
      <x:c r="D85" s="130">
        <x:f t="shared" si="2"/>
        <x:v>680000</x:v>
      </x:c>
      <x:c r="E85" s="131">
        <x:f t="shared" si="3"/>
        <x:v>0.0329776915615907</x:v>
      </x:c>
      <x:c r="F85" s="130" t="e">
        <x:f>COUNTIF(当前CP样本!$F$4:$F$315,A85)</x:f>
        <x:v>#NAME?</x:v>
      </x:c>
      <x:c r="G85" s="131" t="e">
        <x:f>F85/参数与口径!$B$5</x:f>
        <x:v>#NAME?</x:v>
      </x:c>
      <x:c r="H85" s="130" t="e">
        <x:f>COUNTIF(当前CP样本!$F$4:$F$315,"&gt;="&amp;A85)</x:f>
        <x:v>#NAME?</x:v>
      </x:c>
      <x:c r="I85" s="131" t="e">
        <x:f>H85/参数与口径!$B$5</x:f>
        <x:v>#NAME?</x:v>
      </x:c>
      <x:c r="J85" s="20"/>
    </x:row>
    <x:row r="86" ht="22" customHeight="1">
      <x:c r="A86" s="58">
        <x:v>83</x:v>
      </x:c>
      <x:c r="B86" s="58" t="s">
        <x:v>3555</x:v>
      </x:c>
      <x:c r="C86" s="130" t="e">
        <x:f>平台曲线参考!K86</x:f>
        <x:v>#NAME?</x:v>
      </x:c>
      <x:c r="D86" s="130">
        <x:f t="shared" si="2"/>
        <x:v>700000</x:v>
      </x:c>
      <x:c r="E86" s="131">
        <x:f t="shared" si="3"/>
        <x:v>0.0328638497652582</x:v>
      </x:c>
      <x:c r="F86" s="130" t="e">
        <x:f>COUNTIF(当前CP样本!$F$4:$F$315,A86)</x:f>
        <x:v>#NAME?</x:v>
      </x:c>
      <x:c r="G86" s="131" t="e">
        <x:f>F86/参数与口径!$B$5</x:f>
        <x:v>#NAME?</x:v>
      </x:c>
      <x:c r="H86" s="130" t="e">
        <x:f>COUNTIF(当前CP样本!$F$4:$F$315,"&gt;="&amp;A86)</x:f>
        <x:v>#NAME?</x:v>
      </x:c>
      <x:c r="I86" s="131" t="e">
        <x:f>H86/参数与口径!$B$5</x:f>
        <x:v>#NAME?</x:v>
      </x:c>
      <x:c r="J86" s="20"/>
    </x:row>
    <x:row r="87" ht="22" customHeight="1">
      <x:c r="A87" s="58">
        <x:v>84</x:v>
      </x:c>
      <x:c r="B87" s="58" t="s">
        <x:v>3555</x:v>
      </x:c>
      <x:c r="C87" s="130" t="e">
        <x:f>平台曲线参考!K87</x:f>
        <x:v>#NAME?</x:v>
      </x:c>
      <x:c r="D87" s="130">
        <x:f t="shared" si="2"/>
        <x:v>700000</x:v>
      </x:c>
      <x:c r="E87" s="131">
        <x:f t="shared" si="3"/>
        <x:v>0.0318181818181818</x:v>
      </x:c>
      <x:c r="F87" s="130" t="e">
        <x:f>COUNTIF(当前CP样本!$F$4:$F$315,A87)</x:f>
        <x:v>#NAME?</x:v>
      </x:c>
      <x:c r="G87" s="131" t="e">
        <x:f>F87/参数与口径!$B$5</x:f>
        <x:v>#NAME?</x:v>
      </x:c>
      <x:c r="H87" s="130" t="e">
        <x:f>COUNTIF(当前CP样本!$F$4:$F$315,"&gt;="&amp;A87)</x:f>
        <x:v>#NAME?</x:v>
      </x:c>
      <x:c r="I87" s="131" t="e">
        <x:f>H87/参数与口径!$B$5</x:f>
        <x:v>#NAME?</x:v>
      </x:c>
      <x:c r="J87" s="20"/>
    </x:row>
    <x:row r="88" ht="22" customHeight="1">
      <x:c r="A88" s="58">
        <x:v>85</x:v>
      </x:c>
      <x:c r="B88" s="58" t="s">
        <x:v>3555</x:v>
      </x:c>
      <x:c r="C88" s="130" t="e">
        <x:f>平台曲线参考!K88</x:f>
        <x:v>#NAME?</x:v>
      </x:c>
      <x:c r="D88" s="130">
        <x:f t="shared" si="2"/>
        <x:v>710000</x:v>
      </x:c>
      <x:c r="E88" s="131">
        <x:f t="shared" si="3"/>
        <x:v>0.0312775330396476</x:v>
      </x:c>
      <x:c r="F88" s="130" t="e">
        <x:f>COUNTIF(当前CP样本!$F$4:$F$315,A88)</x:f>
        <x:v>#NAME?</x:v>
      </x:c>
      <x:c r="G88" s="131" t="e">
        <x:f>F88/参数与口径!$B$5</x:f>
        <x:v>#NAME?</x:v>
      </x:c>
      <x:c r="H88" s="130" t="e">
        <x:f>COUNTIF(当前CP样本!$F$4:$F$315,"&gt;="&amp;A88)</x:f>
        <x:v>#NAME?</x:v>
      </x:c>
      <x:c r="I88" s="131" t="e">
        <x:f>H88/参数与口径!$B$5</x:f>
        <x:v>#NAME?</x:v>
      </x:c>
      <x:c r="J88" s="20"/>
    </x:row>
    <x:row r="89" ht="22" customHeight="1">
      <x:c r="A89" s="58">
        <x:v>86</x:v>
      </x:c>
      <x:c r="B89" s="58" t="s">
        <x:v>3555</x:v>
      </x:c>
      <x:c r="C89" s="130" t="e">
        <x:f>平台曲线参考!K89</x:f>
        <x:v>#NAME?</x:v>
      </x:c>
      <x:c r="D89" s="130">
        <x:f t="shared" si="2"/>
        <x:v>720000</x:v>
      </x:c>
      <x:c r="E89" s="131">
        <x:f t="shared" si="3"/>
        <x:v>0.0307560871422469</x:v>
      </x:c>
      <x:c r="F89" s="130" t="e">
        <x:f>COUNTIF(当前CP样本!$F$4:$F$315,A89)</x:f>
        <x:v>#NAME?</x:v>
      </x:c>
      <x:c r="G89" s="131" t="e">
        <x:f>F89/参数与口径!$B$5</x:f>
        <x:v>#NAME?</x:v>
      </x:c>
      <x:c r="H89" s="130" t="e">
        <x:f>COUNTIF(当前CP样本!$F$4:$F$315,"&gt;="&amp;A89)</x:f>
        <x:v>#NAME?</x:v>
      </x:c>
      <x:c r="I89" s="131" t="e">
        <x:f>H89/参数与口径!$B$5</x:f>
        <x:v>#NAME?</x:v>
      </x:c>
      <x:c r="J89" s="20"/>
    </x:row>
    <x:row r="90" ht="22" customHeight="1">
      <x:c r="A90" s="58">
        <x:v>87</x:v>
      </x:c>
      <x:c r="B90" s="58" t="s">
        <x:v>3555</x:v>
      </x:c>
      <x:c r="C90" s="130" t="e">
        <x:f>平台曲线参考!K90</x:f>
        <x:v>#NAME?</x:v>
      </x:c>
      <x:c r="D90" s="130">
        <x:f t="shared" si="2"/>
        <x:v>730000</x:v>
      </x:c>
      <x:c r="E90" s="131">
        <x:f t="shared" si="3"/>
        <x:v>0.0302527973477</x:v>
      </x:c>
      <x:c r="F90" s="130" t="e">
        <x:f>COUNTIF(当前CP样本!$F$4:$F$315,A90)</x:f>
        <x:v>#NAME?</x:v>
      </x:c>
      <x:c r="G90" s="131" t="e">
        <x:f>F90/参数与口径!$B$5</x:f>
        <x:v>#NAME?</x:v>
      </x:c>
      <x:c r="H90" s="130" t="e">
        <x:f>COUNTIF(当前CP样本!$F$4:$F$315,"&gt;="&amp;A90)</x:f>
        <x:v>#NAME?</x:v>
      </x:c>
      <x:c r="I90" s="131" t="e">
        <x:f>H90/参数与口径!$B$5</x:f>
        <x:v>#NAME?</x:v>
      </x:c>
      <x:c r="J90" s="20"/>
    </x:row>
    <x:row r="91" ht="22" customHeight="1">
      <x:c r="A91" s="58">
        <x:v>88</x:v>
      </x:c>
      <x:c r="B91" s="58" t="s">
        <x:v>3555</x:v>
      </x:c>
      <x:c r="C91" s="130" t="e">
        <x:f>平台曲线参考!K91</x:f>
        <x:v>#NAME?</x:v>
      </x:c>
      <x:c r="D91" s="130">
        <x:f t="shared" si="2"/>
        <x:v>730000</x:v>
      </x:c>
      <x:c r="E91" s="131">
        <x:f t="shared" si="3"/>
        <x:v>0.0293644408688656</x:v>
      </x:c>
      <x:c r="F91" s="130" t="e">
        <x:f>COUNTIF(当前CP样本!$F$4:$F$315,A91)</x:f>
        <x:v>#NAME?</x:v>
      </x:c>
      <x:c r="G91" s="131" t="e">
        <x:f>F91/参数与口径!$B$5</x:f>
        <x:v>#NAME?</x:v>
      </x:c>
      <x:c r="H91" s="130" t="e">
        <x:f>COUNTIF(当前CP样本!$F$4:$F$315,"&gt;="&amp;A91)</x:f>
        <x:v>#NAME?</x:v>
      </x:c>
      <x:c r="I91" s="131" t="e">
        <x:f>H91/参数与口径!$B$5</x:f>
        <x:v>#NAME?</x:v>
      </x:c>
      <x:c r="J91" s="20"/>
    </x:row>
    <x:row r="92" ht="22" customHeight="1">
      <x:c r="A92" s="58">
        <x:v>89</x:v>
      </x:c>
      <x:c r="B92" s="58" t="s">
        <x:v>3555</x:v>
      </x:c>
      <x:c r="C92" s="130" t="e">
        <x:f>平台曲线参考!K92</x:f>
        <x:v>#NAME?</x:v>
      </x:c>
      <x:c r="D92" s="130">
        <x:f t="shared" si="2"/>
        <x:v>750000</x:v>
      </x:c>
      <x:c r="E92" s="131">
        <x:f t="shared" si="3"/>
        <x:v>0.0293083235638921</x:v>
      </x:c>
      <x:c r="F92" s="130" t="e">
        <x:f>COUNTIF(当前CP样本!$F$4:$F$315,A92)</x:f>
        <x:v>#NAME?</x:v>
      </x:c>
      <x:c r="G92" s="131" t="e">
        <x:f>F92/参数与口径!$B$5</x:f>
        <x:v>#NAME?</x:v>
      </x:c>
      <x:c r="H92" s="130" t="e">
        <x:f>COUNTIF(当前CP样本!$F$4:$F$315,"&gt;="&amp;A92)</x:f>
        <x:v>#NAME?</x:v>
      </x:c>
      <x:c r="I92" s="131" t="e">
        <x:f>H92/参数与口径!$B$5</x:f>
        <x:v>#NAME?</x:v>
      </x:c>
      <x:c r="J92" s="20"/>
    </x:row>
    <x:row r="93" ht="22" customHeight="1">
      <x:c r="A93" s="58">
        <x:v>90</x:v>
      </x:c>
      <x:c r="B93" s="58" t="s">
        <x:v>3555</x:v>
      </x:c>
      <x:c r="C93" s="130" t="e">
        <x:f>平台曲线参考!K93</x:f>
        <x:v>#NAME?</x:v>
      </x:c>
      <x:c r="D93" s="130">
        <x:f t="shared" si="2"/>
        <x:v>750000</x:v>
      </x:c>
      <x:c r="E93" s="131">
        <x:f t="shared" si="3"/>
        <x:v>0.0284738041002278</x:v>
      </x:c>
      <x:c r="F93" s="130" t="e">
        <x:f>COUNTIF(当前CP样本!$F$4:$F$315,A93)</x:f>
        <x:v>#NAME?</x:v>
      </x:c>
      <x:c r="G93" s="131" t="e">
        <x:f>F93/参数与口径!$B$5</x:f>
        <x:v>#NAME?</x:v>
      </x:c>
      <x:c r="H93" s="130" t="e">
        <x:f>COUNTIF(当前CP样本!$F$4:$F$315,"&gt;="&amp;A93)</x:f>
        <x:v>#NAME?</x:v>
      </x:c>
      <x:c r="I93" s="131" t="e">
        <x:f>H93/参数与口径!$B$5</x:f>
        <x:v>#NAME?</x:v>
      </x:c>
      <x:c r="J93" s="20"/>
    </x:row>
    <x:row r="94" ht="22" customHeight="1">
      <x:c r="A94" s="58">
        <x:v>91</x:v>
      </x:c>
      <x:c r="B94" s="58" t="s">
        <x:v>3555</x:v>
      </x:c>
      <x:c r="C94" s="130" t="e">
        <x:f>平台曲线参考!K94</x:f>
        <x:v>#NAME?</x:v>
      </x:c>
      <x:c r="D94" s="130">
        <x:f t="shared" si="2"/>
        <x:v>760000</x:v>
      </x:c>
      <x:c r="E94" s="131">
        <x:f t="shared" si="3"/>
        <x:v>0.0280546327057955</x:v>
      </x:c>
      <x:c r="F94" s="130" t="e">
        <x:f>COUNTIF(当前CP样本!$F$4:$F$315,A94)</x:f>
        <x:v>#NAME?</x:v>
      </x:c>
      <x:c r="G94" s="131" t="e">
        <x:f>F94/参数与口径!$B$5</x:f>
        <x:v>#NAME?</x:v>
      </x:c>
      <x:c r="H94" s="130" t="e">
        <x:f>COUNTIF(当前CP样本!$F$4:$F$315,"&gt;="&amp;A94)</x:f>
        <x:v>#NAME?</x:v>
      </x:c>
      <x:c r="I94" s="131" t="e">
        <x:f>H94/参数与口径!$B$5</x:f>
        <x:v>#NAME?</x:v>
      </x:c>
      <x:c r="J94" s="20"/>
    </x:row>
    <x:row r="95" ht="22" customHeight="1">
      <x:c r="A95" s="58">
        <x:v>92</x:v>
      </x:c>
      <x:c r="B95" s="58" t="s">
        <x:v>3555</x:v>
      </x:c>
      <x:c r="C95" s="130" t="e">
        <x:f>平台曲线参考!K95</x:f>
        <x:v>#NAME?</x:v>
      </x:c>
      <x:c r="D95" s="130">
        <x:f t="shared" si="2"/>
        <x:v>850000</x:v>
      </x:c>
      <x:c r="E95" s="131">
        <x:f t="shared" si="3"/>
        <x:v>0.0305206463195691</x:v>
      </x:c>
      <x:c r="F95" s="130" t="e">
        <x:f>COUNTIF(当前CP样本!$F$4:$F$315,A95)</x:f>
        <x:v>#NAME?</x:v>
      </x:c>
      <x:c r="G95" s="131" t="e">
        <x:f>F95/参数与口径!$B$5</x:f>
        <x:v>#NAME?</x:v>
      </x:c>
      <x:c r="H95" s="130" t="e">
        <x:f>COUNTIF(当前CP样本!$F$4:$F$315,"&gt;="&amp;A95)</x:f>
        <x:v>#NAME?</x:v>
      </x:c>
      <x:c r="I95" s="131" t="e">
        <x:f>H95/参数与口径!$B$5</x:f>
        <x:v>#NAME?</x:v>
      </x:c>
      <x:c r="J95" s="20"/>
    </x:row>
    <x:row r="96" ht="22" customHeight="1">
      <x:c r="A96" s="58">
        <x:v>93</x:v>
      </x:c>
      <x:c r="B96" s="58" t="s">
        <x:v>3555</x:v>
      </x:c>
      <x:c r="C96" s="130" t="e">
        <x:f>平台曲线参考!K96</x:f>
        <x:v>#NAME?</x:v>
      </x:c>
      <x:c r="D96" s="130">
        <x:f t="shared" si="2"/>
        <x:v>860000</x:v>
      </x:c>
      <x:c r="E96" s="131">
        <x:f t="shared" si="3"/>
        <x:v>0.0299651567944251</x:v>
      </x:c>
      <x:c r="F96" s="130" t="e">
        <x:f>COUNTIF(当前CP样本!$F$4:$F$315,A96)</x:f>
        <x:v>#NAME?</x:v>
      </x:c>
      <x:c r="G96" s="131" t="e">
        <x:f>F96/参数与口径!$B$5</x:f>
        <x:v>#NAME?</x:v>
      </x:c>
      <x:c r="H96" s="130" t="e">
        <x:f>COUNTIF(当前CP样本!$F$4:$F$315,"&gt;="&amp;A96)</x:f>
        <x:v>#NAME?</x:v>
      </x:c>
      <x:c r="I96" s="131" t="e">
        <x:f>H96/参数与口径!$B$5</x:f>
        <x:v>#NAME?</x:v>
      </x:c>
      <x:c r="J96" s="20"/>
    </x:row>
    <x:row r="97" ht="22" customHeight="1">
      <x:c r="A97" s="58">
        <x:v>94</x:v>
      </x:c>
      <x:c r="B97" s="58" t="s">
        <x:v>3555</x:v>
      </x:c>
      <x:c r="C97" s="130" t="e">
        <x:f>平台曲线参考!K97</x:f>
        <x:v>#NAME?</x:v>
      </x:c>
      <x:c r="D97" s="130">
        <x:f t="shared" si="2"/>
        <x:v>860000</x:v>
      </x:c>
      <x:c r="E97" s="131">
        <x:f t="shared" si="3"/>
        <x:v>0.0290933694181326</x:v>
      </x:c>
      <x:c r="F97" s="130" t="e">
        <x:f>COUNTIF(当前CP样本!$F$4:$F$315,A97)</x:f>
        <x:v>#NAME?</x:v>
      </x:c>
      <x:c r="G97" s="131" t="e">
        <x:f>F97/参数与口径!$B$5</x:f>
        <x:v>#NAME?</x:v>
      </x:c>
      <x:c r="H97" s="130" t="e">
        <x:f>COUNTIF(当前CP样本!$F$4:$F$315,"&gt;="&amp;A97)</x:f>
        <x:v>#NAME?</x:v>
      </x:c>
      <x:c r="I97" s="131" t="e">
        <x:f>H97/参数与口径!$B$5</x:f>
        <x:v>#NAME?</x:v>
      </x:c>
      <x:c r="J97" s="20"/>
    </x:row>
    <x:row r="98" ht="22" customHeight="1">
      <x:c r="A98" s="58">
        <x:v>95</x:v>
      </x:c>
      <x:c r="B98" s="58" t="s">
        <x:v>3555</x:v>
      </x:c>
      <x:c r="C98" s="130" t="e">
        <x:f>平台曲线参考!K98</x:f>
        <x:v>#NAME?</x:v>
      </x:c>
      <x:c r="D98" s="130">
        <x:f t="shared" si="2"/>
        <x:v>880000</x:v>
      </x:c>
      <x:c r="E98" s="131">
        <x:f t="shared" si="3"/>
        <x:v>0.0289283366206443</x:v>
      </x:c>
      <x:c r="F98" s="130" t="e">
        <x:f>COUNTIF(当前CP样本!$F$4:$F$315,A98)</x:f>
        <x:v>#NAME?</x:v>
      </x:c>
      <x:c r="G98" s="131" t="e">
        <x:f>F98/参数与口径!$B$5</x:f>
        <x:v>#NAME?</x:v>
      </x:c>
      <x:c r="H98" s="130" t="e">
        <x:f>COUNTIF(当前CP样本!$F$4:$F$315,"&gt;="&amp;A98)</x:f>
        <x:v>#NAME?</x:v>
      </x:c>
      <x:c r="I98" s="131" t="e">
        <x:f>H98/参数与口径!$B$5</x:f>
        <x:v>#NAME?</x:v>
      </x:c>
      <x:c r="J98" s="20"/>
    </x:row>
    <x:row r="99" ht="22" customHeight="1">
      <x:c r="A99" s="58">
        <x:v>96</x:v>
      </x:c>
      <x:c r="B99" s="58" t="s">
        <x:v>3555</x:v>
      </x:c>
      <x:c r="C99" s="130" t="e">
        <x:f>平台曲线参考!K99</x:f>
        <x:v>#NAME?</x:v>
      </x:c>
      <x:c r="D99" s="130">
        <x:f t="shared" si="2"/>
        <x:v>890000</x:v>
      </x:c>
      <x:c r="E99" s="131">
        <x:f t="shared" si="3"/>
        <x:v>0.0284345047923323</x:v>
      </x:c>
      <x:c r="F99" s="130" t="e">
        <x:f>COUNTIF(当前CP样本!$F$4:$F$315,A99)</x:f>
        <x:v>#NAME?</x:v>
      </x:c>
      <x:c r="G99" s="131" t="e">
        <x:f>F99/参数与口径!$B$5</x:f>
        <x:v>#NAME?</x:v>
      </x:c>
      <x:c r="H99" s="130" t="e">
        <x:f>COUNTIF(当前CP样本!$F$4:$F$315,"&gt;="&amp;A99)</x:f>
        <x:v>#NAME?</x:v>
      </x:c>
      <x:c r="I99" s="131" t="e">
        <x:f>H99/参数与口径!$B$5</x:f>
        <x:v>#NAME?</x:v>
      </x:c>
      <x:c r="J99" s="20"/>
    </x:row>
    <x:row r="100" ht="22" customHeight="1">
      <x:c r="A100" s="58">
        <x:v>97</x:v>
      </x:c>
      <x:c r="B100" s="58" t="s">
        <x:v>3555</x:v>
      </x:c>
      <x:c r="C100" s="130" t="e">
        <x:f>平台曲线参考!K100</x:f>
        <x:v>#NAME?</x:v>
      </x:c>
      <x:c r="D100" s="130">
        <x:f t="shared" si="2"/>
        <x:v>890000</x:v>
      </x:c>
      <x:c r="E100" s="131">
        <x:f t="shared" si="3"/>
        <x:v>0.0276483379931656</x:v>
      </x:c>
      <x:c r="F100" s="130" t="e">
        <x:f>COUNTIF(当前CP样本!$F$4:$F$315,A100)</x:f>
        <x:v>#NAME?</x:v>
      </x:c>
      <x:c r="G100" s="131" t="e">
        <x:f>F100/参数与口径!$B$5</x:f>
        <x:v>#NAME?</x:v>
      </x:c>
      <x:c r="H100" s="130" t="e">
        <x:f>COUNTIF(当前CP样本!$F$4:$F$315,"&gt;="&amp;A100)</x:f>
        <x:v>#NAME?</x:v>
      </x:c>
      <x:c r="I100" s="131" t="e">
        <x:f>H100/参数与口径!$B$5</x:f>
        <x:v>#NAME?</x:v>
      </x:c>
      <x:c r="J100" s="20"/>
    </x:row>
    <x:row r="101" ht="22" customHeight="1">
      <x:c r="A101" s="58">
        <x:v>98</x:v>
      </x:c>
      <x:c r="B101" s="58" t="s">
        <x:v>3555</x:v>
      </x:c>
      <x:c r="C101" s="130" t="e">
        <x:f>平台曲线参考!K101</x:f>
        <x:v>#NAME?</x:v>
      </x:c>
      <x:c r="D101" s="130">
        <x:f t="shared" si="2"/>
        <x:v>910000</x:v>
      </x:c>
      <x:c r="E101" s="131">
        <x:f t="shared" si="3"/>
        <x:v>0.027509068923821</x:v>
      </x:c>
      <x:c r="F101" s="130" t="e">
        <x:f>COUNTIF(当前CP样本!$F$4:$F$315,A101)</x:f>
        <x:v>#NAME?</x:v>
      </x:c>
      <x:c r="G101" s="131" t="e">
        <x:f>F101/参数与口径!$B$5</x:f>
        <x:v>#NAME?</x:v>
      </x:c>
      <x:c r="H101" s="130" t="e">
        <x:f>COUNTIF(当前CP样本!$F$4:$F$315,"&gt;="&amp;A101)</x:f>
        <x:v>#NAME?</x:v>
      </x:c>
      <x:c r="I101" s="131" t="e">
        <x:f>H101/参数与口径!$B$5</x:f>
        <x:v>#NAME?</x:v>
      </x:c>
      <x:c r="J101" s="20"/>
    </x:row>
    <x:row r="102" ht="22" customHeight="1">
      <x:c r="A102" s="58">
        <x:v>99</x:v>
      </x:c>
      <x:c r="B102" s="58" t="s">
        <x:v>3555</x:v>
      </x:c>
      <x:c r="C102" s="130" t="e">
        <x:f>平台曲线参考!K102</x:f>
        <x:v>#NAME?</x:v>
      </x:c>
      <x:c r="D102" s="130">
        <x:f t="shared" si="2"/>
        <x:v>910000</x:v>
      </x:c>
      <x:c r="E102" s="131">
        <x:f t="shared" si="3"/>
        <x:v>0.0267725801706384</x:v>
      </x:c>
      <x:c r="F102" s="130" t="e">
        <x:f>COUNTIF(当前CP样本!$F$4:$F$315,A102)</x:f>
        <x:v>#NAME?</x:v>
      </x:c>
      <x:c r="G102" s="131" t="e">
        <x:f>F102/参数与口径!$B$5</x:f>
        <x:v>#NAME?</x:v>
      </x:c>
      <x:c r="H102" s="130" t="e">
        <x:f>COUNTIF(当前CP样本!$F$4:$F$315,"&gt;="&amp;A102)</x:f>
        <x:v>#NAME?</x:v>
      </x:c>
      <x:c r="I102" s="131" t="e">
        <x:f>H102/参数与口径!$B$5</x:f>
        <x:v>#NAME?</x:v>
      </x:c>
      <x:c r="J102" s="20"/>
    </x:row>
    <x:row r="103" ht="22" customHeight="1">
      <x:c r="A103" s="59">
        <x:v>100</x:v>
      </x:c>
      <x:c r="B103" s="59" t="s">
        <x:v>3555</x:v>
      </x:c>
      <x:c r="C103" s="132" t="e">
        <x:f>平台曲线参考!K103</x:f>
        <x:v>#NAME?</x:v>
      </x:c>
      <x:c r="D103" s="132">
        <x:f t="shared" si="2"/>
        <x:v>930000</x:v>
      </x:c>
      <x:c r="E103" s="133">
        <x:f t="shared" si="3"/>
        <x:v>0.026647564469914</x:v>
      </x:c>
      <x:c r="F103" s="132" t="e">
        <x:f>COUNTIF(当前CP样本!$F$4:$F$315,A103)</x:f>
        <x:v>#NAME?</x:v>
      </x:c>
      <x:c r="G103" s="133" t="e">
        <x:f>F103/参数与口径!$B$5</x:f>
        <x:v>#NAME?</x:v>
      </x:c>
      <x:c r="H103" s="132" t="e">
        <x:f>COUNTIF(当前CP样本!$F$4:$F$315,"&gt;="&amp;A103)</x:f>
        <x:v>#NAME?</x:v>
      </x:c>
      <x:c r="I103" s="133" t="e">
        <x:f>H103/参数与口径!$B$5</x:f>
        <x:v>#NAME?</x:v>
      </x:c>
      <x:c r="J103" s="22" t="s">
        <x:v>3578</x:v>
      </x:c>
    </x:row>
  </x:sheetData>
  <x:mergeCells>
    <x:mergeCell ref="A1:J1"/>
    <x:mergeCell ref="A2:J2"/>
  </x:mergeCells>
  <x:conditionalFormatting sqref="A4:J103">
    <x:cfRule type="expression" dxfId="0" priority="1">
      <x:formula>$B4="G1 初识"</x:formula>
    </x:cfRule>
    <x:cfRule type="expression" dxfId="1" priority="2">
      <x:formula>$B4="G2 默契"</x:formula>
    </x:cfRule>
    <x:cfRule type="expression" dxfId="2" priority="3">
      <x:formula>$B4="G3 同行"</x:formula>
    </x:cfRule>
    <x:cfRule type="expression" dxfId="3" priority="4">
      <x:formula>$B4="G4 知心"</x:formula>
    </x:cfRule>
    <x:cfRule type="expression" dxfId="4" priority="5">
      <x:formula>$B4="G5 长伴"</x:formula>
    </x:cfRule>
    <x:cfRule type="expression" dxfId="5" priority="6">
      <x:formula>OR(MOD($A4-1,20)=0,$A4=72,$A4=80,$A4=100)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3" customWidth="1"/>
    <x:col min="2" max="2" width="15" customWidth="1"/>
    <x:col min="3" max="4" width="22" customWidth="1"/>
    <x:col min="5" max="6" width="14" customWidth="1"/>
    <x:col min="7" max="7" width="16" customWidth="1"/>
    <x:col min="8" max="8" width="33" customWidth="1"/>
  </x:cols>
  <x:sheetData>
    <x:row r="1" ht="29" customHeight="1">
      <x:c r="A1" s="1" t="s">
        <x:v>3579</x:v>
      </x:c>
      <x:c r="B1" s="1" t="s">
        <x:v>3579</x:v>
      </x:c>
      <x:c r="C1" s="1" t="s">
        <x:v>3579</x:v>
      </x:c>
      <x:c r="D1" s="1" t="s">
        <x:v>3579</x:v>
      </x:c>
      <x:c r="E1" s="1" t="s">
        <x:v>3579</x:v>
      </x:c>
      <x:c r="F1" s="1" t="s">
        <x:v>3579</x:v>
      </x:c>
      <x:c r="G1" s="1" t="s">
        <x:v>3579</x:v>
      </x:c>
      <x:c r="H1" s="1" t="s">
        <x:v>3579</x:v>
      </x:c>
    </x:row>
    <x:row r="2" ht="38" customHeight="1">
      <x:c r="A2" s="2" t="s">
        <x:v>3580</x:v>
      </x:c>
      <x:c r="B2" s="2"/>
      <x:c r="C2" s="2"/>
      <x:c r="D2" s="2"/>
      <x:c r="E2" s="2"/>
      <x:c r="F2" s="2"/>
      <x:c r="G2" s="2"/>
      <x:c r="H2" s="2" t="s">
        <x:v>3581</x:v>
      </x:c>
    </x:row>
    <x:row r="3" ht="28" customHeight="1">
      <x:c r="A3" s="56" t="s">
        <x:v>3582</x:v>
      </x:c>
      <x:c r="B3" s="56" t="s">
        <x:v>0</x:v>
      </x:c>
      <x:c r="C3" s="56" t="s">
        <x:v>4</x:v>
      </x:c>
      <x:c r="D3" s="56" t="s">
        <x:v>5</x:v>
      </x:c>
      <x:c r="E3" s="56" t="s">
        <x:v>3497</x:v>
      </x:c>
      <x:c r="F3" s="56" t="s">
        <x:v>7</x:v>
      </x:c>
      <x:c r="G3" s="56" t="s">
        <x:v>8</x:v>
      </x:c>
      <x:c r="H3" s="56" t="s">
        <x:v>3583</x:v>
      </x:c>
    </x:row>
    <x:row r="4" ht="17">
      <x:c r="A4" s="57">
        <x:v>2</x:v>
      </x:c>
      <x:c r="B4" s="57" t="s">
        <x:v>11</x:v>
      </x:c>
      <x:c r="C4" s="15" t="s">
        <x:v>15</x:v>
      </x:c>
      <x:c r="D4" s="15"/>
      <x:c r="E4" s="125">
        <x:v>15705862</x:v>
      </x:c>
      <x:c r="F4" s="125" t="e">
        <x:f>IF(E4&lt;参数与口径!$E$6,1,MATCH(E4,等级配置!$C$4:$C$103,1))</x:f>
        <x:v>#NAME?</x:v>
      </x:c>
      <x:c r="G4" s="57" t="e">
        <x:f>INDEX(等级配置!$B$4:$B$103,F4)</x:f>
        <x:v>#NAME?</x:v>
      </x:c>
      <x:c r="H4" s="17" t="e">
        <x:f>IF(E4&lt;参数与口径!$E$6,"存量兼容Lv1","正常")&amp;IF(D4&lt;&gt;"","；当前已婚但存在离婚日期","")</x:f>
        <x:v>#NAME?</x:v>
      </x:c>
    </x:row>
    <x:row r="5" ht="17">
      <x:c r="A5" s="58">
        <x:v>3</x:v>
      </x:c>
      <x:c r="B5" s="58" t="s">
        <x:v>16</x:v>
      </x:c>
      <x:c r="C5" s="18" t="s">
        <x:v>19</x:v>
      </x:c>
      <x:c r="D5" s="18"/>
      <x:c r="E5" s="126">
        <x:v>3550012</x:v>
      </x:c>
      <x:c r="F5" s="126" t="e">
        <x:f>IF(E5&lt;参数与口径!$E$6,1,MATCH(E5,等级配置!$C$4:$C$103,1))</x:f>
        <x:v>#NAME?</x:v>
      </x:c>
      <x:c r="G5" s="58" t="e">
        <x:f>INDEX(等级配置!$B$4:$B$103,F5)</x:f>
        <x:v>#NAME?</x:v>
      </x:c>
      <x:c r="H5" s="20" t="e">
        <x:f>IF(E5&lt;参数与口径!$E$6,"存量兼容Lv1","正常")&amp;IF(D5&lt;&gt;"","；当前已婚但存在离婚日期","")</x:f>
        <x:v>#NAME?</x:v>
      </x:c>
    </x:row>
    <x:row r="6" ht="17">
      <x:c r="A6" s="58">
        <x:v>4</x:v>
      </x:c>
      <x:c r="B6" s="58" t="s">
        <x:v>20</x:v>
      </x:c>
      <x:c r="C6" s="18" t="s">
        <x:v>23</x:v>
      </x:c>
      <x:c r="D6" s="18"/>
      <x:c r="E6" s="126">
        <x:v>1604701</x:v>
      </x:c>
      <x:c r="F6" s="126" t="e">
        <x:f>IF(E6&lt;参数与口径!$E$6,1,MATCH(E6,等级配置!$C$4:$C$103,1))</x:f>
        <x:v>#NAME?</x:v>
      </x:c>
      <x:c r="G6" s="58" t="e">
        <x:f>INDEX(等级配置!$B$4:$B$103,F6)</x:f>
        <x:v>#NAME?</x:v>
      </x:c>
      <x:c r="H6" s="20" t="e">
        <x:f>IF(E6&lt;参数与口径!$E$6,"存量兼容Lv1","正常")&amp;IF(D6&lt;&gt;"","；当前已婚但存在离婚日期","")</x:f>
        <x:v>#NAME?</x:v>
      </x:c>
    </x:row>
    <x:row r="7" ht="17">
      <x:c r="A7" s="58">
        <x:v>5</x:v>
      </x:c>
      <x:c r="B7" s="58" t="s">
        <x:v>24</x:v>
      </x:c>
      <x:c r="C7" s="18" t="s">
        <x:v>27</x:v>
      </x:c>
      <x:c r="D7" s="18"/>
      <x:c r="E7" s="126">
        <x:v>1566560</x:v>
      </x:c>
      <x:c r="F7" s="126" t="e">
        <x:f>IF(E7&lt;参数与口径!$E$6,1,MATCH(E7,等级配置!$C$4:$C$103,1))</x:f>
        <x:v>#NAME?</x:v>
      </x:c>
      <x:c r="G7" s="58" t="e">
        <x:f>INDEX(等级配置!$B$4:$B$103,F7)</x:f>
        <x:v>#NAME?</x:v>
      </x:c>
      <x:c r="H7" s="20" t="e">
        <x:f>IF(E7&lt;参数与口径!$E$6,"存量兼容Lv1","正常")&amp;IF(D7&lt;&gt;"","；当前已婚但存在离婚日期","")</x:f>
        <x:v>#NAME?</x:v>
      </x:c>
    </x:row>
    <x:row r="8" ht="17">
      <x:c r="A8" s="58">
        <x:v>6</x:v>
      </x:c>
      <x:c r="B8" s="58" t="s">
        <x:v>28</x:v>
      </x:c>
      <x:c r="C8" s="18" t="s">
        <x:v>31</x:v>
      </x:c>
      <x:c r="D8" s="18"/>
      <x:c r="E8" s="126">
        <x:v>1564565</x:v>
      </x:c>
      <x:c r="F8" s="126" t="e">
        <x:f>IF(E8&lt;参数与口径!$E$6,1,MATCH(E8,等级配置!$C$4:$C$103,1))</x:f>
        <x:v>#NAME?</x:v>
      </x:c>
      <x:c r="G8" s="58" t="e">
        <x:f>INDEX(等级配置!$B$4:$B$103,F8)</x:f>
        <x:v>#NAME?</x:v>
      </x:c>
      <x:c r="H8" s="20" t="e">
        <x:f>IF(E8&lt;参数与口径!$E$6,"存量兼容Lv1","正常")&amp;IF(D8&lt;&gt;"","；当前已婚但存在离婚日期","")</x:f>
        <x:v>#NAME?</x:v>
      </x:c>
    </x:row>
    <x:row r="9" ht="17">
      <x:c r="A9" s="58">
        <x:v>7</x:v>
      </x:c>
      <x:c r="B9" s="58" t="s">
        <x:v>32</x:v>
      </x:c>
      <x:c r="C9" s="18" t="s">
        <x:v>35</x:v>
      </x:c>
      <x:c r="D9" s="18"/>
      <x:c r="E9" s="126">
        <x:v>1211329</x:v>
      </x:c>
      <x:c r="F9" s="126" t="e">
        <x:f>IF(E9&lt;参数与口径!$E$6,1,MATCH(E9,等级配置!$C$4:$C$103,1))</x:f>
        <x:v>#NAME?</x:v>
      </x:c>
      <x:c r="G9" s="58" t="e">
        <x:f>INDEX(等级配置!$B$4:$B$103,F9)</x:f>
        <x:v>#NAME?</x:v>
      </x:c>
      <x:c r="H9" s="20" t="e">
        <x:f>IF(E9&lt;参数与口径!$E$6,"存量兼容Lv1","正常")&amp;IF(D9&lt;&gt;"","；当前已婚但存在离婚日期","")</x:f>
        <x:v>#NAME?</x:v>
      </x:c>
    </x:row>
    <x:row r="10" ht="17">
      <x:c r="A10" s="58">
        <x:v>8</x:v>
      </x:c>
      <x:c r="B10" s="58" t="s">
        <x:v>36</x:v>
      </x:c>
      <x:c r="C10" s="18" t="s">
        <x:v>39</x:v>
      </x:c>
      <x:c r="D10" s="18"/>
      <x:c r="E10" s="126">
        <x:v>908557</x:v>
      </x:c>
      <x:c r="F10" s="126" t="e">
        <x:f>IF(E10&lt;参数与口径!$E$6,1,MATCH(E10,等级配置!$C$4:$C$103,1))</x:f>
        <x:v>#NAME?</x:v>
      </x:c>
      <x:c r="G10" s="58" t="e">
        <x:f>INDEX(等级配置!$B$4:$B$103,F10)</x:f>
        <x:v>#NAME?</x:v>
      </x:c>
      <x:c r="H10" s="20" t="e">
        <x:f>IF(E10&lt;参数与口径!$E$6,"存量兼容Lv1","正常")&amp;IF(D10&lt;&gt;"","；当前已婚但存在离婚日期","")</x:f>
        <x:v>#NAME?</x:v>
      </x:c>
    </x:row>
    <x:row r="11" ht="17">
      <x:c r="A11" s="58">
        <x:v>9</x:v>
      </x:c>
      <x:c r="B11" s="58" t="s">
        <x:v>40</x:v>
      </x:c>
      <x:c r="C11" s="18" t="s">
        <x:v>43</x:v>
      </x:c>
      <x:c r="D11" s="18" t="s">
        <x:v>44</x:v>
      </x:c>
      <x:c r="E11" s="126">
        <x:v>777642</x:v>
      </x:c>
      <x:c r="F11" s="126" t="e">
        <x:f>IF(E11&lt;参数与口径!$E$6,1,MATCH(E11,等级配置!$C$4:$C$103,1))</x:f>
        <x:v>#NAME?</x:v>
      </x:c>
      <x:c r="G11" s="58" t="e">
        <x:f>INDEX(等级配置!$B$4:$B$103,F11)</x:f>
        <x:v>#NAME?</x:v>
      </x:c>
      <x:c r="H11" s="20" t="e">
        <x:f>IF(E11&lt;参数与口径!$E$6,"存量兼容Lv1","正常")&amp;IF(D11&lt;&gt;"","；当前已婚但存在离婚日期","")</x:f>
        <x:v>#NAME?</x:v>
      </x:c>
    </x:row>
    <x:row r="12" ht="17">
      <x:c r="A12" s="58">
        <x:v>10</x:v>
      </x:c>
      <x:c r="B12" s="58" t="s">
        <x:v>45</x:v>
      </x:c>
      <x:c r="C12" s="18" t="s">
        <x:v>48</x:v>
      </x:c>
      <x:c r="D12" s="18"/>
      <x:c r="E12" s="126">
        <x:v>748304</x:v>
      </x:c>
      <x:c r="F12" s="126" t="e">
        <x:f>IF(E12&lt;参数与口径!$E$6,1,MATCH(E12,等级配置!$C$4:$C$103,1))</x:f>
        <x:v>#NAME?</x:v>
      </x:c>
      <x:c r="G12" s="58" t="e">
        <x:f>INDEX(等级配置!$B$4:$B$103,F12)</x:f>
        <x:v>#NAME?</x:v>
      </x:c>
      <x:c r="H12" s="20" t="e">
        <x:f>IF(E12&lt;参数与口径!$E$6,"存量兼容Lv1","正常")&amp;IF(D12&lt;&gt;"","；当前已婚但存在离婚日期","")</x:f>
        <x:v>#NAME?</x:v>
      </x:c>
    </x:row>
    <x:row r="13" ht="17">
      <x:c r="A13" s="58">
        <x:v>11</x:v>
      </x:c>
      <x:c r="B13" s="58" t="s">
        <x:v>49</x:v>
      </x:c>
      <x:c r="C13" s="18" t="s">
        <x:v>52</x:v>
      </x:c>
      <x:c r="D13" s="18"/>
      <x:c r="E13" s="126">
        <x:v>684244</x:v>
      </x:c>
      <x:c r="F13" s="126" t="e">
        <x:f>IF(E13&lt;参数与口径!$E$6,1,MATCH(E13,等级配置!$C$4:$C$103,1))</x:f>
        <x:v>#NAME?</x:v>
      </x:c>
      <x:c r="G13" s="58" t="e">
        <x:f>INDEX(等级配置!$B$4:$B$103,F13)</x:f>
        <x:v>#NAME?</x:v>
      </x:c>
      <x:c r="H13" s="20" t="e">
        <x:f>IF(E13&lt;参数与口径!$E$6,"存量兼容Lv1","正常")&amp;IF(D13&lt;&gt;"","；当前已婚但存在离婚日期","")</x:f>
        <x:v>#NAME?</x:v>
      </x:c>
    </x:row>
    <x:row r="14" ht="17">
      <x:c r="A14" s="58">
        <x:v>12</x:v>
      </x:c>
      <x:c r="B14" s="58" t="s">
        <x:v>53</x:v>
      </x:c>
      <x:c r="C14" s="18" t="s">
        <x:v>56</x:v>
      </x:c>
      <x:c r="D14" s="18"/>
      <x:c r="E14" s="126">
        <x:v>596025</x:v>
      </x:c>
      <x:c r="F14" s="126" t="e">
        <x:f>IF(E14&lt;参数与口径!$E$6,1,MATCH(E14,等级配置!$C$4:$C$103,1))</x:f>
        <x:v>#NAME?</x:v>
      </x:c>
      <x:c r="G14" s="58" t="e">
        <x:f>INDEX(等级配置!$B$4:$B$103,F14)</x:f>
        <x:v>#NAME?</x:v>
      </x:c>
      <x:c r="H14" s="20" t="e">
        <x:f>IF(E14&lt;参数与口径!$E$6,"存量兼容Lv1","正常")&amp;IF(D14&lt;&gt;"","；当前已婚但存在离婚日期","")</x:f>
        <x:v>#NAME?</x:v>
      </x:c>
    </x:row>
    <x:row r="15" ht="17">
      <x:c r="A15" s="58">
        <x:v>13</x:v>
      </x:c>
      <x:c r="B15" s="58" t="s">
        <x:v>57</x:v>
      </x:c>
      <x:c r="C15" s="18" t="s">
        <x:v>60</x:v>
      </x:c>
      <x:c r="D15" s="18"/>
      <x:c r="E15" s="126">
        <x:v>480693</x:v>
      </x:c>
      <x:c r="F15" s="126" t="e">
        <x:f>IF(E15&lt;参数与口径!$E$6,1,MATCH(E15,等级配置!$C$4:$C$103,1))</x:f>
        <x:v>#NAME?</x:v>
      </x:c>
      <x:c r="G15" s="58" t="e">
        <x:f>INDEX(等级配置!$B$4:$B$103,F15)</x:f>
        <x:v>#NAME?</x:v>
      </x:c>
      <x:c r="H15" s="20" t="e">
        <x:f>IF(E15&lt;参数与口径!$E$6,"存量兼容Lv1","正常")&amp;IF(D15&lt;&gt;"","；当前已婚但存在离婚日期","")</x:f>
        <x:v>#NAME?</x:v>
      </x:c>
    </x:row>
    <x:row r="16" ht="17">
      <x:c r="A16" s="58">
        <x:v>14</x:v>
      </x:c>
      <x:c r="B16" s="58" t="s">
        <x:v>61</x:v>
      </x:c>
      <x:c r="C16" s="18" t="s">
        <x:v>64</x:v>
      </x:c>
      <x:c r="D16" s="18" t="s">
        <x:v>65</x:v>
      </x:c>
      <x:c r="E16" s="126">
        <x:v>462373</x:v>
      </x:c>
      <x:c r="F16" s="126" t="e">
        <x:f>IF(E16&lt;参数与口径!$E$6,1,MATCH(E16,等级配置!$C$4:$C$103,1))</x:f>
        <x:v>#NAME?</x:v>
      </x:c>
      <x:c r="G16" s="58" t="e">
        <x:f>INDEX(等级配置!$B$4:$B$103,F16)</x:f>
        <x:v>#NAME?</x:v>
      </x:c>
      <x:c r="H16" s="20" t="e">
        <x:f>IF(E16&lt;参数与口径!$E$6,"存量兼容Lv1","正常")&amp;IF(D16&lt;&gt;"","；当前已婚但存在离婚日期","")</x:f>
        <x:v>#NAME?</x:v>
      </x:c>
    </x:row>
    <x:row r="17" ht="17">
      <x:c r="A17" s="58">
        <x:v>15</x:v>
      </x:c>
      <x:c r="B17" s="58" t="s">
        <x:v>66</x:v>
      </x:c>
      <x:c r="C17" s="18" t="s">
        <x:v>69</x:v>
      </x:c>
      <x:c r="D17" s="18"/>
      <x:c r="E17" s="126">
        <x:v>409659</x:v>
      </x:c>
      <x:c r="F17" s="126" t="e">
        <x:f>IF(E17&lt;参数与口径!$E$6,1,MATCH(E17,等级配置!$C$4:$C$103,1))</x:f>
        <x:v>#NAME?</x:v>
      </x:c>
      <x:c r="G17" s="58" t="e">
        <x:f>INDEX(等级配置!$B$4:$B$103,F17)</x:f>
        <x:v>#NAME?</x:v>
      </x:c>
      <x:c r="H17" s="20" t="e">
        <x:f>IF(E17&lt;参数与口径!$E$6,"存量兼容Lv1","正常")&amp;IF(D17&lt;&gt;"","；当前已婚但存在离婚日期","")</x:f>
        <x:v>#NAME?</x:v>
      </x:c>
    </x:row>
    <x:row r="18" ht="17">
      <x:c r="A18" s="58">
        <x:v>16</x:v>
      </x:c>
      <x:c r="B18" s="58" t="s">
        <x:v>70</x:v>
      </x:c>
      <x:c r="C18" s="18" t="s">
        <x:v>73</x:v>
      </x:c>
      <x:c r="D18" s="18" t="s">
        <x:v>74</x:v>
      </x:c>
      <x:c r="E18" s="126">
        <x:v>406393</x:v>
      </x:c>
      <x:c r="F18" s="126" t="e">
        <x:f>IF(E18&lt;参数与口径!$E$6,1,MATCH(E18,等级配置!$C$4:$C$103,1))</x:f>
        <x:v>#NAME?</x:v>
      </x:c>
      <x:c r="G18" s="58" t="e">
        <x:f>INDEX(等级配置!$B$4:$B$103,F18)</x:f>
        <x:v>#NAME?</x:v>
      </x:c>
      <x:c r="H18" s="20" t="e">
        <x:f>IF(E18&lt;参数与口径!$E$6,"存量兼容Lv1","正常")&amp;IF(D18&lt;&gt;"","；当前已婚但存在离婚日期","")</x:f>
        <x:v>#NAME?</x:v>
      </x:c>
    </x:row>
    <x:row r="19" ht="17">
      <x:c r="A19" s="58">
        <x:v>17</x:v>
      </x:c>
      <x:c r="B19" s="58" t="s">
        <x:v>75</x:v>
      </x:c>
      <x:c r="C19" s="18" t="s">
        <x:v>78</x:v>
      </x:c>
      <x:c r="D19" s="18"/>
      <x:c r="E19" s="126">
        <x:v>383740</x:v>
      </x:c>
      <x:c r="F19" s="126" t="e">
        <x:f>IF(E19&lt;参数与口径!$E$6,1,MATCH(E19,等级配置!$C$4:$C$103,1))</x:f>
        <x:v>#NAME?</x:v>
      </x:c>
      <x:c r="G19" s="58" t="e">
        <x:f>INDEX(等级配置!$B$4:$B$103,F19)</x:f>
        <x:v>#NAME?</x:v>
      </x:c>
      <x:c r="H19" s="20" t="e">
        <x:f>IF(E19&lt;参数与口径!$E$6,"存量兼容Lv1","正常")&amp;IF(D19&lt;&gt;"","；当前已婚但存在离婚日期","")</x:f>
        <x:v>#NAME?</x:v>
      </x:c>
    </x:row>
    <x:row r="20" ht="17">
      <x:c r="A20" s="58">
        <x:v>18</x:v>
      </x:c>
      <x:c r="B20" s="58" t="s">
        <x:v>79</x:v>
      </x:c>
      <x:c r="C20" s="18" t="s">
        <x:v>82</x:v>
      </x:c>
      <x:c r="D20" s="18"/>
      <x:c r="E20" s="126">
        <x:v>339585</x:v>
      </x:c>
      <x:c r="F20" s="126" t="e">
        <x:f>IF(E20&lt;参数与口径!$E$6,1,MATCH(E20,等级配置!$C$4:$C$103,1))</x:f>
        <x:v>#NAME?</x:v>
      </x:c>
      <x:c r="G20" s="58" t="e">
        <x:f>INDEX(等级配置!$B$4:$B$103,F20)</x:f>
        <x:v>#NAME?</x:v>
      </x:c>
      <x:c r="H20" s="20" t="e">
        <x:f>IF(E20&lt;参数与口径!$E$6,"存量兼容Lv1","正常")&amp;IF(D20&lt;&gt;"","；当前已婚但存在离婚日期","")</x:f>
        <x:v>#NAME?</x:v>
      </x:c>
    </x:row>
    <x:row r="21" ht="17">
      <x:c r="A21" s="58">
        <x:v>19</x:v>
      </x:c>
      <x:c r="B21" s="58" t="s">
        <x:v>83</x:v>
      </x:c>
      <x:c r="C21" s="18" t="s">
        <x:v>86</x:v>
      </x:c>
      <x:c r="D21" s="18"/>
      <x:c r="E21" s="126">
        <x:v>335818</x:v>
      </x:c>
      <x:c r="F21" s="126" t="e">
        <x:f>IF(E21&lt;参数与口径!$E$6,1,MATCH(E21,等级配置!$C$4:$C$103,1))</x:f>
        <x:v>#NAME?</x:v>
      </x:c>
      <x:c r="G21" s="58" t="e">
        <x:f>INDEX(等级配置!$B$4:$B$103,F21)</x:f>
        <x:v>#NAME?</x:v>
      </x:c>
      <x:c r="H21" s="20" t="e">
        <x:f>IF(E21&lt;参数与口径!$E$6,"存量兼容Lv1","正常")&amp;IF(D21&lt;&gt;"","；当前已婚但存在离婚日期","")</x:f>
        <x:v>#NAME?</x:v>
      </x:c>
    </x:row>
    <x:row r="22" ht="17">
      <x:c r="A22" s="58">
        <x:v>20</x:v>
      </x:c>
      <x:c r="B22" s="58" t="s">
        <x:v>87</x:v>
      </x:c>
      <x:c r="C22" s="18" t="s">
        <x:v>90</x:v>
      </x:c>
      <x:c r="D22" s="18"/>
      <x:c r="E22" s="126">
        <x:v>310190</x:v>
      </x:c>
      <x:c r="F22" s="126" t="e">
        <x:f>IF(E22&lt;参数与口径!$E$6,1,MATCH(E22,等级配置!$C$4:$C$103,1))</x:f>
        <x:v>#NAME?</x:v>
      </x:c>
      <x:c r="G22" s="58" t="e">
        <x:f>INDEX(等级配置!$B$4:$B$103,F22)</x:f>
        <x:v>#NAME?</x:v>
      </x:c>
      <x:c r="H22" s="20" t="e">
        <x:f>IF(E22&lt;参数与口径!$E$6,"存量兼容Lv1","正常")&amp;IF(D22&lt;&gt;"","；当前已婚但存在离婚日期","")</x:f>
        <x:v>#NAME?</x:v>
      </x:c>
    </x:row>
    <x:row r="23" ht="17">
      <x:c r="A23" s="58">
        <x:v>21</x:v>
      </x:c>
      <x:c r="B23" s="58" t="s">
        <x:v>91</x:v>
      </x:c>
      <x:c r="C23" s="18" t="s">
        <x:v>94</x:v>
      </x:c>
      <x:c r="D23" s="18"/>
      <x:c r="E23" s="126">
        <x:v>293216</x:v>
      </x:c>
      <x:c r="F23" s="126" t="e">
        <x:f>IF(E23&lt;参数与口径!$E$6,1,MATCH(E23,等级配置!$C$4:$C$103,1))</x:f>
        <x:v>#NAME?</x:v>
      </x:c>
      <x:c r="G23" s="58" t="e">
        <x:f>INDEX(等级配置!$B$4:$B$103,F23)</x:f>
        <x:v>#NAME?</x:v>
      </x:c>
      <x:c r="H23" s="20" t="e">
        <x:f>IF(E23&lt;参数与口径!$E$6,"存量兼容Lv1","正常")&amp;IF(D23&lt;&gt;"","；当前已婚但存在离婚日期","")</x:f>
        <x:v>#NAME?</x:v>
      </x:c>
    </x:row>
    <x:row r="24" ht="17">
      <x:c r="A24" s="58">
        <x:v>22</x:v>
      </x:c>
      <x:c r="B24" s="58" t="s">
        <x:v>95</x:v>
      </x:c>
      <x:c r="C24" s="18" t="s">
        <x:v>98</x:v>
      </x:c>
      <x:c r="D24" s="18"/>
      <x:c r="E24" s="126">
        <x:v>291871</x:v>
      </x:c>
      <x:c r="F24" s="126" t="e">
        <x:f>IF(E24&lt;参数与口径!$E$6,1,MATCH(E24,等级配置!$C$4:$C$103,1))</x:f>
        <x:v>#NAME?</x:v>
      </x:c>
      <x:c r="G24" s="58" t="e">
        <x:f>INDEX(等级配置!$B$4:$B$103,F24)</x:f>
        <x:v>#NAME?</x:v>
      </x:c>
      <x:c r="H24" s="20" t="e">
        <x:f>IF(E24&lt;参数与口径!$E$6,"存量兼容Lv1","正常")&amp;IF(D24&lt;&gt;"","；当前已婚但存在离婚日期","")</x:f>
        <x:v>#NAME?</x:v>
      </x:c>
    </x:row>
    <x:row r="25" ht="17">
      <x:c r="A25" s="58">
        <x:v>23</x:v>
      </x:c>
      <x:c r="B25" s="58" t="s">
        <x:v>99</x:v>
      </x:c>
      <x:c r="C25" s="18" t="s">
        <x:v>102</x:v>
      </x:c>
      <x:c r="D25" s="18"/>
      <x:c r="E25" s="126">
        <x:v>289441</x:v>
      </x:c>
      <x:c r="F25" s="126" t="e">
        <x:f>IF(E25&lt;参数与口径!$E$6,1,MATCH(E25,等级配置!$C$4:$C$103,1))</x:f>
        <x:v>#NAME?</x:v>
      </x:c>
      <x:c r="G25" s="58" t="e">
        <x:f>INDEX(等级配置!$B$4:$B$103,F25)</x:f>
        <x:v>#NAME?</x:v>
      </x:c>
      <x:c r="H25" s="20" t="e">
        <x:f>IF(E25&lt;参数与口径!$E$6,"存量兼容Lv1","正常")&amp;IF(D25&lt;&gt;"","；当前已婚但存在离婚日期","")</x:f>
        <x:v>#NAME?</x:v>
      </x:c>
    </x:row>
    <x:row r="26" ht="17">
      <x:c r="A26" s="58">
        <x:v>24</x:v>
      </x:c>
      <x:c r="B26" s="58" t="s">
        <x:v>103</x:v>
      </x:c>
      <x:c r="C26" s="18" t="s">
        <x:v>106</x:v>
      </x:c>
      <x:c r="D26" s="18"/>
      <x:c r="E26" s="126">
        <x:v>276208</x:v>
      </x:c>
      <x:c r="F26" s="126" t="e">
        <x:f>IF(E26&lt;参数与口径!$E$6,1,MATCH(E26,等级配置!$C$4:$C$103,1))</x:f>
        <x:v>#NAME?</x:v>
      </x:c>
      <x:c r="G26" s="58" t="e">
        <x:f>INDEX(等级配置!$B$4:$B$103,F26)</x:f>
        <x:v>#NAME?</x:v>
      </x:c>
      <x:c r="H26" s="20" t="e">
        <x:f>IF(E26&lt;参数与口径!$E$6,"存量兼容Lv1","正常")&amp;IF(D26&lt;&gt;"","；当前已婚但存在离婚日期","")</x:f>
        <x:v>#NAME?</x:v>
      </x:c>
    </x:row>
    <x:row r="27" ht="17">
      <x:c r="A27" s="58">
        <x:v>25</x:v>
      </x:c>
      <x:c r="B27" s="58" t="s">
        <x:v>107</x:v>
      </x:c>
      <x:c r="C27" s="18" t="s">
        <x:v>110</x:v>
      </x:c>
      <x:c r="D27" s="18"/>
      <x:c r="E27" s="126">
        <x:v>269237</x:v>
      </x:c>
      <x:c r="F27" s="126" t="e">
        <x:f>IF(E27&lt;参数与口径!$E$6,1,MATCH(E27,等级配置!$C$4:$C$103,1))</x:f>
        <x:v>#NAME?</x:v>
      </x:c>
      <x:c r="G27" s="58" t="e">
        <x:f>INDEX(等级配置!$B$4:$B$103,F27)</x:f>
        <x:v>#NAME?</x:v>
      </x:c>
      <x:c r="H27" s="20" t="e">
        <x:f>IF(E27&lt;参数与口径!$E$6,"存量兼容Lv1","正常")&amp;IF(D27&lt;&gt;"","；当前已婚但存在离婚日期","")</x:f>
        <x:v>#NAME?</x:v>
      </x:c>
    </x:row>
    <x:row r="28" ht="17">
      <x:c r="A28" s="58">
        <x:v>26</x:v>
      </x:c>
      <x:c r="B28" s="58" t="s">
        <x:v>111</x:v>
      </x:c>
      <x:c r="C28" s="18" t="s">
        <x:v>114</x:v>
      </x:c>
      <x:c r="D28" s="18"/>
      <x:c r="E28" s="126">
        <x:v>262833</x:v>
      </x:c>
      <x:c r="F28" s="126" t="e">
        <x:f>IF(E28&lt;参数与口径!$E$6,1,MATCH(E28,等级配置!$C$4:$C$103,1))</x:f>
        <x:v>#NAME?</x:v>
      </x:c>
      <x:c r="G28" s="58" t="e">
        <x:f>INDEX(等级配置!$B$4:$B$103,F28)</x:f>
        <x:v>#NAME?</x:v>
      </x:c>
      <x:c r="H28" s="20" t="e">
        <x:f>IF(E28&lt;参数与口径!$E$6,"存量兼容Lv1","正常")&amp;IF(D28&lt;&gt;"","；当前已婚但存在离婚日期","")</x:f>
        <x:v>#NAME?</x:v>
      </x:c>
    </x:row>
    <x:row r="29" ht="17">
      <x:c r="A29" s="58">
        <x:v>27</x:v>
      </x:c>
      <x:c r="B29" s="58" t="s">
        <x:v>115</x:v>
      </x:c>
      <x:c r="C29" s="18" t="s">
        <x:v>118</x:v>
      </x:c>
      <x:c r="D29" s="18"/>
      <x:c r="E29" s="126">
        <x:v>246943</x:v>
      </x:c>
      <x:c r="F29" s="126" t="e">
        <x:f>IF(E29&lt;参数与口径!$E$6,1,MATCH(E29,等级配置!$C$4:$C$103,1))</x:f>
        <x:v>#NAME?</x:v>
      </x:c>
      <x:c r="G29" s="58" t="e">
        <x:f>INDEX(等级配置!$B$4:$B$103,F29)</x:f>
        <x:v>#NAME?</x:v>
      </x:c>
      <x:c r="H29" s="20" t="e">
        <x:f>IF(E29&lt;参数与口径!$E$6,"存量兼容Lv1","正常")&amp;IF(D29&lt;&gt;"","；当前已婚但存在离婚日期","")</x:f>
        <x:v>#NAME?</x:v>
      </x:c>
    </x:row>
    <x:row r="30" ht="17">
      <x:c r="A30" s="58">
        <x:v>28</x:v>
      </x:c>
      <x:c r="B30" s="58" t="s">
        <x:v>119</x:v>
      </x:c>
      <x:c r="C30" s="18" t="s">
        <x:v>122</x:v>
      </x:c>
      <x:c r="D30" s="18"/>
      <x:c r="E30" s="126">
        <x:v>235250</x:v>
      </x:c>
      <x:c r="F30" s="126" t="e">
        <x:f>IF(E30&lt;参数与口径!$E$6,1,MATCH(E30,等级配置!$C$4:$C$103,1))</x:f>
        <x:v>#NAME?</x:v>
      </x:c>
      <x:c r="G30" s="58" t="e">
        <x:f>INDEX(等级配置!$B$4:$B$103,F30)</x:f>
        <x:v>#NAME?</x:v>
      </x:c>
      <x:c r="H30" s="20" t="e">
        <x:f>IF(E30&lt;参数与口径!$E$6,"存量兼容Lv1","正常")&amp;IF(D30&lt;&gt;"","；当前已婚但存在离婚日期","")</x:f>
        <x:v>#NAME?</x:v>
      </x:c>
    </x:row>
    <x:row r="31" ht="17">
      <x:c r="A31" s="58">
        <x:v>29</x:v>
      </x:c>
      <x:c r="B31" s="58" t="s">
        <x:v>123</x:v>
      </x:c>
      <x:c r="C31" s="18" t="s">
        <x:v>126</x:v>
      </x:c>
      <x:c r="D31" s="18"/>
      <x:c r="E31" s="126">
        <x:v>228365</x:v>
      </x:c>
      <x:c r="F31" s="126" t="e">
        <x:f>IF(E31&lt;参数与口径!$E$6,1,MATCH(E31,等级配置!$C$4:$C$103,1))</x:f>
        <x:v>#NAME?</x:v>
      </x:c>
      <x:c r="G31" s="58" t="e">
        <x:f>INDEX(等级配置!$B$4:$B$103,F31)</x:f>
        <x:v>#NAME?</x:v>
      </x:c>
      <x:c r="H31" s="20" t="e">
        <x:f>IF(E31&lt;参数与口径!$E$6,"存量兼容Lv1","正常")&amp;IF(D31&lt;&gt;"","；当前已婚但存在离婚日期","")</x:f>
        <x:v>#NAME?</x:v>
      </x:c>
    </x:row>
    <x:row r="32" ht="17">
      <x:c r="A32" s="58">
        <x:v>30</x:v>
      </x:c>
      <x:c r="B32" s="58" t="s">
        <x:v>127</x:v>
      </x:c>
      <x:c r="C32" s="18" t="s">
        <x:v>130</x:v>
      </x:c>
      <x:c r="D32" s="18"/>
      <x:c r="E32" s="126">
        <x:v>224748</x:v>
      </x:c>
      <x:c r="F32" s="126" t="e">
        <x:f>IF(E32&lt;参数与口径!$E$6,1,MATCH(E32,等级配置!$C$4:$C$103,1))</x:f>
        <x:v>#NAME?</x:v>
      </x:c>
      <x:c r="G32" s="58" t="e">
        <x:f>INDEX(等级配置!$B$4:$B$103,F32)</x:f>
        <x:v>#NAME?</x:v>
      </x:c>
      <x:c r="H32" s="20" t="e">
        <x:f>IF(E32&lt;参数与口径!$E$6,"存量兼容Lv1","正常")&amp;IF(D32&lt;&gt;"","；当前已婚但存在离婚日期","")</x:f>
        <x:v>#NAME?</x:v>
      </x:c>
    </x:row>
    <x:row r="33" ht="17">
      <x:c r="A33" s="58">
        <x:v>31</x:v>
      </x:c>
      <x:c r="B33" s="58" t="s">
        <x:v>131</x:v>
      </x:c>
      <x:c r="C33" s="18" t="s">
        <x:v>134</x:v>
      </x:c>
      <x:c r="D33" s="18"/>
      <x:c r="E33" s="126">
        <x:v>221788</x:v>
      </x:c>
      <x:c r="F33" s="126" t="e">
        <x:f>IF(E33&lt;参数与口径!$E$6,1,MATCH(E33,等级配置!$C$4:$C$103,1))</x:f>
        <x:v>#NAME?</x:v>
      </x:c>
      <x:c r="G33" s="58" t="e">
        <x:f>INDEX(等级配置!$B$4:$B$103,F33)</x:f>
        <x:v>#NAME?</x:v>
      </x:c>
      <x:c r="H33" s="20" t="e">
        <x:f>IF(E33&lt;参数与口径!$E$6,"存量兼容Lv1","正常")&amp;IF(D33&lt;&gt;"","；当前已婚但存在离婚日期","")</x:f>
        <x:v>#NAME?</x:v>
      </x:c>
    </x:row>
    <x:row r="34" ht="17">
      <x:c r="A34" s="58">
        <x:v>32</x:v>
      </x:c>
      <x:c r="B34" s="58" t="s">
        <x:v>135</x:v>
      </x:c>
      <x:c r="C34" s="18" t="s">
        <x:v>138</x:v>
      </x:c>
      <x:c r="D34" s="18" t="s">
        <x:v>139</x:v>
      </x:c>
      <x:c r="E34" s="126">
        <x:v>213939</x:v>
      </x:c>
      <x:c r="F34" s="126" t="e">
        <x:f>IF(E34&lt;参数与口径!$E$6,1,MATCH(E34,等级配置!$C$4:$C$103,1))</x:f>
        <x:v>#NAME?</x:v>
      </x:c>
      <x:c r="G34" s="58" t="e">
        <x:f>INDEX(等级配置!$B$4:$B$103,F34)</x:f>
        <x:v>#NAME?</x:v>
      </x:c>
      <x:c r="H34" s="20" t="e">
        <x:f>IF(E34&lt;参数与口径!$E$6,"存量兼容Lv1","正常")&amp;IF(D34&lt;&gt;"","；当前已婚但存在离婚日期","")</x:f>
        <x:v>#NAME?</x:v>
      </x:c>
    </x:row>
    <x:row r="35" ht="17">
      <x:c r="A35" s="58">
        <x:v>33</x:v>
      </x:c>
      <x:c r="B35" s="58" t="s">
        <x:v>140</x:v>
      </x:c>
      <x:c r="C35" s="18" t="s">
        <x:v>143</x:v>
      </x:c>
      <x:c r="D35" s="18"/>
      <x:c r="E35" s="126">
        <x:v>200470</x:v>
      </x:c>
      <x:c r="F35" s="126" t="e">
        <x:f>IF(E35&lt;参数与口径!$E$6,1,MATCH(E35,等级配置!$C$4:$C$103,1))</x:f>
        <x:v>#NAME?</x:v>
      </x:c>
      <x:c r="G35" s="58" t="e">
        <x:f>INDEX(等级配置!$B$4:$B$103,F35)</x:f>
        <x:v>#NAME?</x:v>
      </x:c>
      <x:c r="H35" s="20" t="e">
        <x:f>IF(E35&lt;参数与口径!$E$6,"存量兼容Lv1","正常")&amp;IF(D35&lt;&gt;"","；当前已婚但存在离婚日期","")</x:f>
        <x:v>#NAME?</x:v>
      </x:c>
    </x:row>
    <x:row r="36" ht="17">
      <x:c r="A36" s="58">
        <x:v>34</x:v>
      </x:c>
      <x:c r="B36" s="58" t="s">
        <x:v>144</x:v>
      </x:c>
      <x:c r="C36" s="18" t="s">
        <x:v>147</x:v>
      </x:c>
      <x:c r="D36" s="18"/>
      <x:c r="E36" s="126">
        <x:v>193346</x:v>
      </x:c>
      <x:c r="F36" s="126" t="e">
        <x:f>IF(E36&lt;参数与口径!$E$6,1,MATCH(E36,等级配置!$C$4:$C$103,1))</x:f>
        <x:v>#NAME?</x:v>
      </x:c>
      <x:c r="G36" s="58" t="e">
        <x:f>INDEX(等级配置!$B$4:$B$103,F36)</x:f>
        <x:v>#NAME?</x:v>
      </x:c>
      <x:c r="H36" s="20" t="e">
        <x:f>IF(E36&lt;参数与口径!$E$6,"存量兼容Lv1","正常")&amp;IF(D36&lt;&gt;"","；当前已婚但存在离婚日期","")</x:f>
        <x:v>#NAME?</x:v>
      </x:c>
    </x:row>
    <x:row r="37" ht="17">
      <x:c r="A37" s="58">
        <x:v>35</x:v>
      </x:c>
      <x:c r="B37" s="58" t="s">
        <x:v>148</x:v>
      </x:c>
      <x:c r="C37" s="18" t="s">
        <x:v>151</x:v>
      </x:c>
      <x:c r="D37" s="18"/>
      <x:c r="E37" s="126">
        <x:v>185839</x:v>
      </x:c>
      <x:c r="F37" s="126" t="e">
        <x:f>IF(E37&lt;参数与口径!$E$6,1,MATCH(E37,等级配置!$C$4:$C$103,1))</x:f>
        <x:v>#NAME?</x:v>
      </x:c>
      <x:c r="G37" s="58" t="e">
        <x:f>INDEX(等级配置!$B$4:$B$103,F37)</x:f>
        <x:v>#NAME?</x:v>
      </x:c>
      <x:c r="H37" s="20" t="e">
        <x:f>IF(E37&lt;参数与口径!$E$6,"存量兼容Lv1","正常")&amp;IF(D37&lt;&gt;"","；当前已婚但存在离婚日期","")</x:f>
        <x:v>#NAME?</x:v>
      </x:c>
    </x:row>
    <x:row r="38" ht="17">
      <x:c r="A38" s="58">
        <x:v>36</x:v>
      </x:c>
      <x:c r="B38" s="58" t="s">
        <x:v>152</x:v>
      </x:c>
      <x:c r="C38" s="18" t="s">
        <x:v>155</x:v>
      </x:c>
      <x:c r="D38" s="18" t="s">
        <x:v>156</x:v>
      </x:c>
      <x:c r="E38" s="126">
        <x:v>151342</x:v>
      </x:c>
      <x:c r="F38" s="126" t="e">
        <x:f>IF(E38&lt;参数与口径!$E$6,1,MATCH(E38,等级配置!$C$4:$C$103,1))</x:f>
        <x:v>#NAME?</x:v>
      </x:c>
      <x:c r="G38" s="58" t="e">
        <x:f>INDEX(等级配置!$B$4:$B$103,F38)</x:f>
        <x:v>#NAME?</x:v>
      </x:c>
      <x:c r="H38" s="20" t="e">
        <x:f>IF(E38&lt;参数与口径!$E$6,"存量兼容Lv1","正常")&amp;IF(D38&lt;&gt;"","；当前已婚但存在离婚日期","")</x:f>
        <x:v>#NAME?</x:v>
      </x:c>
    </x:row>
    <x:row r="39" ht="17">
      <x:c r="A39" s="58">
        <x:v>37</x:v>
      </x:c>
      <x:c r="B39" s="58" t="s">
        <x:v>157</x:v>
      </x:c>
      <x:c r="C39" s="18" t="s">
        <x:v>160</x:v>
      </x:c>
      <x:c r="D39" s="18"/>
      <x:c r="E39" s="126">
        <x:v>144955</x:v>
      </x:c>
      <x:c r="F39" s="126" t="e">
        <x:f>IF(E39&lt;参数与口径!$E$6,1,MATCH(E39,等级配置!$C$4:$C$103,1))</x:f>
        <x:v>#NAME?</x:v>
      </x:c>
      <x:c r="G39" s="58" t="e">
        <x:f>INDEX(等级配置!$B$4:$B$103,F39)</x:f>
        <x:v>#NAME?</x:v>
      </x:c>
      <x:c r="H39" s="20" t="e">
        <x:f>IF(E39&lt;参数与口径!$E$6,"存量兼容Lv1","正常")&amp;IF(D39&lt;&gt;"","；当前已婚但存在离婚日期","")</x:f>
        <x:v>#NAME?</x:v>
      </x:c>
    </x:row>
    <x:row r="40" ht="17">
      <x:c r="A40" s="58">
        <x:v>38</x:v>
      </x:c>
      <x:c r="B40" s="58" t="s">
        <x:v>161</x:v>
      </x:c>
      <x:c r="C40" s="18" t="s">
        <x:v>164</x:v>
      </x:c>
      <x:c r="D40" s="18"/>
      <x:c r="E40" s="126">
        <x:v>137973</x:v>
      </x:c>
      <x:c r="F40" s="126" t="e">
        <x:f>IF(E40&lt;参数与口径!$E$6,1,MATCH(E40,等级配置!$C$4:$C$103,1))</x:f>
        <x:v>#NAME?</x:v>
      </x:c>
      <x:c r="G40" s="58" t="e">
        <x:f>INDEX(等级配置!$B$4:$B$103,F40)</x:f>
        <x:v>#NAME?</x:v>
      </x:c>
      <x:c r="H40" s="20" t="e">
        <x:f>IF(E40&lt;参数与口径!$E$6,"存量兼容Lv1","正常")&amp;IF(D40&lt;&gt;"","；当前已婚但存在离婚日期","")</x:f>
        <x:v>#NAME?</x:v>
      </x:c>
    </x:row>
    <x:row r="41" ht="17">
      <x:c r="A41" s="58">
        <x:v>39</x:v>
      </x:c>
      <x:c r="B41" s="58" t="s">
        <x:v>165</x:v>
      </x:c>
      <x:c r="C41" s="18" t="s">
        <x:v>168</x:v>
      </x:c>
      <x:c r="D41" s="18"/>
      <x:c r="E41" s="126">
        <x:v>131154</x:v>
      </x:c>
      <x:c r="F41" s="126" t="e">
        <x:f>IF(E41&lt;参数与口径!$E$6,1,MATCH(E41,等级配置!$C$4:$C$103,1))</x:f>
        <x:v>#NAME?</x:v>
      </x:c>
      <x:c r="G41" s="58" t="e">
        <x:f>INDEX(等级配置!$B$4:$B$103,F41)</x:f>
        <x:v>#NAME?</x:v>
      </x:c>
      <x:c r="H41" s="20" t="e">
        <x:f>IF(E41&lt;参数与口径!$E$6,"存量兼容Lv1","正常")&amp;IF(D41&lt;&gt;"","；当前已婚但存在离婚日期","")</x:f>
        <x:v>#NAME?</x:v>
      </x:c>
    </x:row>
    <x:row r="42" ht="17">
      <x:c r="A42" s="58">
        <x:v>40</x:v>
      </x:c>
      <x:c r="B42" s="58" t="s">
        <x:v>169</x:v>
      </x:c>
      <x:c r="C42" s="18" t="s">
        <x:v>172</x:v>
      </x:c>
      <x:c r="D42" s="18"/>
      <x:c r="E42" s="126">
        <x:v>121113</x:v>
      </x:c>
      <x:c r="F42" s="126" t="e">
        <x:f>IF(E42&lt;参数与口径!$E$6,1,MATCH(E42,等级配置!$C$4:$C$103,1))</x:f>
        <x:v>#NAME?</x:v>
      </x:c>
      <x:c r="G42" s="58" t="e">
        <x:f>INDEX(等级配置!$B$4:$B$103,F42)</x:f>
        <x:v>#NAME?</x:v>
      </x:c>
      <x:c r="H42" s="20" t="e">
        <x:f>IF(E42&lt;参数与口径!$E$6,"存量兼容Lv1","正常")&amp;IF(D42&lt;&gt;"","；当前已婚但存在离婚日期","")</x:f>
        <x:v>#NAME?</x:v>
      </x:c>
    </x:row>
    <x:row r="43" ht="17">
      <x:c r="A43" s="58">
        <x:v>41</x:v>
      </x:c>
      <x:c r="B43" s="58" t="s">
        <x:v>173</x:v>
      </x:c>
      <x:c r="C43" s="18" t="s">
        <x:v>176</x:v>
      </x:c>
      <x:c r="D43" s="18"/>
      <x:c r="E43" s="126">
        <x:v>119874</x:v>
      </x:c>
      <x:c r="F43" s="126" t="e">
        <x:f>IF(E43&lt;参数与口径!$E$6,1,MATCH(E43,等级配置!$C$4:$C$103,1))</x:f>
        <x:v>#NAME?</x:v>
      </x:c>
      <x:c r="G43" s="58" t="e">
        <x:f>INDEX(等级配置!$B$4:$B$103,F43)</x:f>
        <x:v>#NAME?</x:v>
      </x:c>
      <x:c r="H43" s="20" t="e">
        <x:f>IF(E43&lt;参数与口径!$E$6,"存量兼容Lv1","正常")&amp;IF(D43&lt;&gt;"","；当前已婚但存在离婚日期","")</x:f>
        <x:v>#NAME?</x:v>
      </x:c>
    </x:row>
    <x:row r="44" ht="17">
      <x:c r="A44" s="58">
        <x:v>42</x:v>
      </x:c>
      <x:c r="B44" s="58" t="s">
        <x:v>177</x:v>
      </x:c>
      <x:c r="C44" s="18" t="s">
        <x:v>180</x:v>
      </x:c>
      <x:c r="D44" s="18"/>
      <x:c r="E44" s="126">
        <x:v>117553</x:v>
      </x:c>
      <x:c r="F44" s="126" t="e">
        <x:f>IF(E44&lt;参数与口径!$E$6,1,MATCH(E44,等级配置!$C$4:$C$103,1))</x:f>
        <x:v>#NAME?</x:v>
      </x:c>
      <x:c r="G44" s="58" t="e">
        <x:f>INDEX(等级配置!$B$4:$B$103,F44)</x:f>
        <x:v>#NAME?</x:v>
      </x:c>
      <x:c r="H44" s="20" t="e">
        <x:f>IF(E44&lt;参数与口径!$E$6,"存量兼容Lv1","正常")&amp;IF(D44&lt;&gt;"","；当前已婚但存在离婚日期","")</x:f>
        <x:v>#NAME?</x:v>
      </x:c>
    </x:row>
    <x:row r="45" ht="17">
      <x:c r="A45" s="58">
        <x:v>43</x:v>
      </x:c>
      <x:c r="B45" s="58" t="s">
        <x:v>181</x:v>
      </x:c>
      <x:c r="C45" s="18" t="s">
        <x:v>184</x:v>
      </x:c>
      <x:c r="D45" s="18" t="s">
        <x:v>185</x:v>
      </x:c>
      <x:c r="E45" s="126">
        <x:v>117213</x:v>
      </x:c>
      <x:c r="F45" s="126" t="e">
        <x:f>IF(E45&lt;参数与口径!$E$6,1,MATCH(E45,等级配置!$C$4:$C$103,1))</x:f>
        <x:v>#NAME?</x:v>
      </x:c>
      <x:c r="G45" s="58" t="e">
        <x:f>INDEX(等级配置!$B$4:$B$103,F45)</x:f>
        <x:v>#NAME?</x:v>
      </x:c>
      <x:c r="H45" s="20" t="e">
        <x:f>IF(E45&lt;参数与口径!$E$6,"存量兼容Lv1","正常")&amp;IF(D45&lt;&gt;"","；当前已婚但存在离婚日期","")</x:f>
        <x:v>#NAME?</x:v>
      </x:c>
    </x:row>
    <x:row r="46" ht="17">
      <x:c r="A46" s="58">
        <x:v>44</x:v>
      </x:c>
      <x:c r="B46" s="58" t="s">
        <x:v>186</x:v>
      </x:c>
      <x:c r="C46" s="18" t="s">
        <x:v>189</x:v>
      </x:c>
      <x:c r="D46" s="18"/>
      <x:c r="E46" s="126">
        <x:v>116416</x:v>
      </x:c>
      <x:c r="F46" s="126" t="e">
        <x:f>IF(E46&lt;参数与口径!$E$6,1,MATCH(E46,等级配置!$C$4:$C$103,1))</x:f>
        <x:v>#NAME?</x:v>
      </x:c>
      <x:c r="G46" s="58" t="e">
        <x:f>INDEX(等级配置!$B$4:$B$103,F46)</x:f>
        <x:v>#NAME?</x:v>
      </x:c>
      <x:c r="H46" s="20" t="e">
        <x:f>IF(E46&lt;参数与口径!$E$6,"存量兼容Lv1","正常")&amp;IF(D46&lt;&gt;"","；当前已婚但存在离婚日期","")</x:f>
        <x:v>#NAME?</x:v>
      </x:c>
    </x:row>
    <x:row r="47" ht="17">
      <x:c r="A47" s="58">
        <x:v>45</x:v>
      </x:c>
      <x:c r="B47" s="58" t="s">
        <x:v>190</x:v>
      </x:c>
      <x:c r="C47" s="18" t="s">
        <x:v>193</x:v>
      </x:c>
      <x:c r="D47" s="18"/>
      <x:c r="E47" s="126">
        <x:v>110123</x:v>
      </x:c>
      <x:c r="F47" s="126" t="e">
        <x:f>IF(E47&lt;参数与口径!$E$6,1,MATCH(E47,等级配置!$C$4:$C$103,1))</x:f>
        <x:v>#NAME?</x:v>
      </x:c>
      <x:c r="G47" s="58" t="e">
        <x:f>INDEX(等级配置!$B$4:$B$103,F47)</x:f>
        <x:v>#NAME?</x:v>
      </x:c>
      <x:c r="H47" s="20" t="e">
        <x:f>IF(E47&lt;参数与口径!$E$6,"存量兼容Lv1","正常")&amp;IF(D47&lt;&gt;"","；当前已婚但存在离婚日期","")</x:f>
        <x:v>#NAME?</x:v>
      </x:c>
    </x:row>
    <x:row r="48" ht="17">
      <x:c r="A48" s="58">
        <x:v>46</x:v>
      </x:c>
      <x:c r="B48" s="58" t="s">
        <x:v>194</x:v>
      </x:c>
      <x:c r="C48" s="18" t="s">
        <x:v>197</x:v>
      </x:c>
      <x:c r="D48" s="18"/>
      <x:c r="E48" s="126">
        <x:v>109844</x:v>
      </x:c>
      <x:c r="F48" s="126" t="e">
        <x:f>IF(E48&lt;参数与口径!$E$6,1,MATCH(E48,等级配置!$C$4:$C$103,1))</x:f>
        <x:v>#NAME?</x:v>
      </x:c>
      <x:c r="G48" s="58" t="e">
        <x:f>INDEX(等级配置!$B$4:$B$103,F48)</x:f>
        <x:v>#NAME?</x:v>
      </x:c>
      <x:c r="H48" s="20" t="e">
        <x:f>IF(E48&lt;参数与口径!$E$6,"存量兼容Lv1","正常")&amp;IF(D48&lt;&gt;"","；当前已婚但存在离婚日期","")</x:f>
        <x:v>#NAME?</x:v>
      </x:c>
    </x:row>
    <x:row r="49" ht="17">
      <x:c r="A49" s="58">
        <x:v>47</x:v>
      </x:c>
      <x:c r="B49" s="58" t="s">
        <x:v>198</x:v>
      </x:c>
      <x:c r="C49" s="18" t="s">
        <x:v>201</x:v>
      </x:c>
      <x:c r="D49" s="18"/>
      <x:c r="E49" s="126">
        <x:v>108677</x:v>
      </x:c>
      <x:c r="F49" s="126" t="e">
        <x:f>IF(E49&lt;参数与口径!$E$6,1,MATCH(E49,等级配置!$C$4:$C$103,1))</x:f>
        <x:v>#NAME?</x:v>
      </x:c>
      <x:c r="G49" s="58" t="e">
        <x:f>INDEX(等级配置!$B$4:$B$103,F49)</x:f>
        <x:v>#NAME?</x:v>
      </x:c>
      <x:c r="H49" s="20" t="e">
        <x:f>IF(E49&lt;参数与口径!$E$6,"存量兼容Lv1","正常")&amp;IF(D49&lt;&gt;"","；当前已婚但存在离婚日期","")</x:f>
        <x:v>#NAME?</x:v>
      </x:c>
    </x:row>
    <x:row r="50" ht="17">
      <x:c r="A50" s="58">
        <x:v>48</x:v>
      </x:c>
      <x:c r="B50" s="58" t="s">
        <x:v>202</x:v>
      </x:c>
      <x:c r="C50" s="18" t="s">
        <x:v>205</x:v>
      </x:c>
      <x:c r="D50" s="18"/>
      <x:c r="E50" s="126">
        <x:v>108427</x:v>
      </x:c>
      <x:c r="F50" s="126" t="e">
        <x:f>IF(E50&lt;参数与口径!$E$6,1,MATCH(E50,等级配置!$C$4:$C$103,1))</x:f>
        <x:v>#NAME?</x:v>
      </x:c>
      <x:c r="G50" s="58" t="e">
        <x:f>INDEX(等级配置!$B$4:$B$103,F50)</x:f>
        <x:v>#NAME?</x:v>
      </x:c>
      <x:c r="H50" s="20" t="e">
        <x:f>IF(E50&lt;参数与口径!$E$6,"存量兼容Lv1","正常")&amp;IF(D50&lt;&gt;"","；当前已婚但存在离婚日期","")</x:f>
        <x:v>#NAME?</x:v>
      </x:c>
    </x:row>
    <x:row r="51" ht="17">
      <x:c r="A51" s="58">
        <x:v>49</x:v>
      </x:c>
      <x:c r="B51" s="58" t="s">
        <x:v>206</x:v>
      </x:c>
      <x:c r="C51" s="18" t="s">
        <x:v>209</x:v>
      </x:c>
      <x:c r="D51" s="18"/>
      <x:c r="E51" s="126">
        <x:v>105471</x:v>
      </x:c>
      <x:c r="F51" s="126" t="e">
        <x:f>IF(E51&lt;参数与口径!$E$6,1,MATCH(E51,等级配置!$C$4:$C$103,1))</x:f>
        <x:v>#NAME?</x:v>
      </x:c>
      <x:c r="G51" s="58" t="e">
        <x:f>INDEX(等级配置!$B$4:$B$103,F51)</x:f>
        <x:v>#NAME?</x:v>
      </x:c>
      <x:c r="H51" s="20" t="e">
        <x:f>IF(E51&lt;参数与口径!$E$6,"存量兼容Lv1","正常")&amp;IF(D51&lt;&gt;"","；当前已婚但存在离婚日期","")</x:f>
        <x:v>#NAME?</x:v>
      </x:c>
    </x:row>
    <x:row r="52" ht="17">
      <x:c r="A52" s="58">
        <x:v>50</x:v>
      </x:c>
      <x:c r="B52" s="58" t="s">
        <x:v>210</x:v>
      </x:c>
      <x:c r="C52" s="18" t="s">
        <x:v>213</x:v>
      </x:c>
      <x:c r="D52" s="18"/>
      <x:c r="E52" s="126">
        <x:v>98527</x:v>
      </x:c>
      <x:c r="F52" s="126" t="e">
        <x:f>IF(E52&lt;参数与口径!$E$6,1,MATCH(E52,等级配置!$C$4:$C$103,1))</x:f>
        <x:v>#NAME?</x:v>
      </x:c>
      <x:c r="G52" s="58" t="e">
        <x:f>INDEX(等级配置!$B$4:$B$103,F52)</x:f>
        <x:v>#NAME?</x:v>
      </x:c>
      <x:c r="H52" s="20" t="e">
        <x:f>IF(E52&lt;参数与口径!$E$6,"存量兼容Lv1","正常")&amp;IF(D52&lt;&gt;"","；当前已婚但存在离婚日期","")</x:f>
        <x:v>#NAME?</x:v>
      </x:c>
    </x:row>
    <x:row r="53" ht="17">
      <x:c r="A53" s="58">
        <x:v>51</x:v>
      </x:c>
      <x:c r="B53" s="58" t="s">
        <x:v>214</x:v>
      </x:c>
      <x:c r="C53" s="18" t="s">
        <x:v>217</x:v>
      </x:c>
      <x:c r="D53" s="18"/>
      <x:c r="E53" s="126">
        <x:v>97831</x:v>
      </x:c>
      <x:c r="F53" s="126" t="e">
        <x:f>IF(E53&lt;参数与口径!$E$6,1,MATCH(E53,等级配置!$C$4:$C$103,1))</x:f>
        <x:v>#NAME?</x:v>
      </x:c>
      <x:c r="G53" s="58" t="e">
        <x:f>INDEX(等级配置!$B$4:$B$103,F53)</x:f>
        <x:v>#NAME?</x:v>
      </x:c>
      <x:c r="H53" s="20" t="e">
        <x:f>IF(E53&lt;参数与口径!$E$6,"存量兼容Lv1","正常")&amp;IF(D53&lt;&gt;"","；当前已婚但存在离婚日期","")</x:f>
        <x:v>#NAME?</x:v>
      </x:c>
    </x:row>
    <x:row r="54" ht="17">
      <x:c r="A54" s="58">
        <x:v>52</x:v>
      </x:c>
      <x:c r="B54" s="58" t="s">
        <x:v>218</x:v>
      </x:c>
      <x:c r="C54" s="18" t="s">
        <x:v>221</x:v>
      </x:c>
      <x:c r="D54" s="18"/>
      <x:c r="E54" s="126">
        <x:v>91781</x:v>
      </x:c>
      <x:c r="F54" s="126" t="e">
        <x:f>IF(E54&lt;参数与口径!$E$6,1,MATCH(E54,等级配置!$C$4:$C$103,1))</x:f>
        <x:v>#NAME?</x:v>
      </x:c>
      <x:c r="G54" s="58" t="e">
        <x:f>INDEX(等级配置!$B$4:$B$103,F54)</x:f>
        <x:v>#NAME?</x:v>
      </x:c>
      <x:c r="H54" s="20" t="e">
        <x:f>IF(E54&lt;参数与口径!$E$6,"存量兼容Lv1","正常")&amp;IF(D54&lt;&gt;"","；当前已婚但存在离婚日期","")</x:f>
        <x:v>#NAME?</x:v>
      </x:c>
    </x:row>
    <x:row r="55" ht="17">
      <x:c r="A55" s="58">
        <x:v>53</x:v>
      </x:c>
      <x:c r="B55" s="58" t="s">
        <x:v>222</x:v>
      </x:c>
      <x:c r="C55" s="18" t="s">
        <x:v>225</x:v>
      </x:c>
      <x:c r="D55" s="18"/>
      <x:c r="E55" s="126">
        <x:v>91605</x:v>
      </x:c>
      <x:c r="F55" s="126" t="e">
        <x:f>IF(E55&lt;参数与口径!$E$6,1,MATCH(E55,等级配置!$C$4:$C$103,1))</x:f>
        <x:v>#NAME?</x:v>
      </x:c>
      <x:c r="G55" s="58" t="e">
        <x:f>INDEX(等级配置!$B$4:$B$103,F55)</x:f>
        <x:v>#NAME?</x:v>
      </x:c>
      <x:c r="H55" s="20" t="e">
        <x:f>IF(E55&lt;参数与口径!$E$6,"存量兼容Lv1","正常")&amp;IF(D55&lt;&gt;"","；当前已婚但存在离婚日期","")</x:f>
        <x:v>#NAME?</x:v>
      </x:c>
    </x:row>
    <x:row r="56" ht="17">
      <x:c r="A56" s="58">
        <x:v>54</x:v>
      </x:c>
      <x:c r="B56" s="58" t="s">
        <x:v>226</x:v>
      </x:c>
      <x:c r="C56" s="18" t="s">
        <x:v>229</x:v>
      </x:c>
      <x:c r="D56" s="18" t="s">
        <x:v>230</x:v>
      </x:c>
      <x:c r="E56" s="126">
        <x:v>90946</x:v>
      </x:c>
      <x:c r="F56" s="126" t="e">
        <x:f>IF(E56&lt;参数与口径!$E$6,1,MATCH(E56,等级配置!$C$4:$C$103,1))</x:f>
        <x:v>#NAME?</x:v>
      </x:c>
      <x:c r="G56" s="58" t="e">
        <x:f>INDEX(等级配置!$B$4:$B$103,F56)</x:f>
        <x:v>#NAME?</x:v>
      </x:c>
      <x:c r="H56" s="20" t="e">
        <x:f>IF(E56&lt;参数与口径!$E$6,"存量兼容Lv1","正常")&amp;IF(D56&lt;&gt;"","；当前已婚但存在离婚日期","")</x:f>
        <x:v>#NAME?</x:v>
      </x:c>
    </x:row>
    <x:row r="57" ht="17">
      <x:c r="A57" s="58">
        <x:v>55</x:v>
      </x:c>
      <x:c r="B57" s="58" t="s">
        <x:v>231</x:v>
      </x:c>
      <x:c r="C57" s="18" t="s">
        <x:v>234</x:v>
      </x:c>
      <x:c r="D57" s="18"/>
      <x:c r="E57" s="126">
        <x:v>90760</x:v>
      </x:c>
      <x:c r="F57" s="126" t="e">
        <x:f>IF(E57&lt;参数与口径!$E$6,1,MATCH(E57,等级配置!$C$4:$C$103,1))</x:f>
        <x:v>#NAME?</x:v>
      </x:c>
      <x:c r="G57" s="58" t="e">
        <x:f>INDEX(等级配置!$B$4:$B$103,F57)</x:f>
        <x:v>#NAME?</x:v>
      </x:c>
      <x:c r="H57" s="20" t="e">
        <x:f>IF(E57&lt;参数与口径!$E$6,"存量兼容Lv1","正常")&amp;IF(D57&lt;&gt;"","；当前已婚但存在离婚日期","")</x:f>
        <x:v>#NAME?</x:v>
      </x:c>
    </x:row>
    <x:row r="58" ht="17">
      <x:c r="A58" s="58">
        <x:v>56</x:v>
      </x:c>
      <x:c r="B58" s="58" t="s">
        <x:v>235</x:v>
      </x:c>
      <x:c r="C58" s="18" t="s">
        <x:v>238</x:v>
      </x:c>
      <x:c r="D58" s="18"/>
      <x:c r="E58" s="126">
        <x:v>88418</x:v>
      </x:c>
      <x:c r="F58" s="126" t="e">
        <x:f>IF(E58&lt;参数与口径!$E$6,1,MATCH(E58,等级配置!$C$4:$C$103,1))</x:f>
        <x:v>#NAME?</x:v>
      </x:c>
      <x:c r="G58" s="58" t="e">
        <x:f>INDEX(等级配置!$B$4:$B$103,F58)</x:f>
        <x:v>#NAME?</x:v>
      </x:c>
      <x:c r="H58" s="20" t="e">
        <x:f>IF(E58&lt;参数与口径!$E$6,"存量兼容Lv1","正常")&amp;IF(D58&lt;&gt;"","；当前已婚但存在离婚日期","")</x:f>
        <x:v>#NAME?</x:v>
      </x:c>
    </x:row>
    <x:row r="59" ht="17">
      <x:c r="A59" s="58">
        <x:v>57</x:v>
      </x:c>
      <x:c r="B59" s="58" t="s">
        <x:v>239</x:v>
      </x:c>
      <x:c r="C59" s="18" t="s">
        <x:v>242</x:v>
      </x:c>
      <x:c r="D59" s="18"/>
      <x:c r="E59" s="126">
        <x:v>83632</x:v>
      </x:c>
      <x:c r="F59" s="126" t="e">
        <x:f>IF(E59&lt;参数与口径!$E$6,1,MATCH(E59,等级配置!$C$4:$C$103,1))</x:f>
        <x:v>#NAME?</x:v>
      </x:c>
      <x:c r="G59" s="58" t="e">
        <x:f>INDEX(等级配置!$B$4:$B$103,F59)</x:f>
        <x:v>#NAME?</x:v>
      </x:c>
      <x:c r="H59" s="20" t="e">
        <x:f>IF(E59&lt;参数与口径!$E$6,"存量兼容Lv1","正常")&amp;IF(D59&lt;&gt;"","；当前已婚但存在离婚日期","")</x:f>
        <x:v>#NAME?</x:v>
      </x:c>
    </x:row>
    <x:row r="60" ht="17">
      <x:c r="A60" s="58">
        <x:v>58</x:v>
      </x:c>
      <x:c r="B60" s="58" t="s">
        <x:v>243</x:v>
      </x:c>
      <x:c r="C60" s="18" t="s">
        <x:v>246</x:v>
      </x:c>
      <x:c r="D60" s="18"/>
      <x:c r="E60" s="126">
        <x:v>78012</x:v>
      </x:c>
      <x:c r="F60" s="126" t="e">
        <x:f>IF(E60&lt;参数与口径!$E$6,1,MATCH(E60,等级配置!$C$4:$C$103,1))</x:f>
        <x:v>#NAME?</x:v>
      </x:c>
      <x:c r="G60" s="58" t="e">
        <x:f>INDEX(等级配置!$B$4:$B$103,F60)</x:f>
        <x:v>#NAME?</x:v>
      </x:c>
      <x:c r="H60" s="20" t="e">
        <x:f>IF(E60&lt;参数与口径!$E$6,"存量兼容Lv1","正常")&amp;IF(D60&lt;&gt;"","；当前已婚但存在离婚日期","")</x:f>
        <x:v>#NAME?</x:v>
      </x:c>
    </x:row>
    <x:row r="61" ht="17">
      <x:c r="A61" s="58">
        <x:v>59</x:v>
      </x:c>
      <x:c r="B61" s="58" t="s">
        <x:v>247</x:v>
      </x:c>
      <x:c r="C61" s="18" t="s">
        <x:v>250</x:v>
      </x:c>
      <x:c r="D61" s="18" t="s">
        <x:v>251</x:v>
      </x:c>
      <x:c r="E61" s="126">
        <x:v>77511</x:v>
      </x:c>
      <x:c r="F61" s="126" t="e">
        <x:f>IF(E61&lt;参数与口径!$E$6,1,MATCH(E61,等级配置!$C$4:$C$103,1))</x:f>
        <x:v>#NAME?</x:v>
      </x:c>
      <x:c r="G61" s="58" t="e">
        <x:f>INDEX(等级配置!$B$4:$B$103,F61)</x:f>
        <x:v>#NAME?</x:v>
      </x:c>
      <x:c r="H61" s="20" t="e">
        <x:f>IF(E61&lt;参数与口径!$E$6,"存量兼容Lv1","正常")&amp;IF(D61&lt;&gt;"","；当前已婚但存在离婚日期","")</x:f>
        <x:v>#NAME?</x:v>
      </x:c>
    </x:row>
    <x:row r="62" ht="17">
      <x:c r="A62" s="58">
        <x:v>60</x:v>
      </x:c>
      <x:c r="B62" s="58" t="s">
        <x:v>252</x:v>
      </x:c>
      <x:c r="C62" s="18" t="s">
        <x:v>255</x:v>
      </x:c>
      <x:c r="D62" s="18"/>
      <x:c r="E62" s="126">
        <x:v>76683</x:v>
      </x:c>
      <x:c r="F62" s="126" t="e">
        <x:f>IF(E62&lt;参数与口径!$E$6,1,MATCH(E62,等级配置!$C$4:$C$103,1))</x:f>
        <x:v>#NAME?</x:v>
      </x:c>
      <x:c r="G62" s="58" t="e">
        <x:f>INDEX(等级配置!$B$4:$B$103,F62)</x:f>
        <x:v>#NAME?</x:v>
      </x:c>
      <x:c r="H62" s="20" t="e">
        <x:f>IF(E62&lt;参数与口径!$E$6,"存量兼容Lv1","正常")&amp;IF(D62&lt;&gt;"","；当前已婚但存在离婚日期","")</x:f>
        <x:v>#NAME?</x:v>
      </x:c>
    </x:row>
    <x:row r="63" ht="17">
      <x:c r="A63" s="58">
        <x:v>61</x:v>
      </x:c>
      <x:c r="B63" s="58" t="s">
        <x:v>256</x:v>
      </x:c>
      <x:c r="C63" s="18" t="s">
        <x:v>259</x:v>
      </x:c>
      <x:c r="D63" s="18"/>
      <x:c r="E63" s="126">
        <x:v>75753</x:v>
      </x:c>
      <x:c r="F63" s="126" t="e">
        <x:f>IF(E63&lt;参数与口径!$E$6,1,MATCH(E63,等级配置!$C$4:$C$103,1))</x:f>
        <x:v>#NAME?</x:v>
      </x:c>
      <x:c r="G63" s="58" t="e">
        <x:f>INDEX(等级配置!$B$4:$B$103,F63)</x:f>
        <x:v>#NAME?</x:v>
      </x:c>
      <x:c r="H63" s="20" t="e">
        <x:f>IF(E63&lt;参数与口径!$E$6,"存量兼容Lv1","正常")&amp;IF(D63&lt;&gt;"","；当前已婚但存在离婚日期","")</x:f>
        <x:v>#NAME?</x:v>
      </x:c>
    </x:row>
    <x:row r="64" ht="17">
      <x:c r="A64" s="58">
        <x:v>62</x:v>
      </x:c>
      <x:c r="B64" s="58" t="s">
        <x:v>260</x:v>
      </x:c>
      <x:c r="C64" s="18" t="s">
        <x:v>263</x:v>
      </x:c>
      <x:c r="D64" s="18" t="s">
        <x:v>264</x:v>
      </x:c>
      <x:c r="E64" s="126">
        <x:v>75541</x:v>
      </x:c>
      <x:c r="F64" s="126" t="e">
        <x:f>IF(E64&lt;参数与口径!$E$6,1,MATCH(E64,等级配置!$C$4:$C$103,1))</x:f>
        <x:v>#NAME?</x:v>
      </x:c>
      <x:c r="G64" s="58" t="e">
        <x:f>INDEX(等级配置!$B$4:$B$103,F64)</x:f>
        <x:v>#NAME?</x:v>
      </x:c>
      <x:c r="H64" s="20" t="e">
        <x:f>IF(E64&lt;参数与口径!$E$6,"存量兼容Lv1","正常")&amp;IF(D64&lt;&gt;"","；当前已婚但存在离婚日期","")</x:f>
        <x:v>#NAME?</x:v>
      </x:c>
    </x:row>
    <x:row r="65" ht="17">
      <x:c r="A65" s="58">
        <x:v>63</x:v>
      </x:c>
      <x:c r="B65" s="58" t="s">
        <x:v>265</x:v>
      </x:c>
      <x:c r="C65" s="18" t="s">
        <x:v>268</x:v>
      </x:c>
      <x:c r="D65" s="18" t="s">
        <x:v>269</x:v>
      </x:c>
      <x:c r="E65" s="126">
        <x:v>75389</x:v>
      </x:c>
      <x:c r="F65" s="126" t="e">
        <x:f>IF(E65&lt;参数与口径!$E$6,1,MATCH(E65,等级配置!$C$4:$C$103,1))</x:f>
        <x:v>#NAME?</x:v>
      </x:c>
      <x:c r="G65" s="58" t="e">
        <x:f>INDEX(等级配置!$B$4:$B$103,F65)</x:f>
        <x:v>#NAME?</x:v>
      </x:c>
      <x:c r="H65" s="20" t="e">
        <x:f>IF(E65&lt;参数与口径!$E$6,"存量兼容Lv1","正常")&amp;IF(D65&lt;&gt;"","；当前已婚但存在离婚日期","")</x:f>
        <x:v>#NAME?</x:v>
      </x:c>
    </x:row>
    <x:row r="66" ht="17">
      <x:c r="A66" s="58">
        <x:v>64</x:v>
      </x:c>
      <x:c r="B66" s="58" t="s">
        <x:v>270</x:v>
      </x:c>
      <x:c r="C66" s="18" t="s">
        <x:v>273</x:v>
      </x:c>
      <x:c r="D66" s="18"/>
      <x:c r="E66" s="126">
        <x:v>75370</x:v>
      </x:c>
      <x:c r="F66" s="126" t="e">
        <x:f>IF(E66&lt;参数与口径!$E$6,1,MATCH(E66,等级配置!$C$4:$C$103,1))</x:f>
        <x:v>#NAME?</x:v>
      </x:c>
      <x:c r="G66" s="58" t="e">
        <x:f>INDEX(等级配置!$B$4:$B$103,F66)</x:f>
        <x:v>#NAME?</x:v>
      </x:c>
      <x:c r="H66" s="20" t="e">
        <x:f>IF(E66&lt;参数与口径!$E$6,"存量兼容Lv1","正常")&amp;IF(D66&lt;&gt;"","；当前已婚但存在离婚日期","")</x:f>
        <x:v>#NAME?</x:v>
      </x:c>
    </x:row>
    <x:row r="67" ht="17">
      <x:c r="A67" s="58">
        <x:v>65</x:v>
      </x:c>
      <x:c r="B67" s="58" t="s">
        <x:v>274</x:v>
      </x:c>
      <x:c r="C67" s="18" t="s">
        <x:v>277</x:v>
      </x:c>
      <x:c r="D67" s="18"/>
      <x:c r="E67" s="126">
        <x:v>71208</x:v>
      </x:c>
      <x:c r="F67" s="126" t="e">
        <x:f>IF(E67&lt;参数与口径!$E$6,1,MATCH(E67,等级配置!$C$4:$C$103,1))</x:f>
        <x:v>#NAME?</x:v>
      </x:c>
      <x:c r="G67" s="58" t="e">
        <x:f>INDEX(等级配置!$B$4:$B$103,F67)</x:f>
        <x:v>#NAME?</x:v>
      </x:c>
      <x:c r="H67" s="20" t="e">
        <x:f>IF(E67&lt;参数与口径!$E$6,"存量兼容Lv1","正常")&amp;IF(D67&lt;&gt;"","；当前已婚但存在离婚日期","")</x:f>
        <x:v>#NAME?</x:v>
      </x:c>
    </x:row>
    <x:row r="68" ht="17">
      <x:c r="A68" s="58">
        <x:v>66</x:v>
      </x:c>
      <x:c r="B68" s="58" t="s">
        <x:v>278</x:v>
      </x:c>
      <x:c r="C68" s="18" t="s">
        <x:v>281</x:v>
      </x:c>
      <x:c r="D68" s="18"/>
      <x:c r="E68" s="126">
        <x:v>70530</x:v>
      </x:c>
      <x:c r="F68" s="126" t="e">
        <x:f>IF(E68&lt;参数与口径!$E$6,1,MATCH(E68,等级配置!$C$4:$C$103,1))</x:f>
        <x:v>#NAME?</x:v>
      </x:c>
      <x:c r="G68" s="58" t="e">
        <x:f>INDEX(等级配置!$B$4:$B$103,F68)</x:f>
        <x:v>#NAME?</x:v>
      </x:c>
      <x:c r="H68" s="20" t="e">
        <x:f>IF(E68&lt;参数与口径!$E$6,"存量兼容Lv1","正常")&amp;IF(D68&lt;&gt;"","；当前已婚但存在离婚日期","")</x:f>
        <x:v>#NAME?</x:v>
      </x:c>
    </x:row>
    <x:row r="69" ht="17">
      <x:c r="A69" s="58">
        <x:v>67</x:v>
      </x:c>
      <x:c r="B69" s="58" t="s">
        <x:v>282</x:v>
      </x:c>
      <x:c r="C69" s="18" t="s">
        <x:v>285</x:v>
      </x:c>
      <x:c r="D69" s="18"/>
      <x:c r="E69" s="126">
        <x:v>65961</x:v>
      </x:c>
      <x:c r="F69" s="126" t="e">
        <x:f>IF(E69&lt;参数与口径!$E$6,1,MATCH(E69,等级配置!$C$4:$C$103,1))</x:f>
        <x:v>#NAME?</x:v>
      </x:c>
      <x:c r="G69" s="58" t="e">
        <x:f>INDEX(等级配置!$B$4:$B$103,F69)</x:f>
        <x:v>#NAME?</x:v>
      </x:c>
      <x:c r="H69" s="20" t="e">
        <x:f>IF(E69&lt;参数与口径!$E$6,"存量兼容Lv1","正常")&amp;IF(D69&lt;&gt;"","；当前已婚但存在离婚日期","")</x:f>
        <x:v>#NAME?</x:v>
      </x:c>
    </x:row>
    <x:row r="70" ht="17">
      <x:c r="A70" s="58">
        <x:v>68</x:v>
      </x:c>
      <x:c r="B70" s="58" t="s">
        <x:v>286</x:v>
      </x:c>
      <x:c r="C70" s="18" t="s">
        <x:v>289</x:v>
      </x:c>
      <x:c r="D70" s="18" t="s">
        <x:v>290</x:v>
      </x:c>
      <x:c r="E70" s="126">
        <x:v>63152</x:v>
      </x:c>
      <x:c r="F70" s="126" t="e">
        <x:f>IF(E70&lt;参数与口径!$E$6,1,MATCH(E70,等级配置!$C$4:$C$103,1))</x:f>
        <x:v>#NAME?</x:v>
      </x:c>
      <x:c r="G70" s="58" t="e">
        <x:f>INDEX(等级配置!$B$4:$B$103,F70)</x:f>
        <x:v>#NAME?</x:v>
      </x:c>
      <x:c r="H70" s="20" t="e">
        <x:f>IF(E70&lt;参数与口径!$E$6,"存量兼容Lv1","正常")&amp;IF(D70&lt;&gt;"","；当前已婚但存在离婚日期","")</x:f>
        <x:v>#NAME?</x:v>
      </x:c>
    </x:row>
    <x:row r="71" ht="17">
      <x:c r="A71" s="58">
        <x:v>69</x:v>
      </x:c>
      <x:c r="B71" s="58" t="s">
        <x:v>291</x:v>
      </x:c>
      <x:c r="C71" s="18" t="s">
        <x:v>294</x:v>
      </x:c>
      <x:c r="D71" s="18"/>
      <x:c r="E71" s="126">
        <x:v>62708</x:v>
      </x:c>
      <x:c r="F71" s="126" t="e">
        <x:f>IF(E71&lt;参数与口径!$E$6,1,MATCH(E71,等级配置!$C$4:$C$103,1))</x:f>
        <x:v>#NAME?</x:v>
      </x:c>
      <x:c r="G71" s="58" t="e">
        <x:f>INDEX(等级配置!$B$4:$B$103,F71)</x:f>
        <x:v>#NAME?</x:v>
      </x:c>
      <x:c r="H71" s="20" t="e">
        <x:f>IF(E71&lt;参数与口径!$E$6,"存量兼容Lv1","正常")&amp;IF(D71&lt;&gt;"","；当前已婚但存在离婚日期","")</x:f>
        <x:v>#NAME?</x:v>
      </x:c>
    </x:row>
    <x:row r="72" ht="17">
      <x:c r="A72" s="58">
        <x:v>70</x:v>
      </x:c>
      <x:c r="B72" s="58" t="s">
        <x:v>295</x:v>
      </x:c>
      <x:c r="C72" s="18" t="s">
        <x:v>298</x:v>
      </x:c>
      <x:c r="D72" s="18"/>
      <x:c r="E72" s="126">
        <x:v>62612</x:v>
      </x:c>
      <x:c r="F72" s="126" t="e">
        <x:f>IF(E72&lt;参数与口径!$E$6,1,MATCH(E72,等级配置!$C$4:$C$103,1))</x:f>
        <x:v>#NAME?</x:v>
      </x:c>
      <x:c r="G72" s="58" t="e">
        <x:f>INDEX(等级配置!$B$4:$B$103,F72)</x:f>
        <x:v>#NAME?</x:v>
      </x:c>
      <x:c r="H72" s="20" t="e">
        <x:f>IF(E72&lt;参数与口径!$E$6,"存量兼容Lv1","正常")&amp;IF(D72&lt;&gt;"","；当前已婚但存在离婚日期","")</x:f>
        <x:v>#NAME?</x:v>
      </x:c>
    </x:row>
    <x:row r="73" ht="17">
      <x:c r="A73" s="58">
        <x:v>71</x:v>
      </x:c>
      <x:c r="B73" s="58" t="s">
        <x:v>299</x:v>
      </x:c>
      <x:c r="C73" s="18" t="s">
        <x:v>302</x:v>
      </x:c>
      <x:c r="D73" s="18"/>
      <x:c r="E73" s="126">
        <x:v>61538</x:v>
      </x:c>
      <x:c r="F73" s="126" t="e">
        <x:f>IF(E73&lt;参数与口径!$E$6,1,MATCH(E73,等级配置!$C$4:$C$103,1))</x:f>
        <x:v>#NAME?</x:v>
      </x:c>
      <x:c r="G73" s="58" t="e">
        <x:f>INDEX(等级配置!$B$4:$B$103,F73)</x:f>
        <x:v>#NAME?</x:v>
      </x:c>
      <x:c r="H73" s="20" t="e">
        <x:f>IF(E73&lt;参数与口径!$E$6,"存量兼容Lv1","正常")&amp;IF(D73&lt;&gt;"","；当前已婚但存在离婚日期","")</x:f>
        <x:v>#NAME?</x:v>
      </x:c>
    </x:row>
    <x:row r="74" ht="17">
      <x:c r="A74" s="58">
        <x:v>72</x:v>
      </x:c>
      <x:c r="B74" s="58" t="s">
        <x:v>303</x:v>
      </x:c>
      <x:c r="C74" s="18" t="s">
        <x:v>306</x:v>
      </x:c>
      <x:c r="D74" s="18"/>
      <x:c r="E74" s="126">
        <x:v>55198</x:v>
      </x:c>
      <x:c r="F74" s="126" t="e">
        <x:f>IF(E74&lt;参数与口径!$E$6,1,MATCH(E74,等级配置!$C$4:$C$103,1))</x:f>
        <x:v>#NAME?</x:v>
      </x:c>
      <x:c r="G74" s="58" t="e">
        <x:f>INDEX(等级配置!$B$4:$B$103,F74)</x:f>
        <x:v>#NAME?</x:v>
      </x:c>
      <x:c r="H74" s="20" t="e">
        <x:f>IF(E74&lt;参数与口径!$E$6,"存量兼容Lv1","正常")&amp;IF(D74&lt;&gt;"","；当前已婚但存在离婚日期","")</x:f>
        <x:v>#NAME?</x:v>
      </x:c>
    </x:row>
    <x:row r="75" ht="17">
      <x:c r="A75" s="58">
        <x:v>73</x:v>
      </x:c>
      <x:c r="B75" s="58" t="s">
        <x:v>307</x:v>
      </x:c>
      <x:c r="C75" s="18" t="s">
        <x:v>310</x:v>
      </x:c>
      <x:c r="D75" s="18"/>
      <x:c r="E75" s="126">
        <x:v>53982</x:v>
      </x:c>
      <x:c r="F75" s="126" t="e">
        <x:f>IF(E75&lt;参数与口径!$E$6,1,MATCH(E75,等级配置!$C$4:$C$103,1))</x:f>
        <x:v>#NAME?</x:v>
      </x:c>
      <x:c r="G75" s="58" t="e">
        <x:f>INDEX(等级配置!$B$4:$B$103,F75)</x:f>
        <x:v>#NAME?</x:v>
      </x:c>
      <x:c r="H75" s="20" t="e">
        <x:f>IF(E75&lt;参数与口径!$E$6,"存量兼容Lv1","正常")&amp;IF(D75&lt;&gt;"","；当前已婚但存在离婚日期","")</x:f>
        <x:v>#NAME?</x:v>
      </x:c>
    </x:row>
    <x:row r="76" ht="17">
      <x:c r="A76" s="58">
        <x:v>74</x:v>
      </x:c>
      <x:c r="B76" s="58" t="s">
        <x:v>311</x:v>
      </x:c>
      <x:c r="C76" s="18" t="s">
        <x:v>314</x:v>
      </x:c>
      <x:c r="D76" s="18"/>
      <x:c r="E76" s="126">
        <x:v>53797</x:v>
      </x:c>
      <x:c r="F76" s="126" t="e">
        <x:f>IF(E76&lt;参数与口径!$E$6,1,MATCH(E76,等级配置!$C$4:$C$103,1))</x:f>
        <x:v>#NAME?</x:v>
      </x:c>
      <x:c r="G76" s="58" t="e">
        <x:f>INDEX(等级配置!$B$4:$B$103,F76)</x:f>
        <x:v>#NAME?</x:v>
      </x:c>
      <x:c r="H76" s="20" t="e">
        <x:f>IF(E76&lt;参数与口径!$E$6,"存量兼容Lv1","正常")&amp;IF(D76&lt;&gt;"","；当前已婚但存在离婚日期","")</x:f>
        <x:v>#NAME?</x:v>
      </x:c>
    </x:row>
    <x:row r="77" ht="17">
      <x:c r="A77" s="58">
        <x:v>75</x:v>
      </x:c>
      <x:c r="B77" s="58" t="s">
        <x:v>315</x:v>
      </x:c>
      <x:c r="C77" s="18" t="s">
        <x:v>318</x:v>
      </x:c>
      <x:c r="D77" s="18"/>
      <x:c r="E77" s="126">
        <x:v>52308</x:v>
      </x:c>
      <x:c r="F77" s="126" t="e">
        <x:f>IF(E77&lt;参数与口径!$E$6,1,MATCH(E77,等级配置!$C$4:$C$103,1))</x:f>
        <x:v>#NAME?</x:v>
      </x:c>
      <x:c r="G77" s="58" t="e">
        <x:f>INDEX(等级配置!$B$4:$B$103,F77)</x:f>
        <x:v>#NAME?</x:v>
      </x:c>
      <x:c r="H77" s="20" t="e">
        <x:f>IF(E77&lt;参数与口径!$E$6,"存量兼容Lv1","正常")&amp;IF(D77&lt;&gt;"","；当前已婚但存在离婚日期","")</x:f>
        <x:v>#NAME?</x:v>
      </x:c>
    </x:row>
    <x:row r="78" ht="17">
      <x:c r="A78" s="58">
        <x:v>76</x:v>
      </x:c>
      <x:c r="B78" s="58" t="s">
        <x:v>319</x:v>
      </x:c>
      <x:c r="C78" s="18" t="s">
        <x:v>322</x:v>
      </x:c>
      <x:c r="D78" s="18" t="s">
        <x:v>323</x:v>
      </x:c>
      <x:c r="E78" s="126">
        <x:v>51224</x:v>
      </x:c>
      <x:c r="F78" s="126" t="e">
        <x:f>IF(E78&lt;参数与口径!$E$6,1,MATCH(E78,等级配置!$C$4:$C$103,1))</x:f>
        <x:v>#NAME?</x:v>
      </x:c>
      <x:c r="G78" s="58" t="e">
        <x:f>INDEX(等级配置!$B$4:$B$103,F78)</x:f>
        <x:v>#NAME?</x:v>
      </x:c>
      <x:c r="H78" s="20" t="e">
        <x:f>IF(E78&lt;参数与口径!$E$6,"存量兼容Lv1","正常")&amp;IF(D78&lt;&gt;"","；当前已婚但存在离婚日期","")</x:f>
        <x:v>#NAME?</x:v>
      </x:c>
    </x:row>
    <x:row r="79" ht="17">
      <x:c r="A79" s="58">
        <x:v>77</x:v>
      </x:c>
      <x:c r="B79" s="58" t="s">
        <x:v>324</x:v>
      </x:c>
      <x:c r="C79" s="18" t="s">
        <x:v>327</x:v>
      </x:c>
      <x:c r="D79" s="18" t="s">
        <x:v>328</x:v>
      </x:c>
      <x:c r="E79" s="126">
        <x:v>49792</x:v>
      </x:c>
      <x:c r="F79" s="126" t="e">
        <x:f>IF(E79&lt;参数与口径!$E$6,1,MATCH(E79,等级配置!$C$4:$C$103,1))</x:f>
        <x:v>#NAME?</x:v>
      </x:c>
      <x:c r="G79" s="58" t="e">
        <x:f>INDEX(等级配置!$B$4:$B$103,F79)</x:f>
        <x:v>#NAME?</x:v>
      </x:c>
      <x:c r="H79" s="20" t="e">
        <x:f>IF(E79&lt;参数与口径!$E$6,"存量兼容Lv1","正常")&amp;IF(D79&lt;&gt;"","；当前已婚但存在离婚日期","")</x:f>
        <x:v>#NAME?</x:v>
      </x:c>
    </x:row>
    <x:row r="80" ht="17">
      <x:c r="A80" s="58">
        <x:v>78</x:v>
      </x:c>
      <x:c r="B80" s="58" t="s">
        <x:v>329</x:v>
      </x:c>
      <x:c r="C80" s="18" t="s">
        <x:v>332</x:v>
      </x:c>
      <x:c r="D80" s="18"/>
      <x:c r="E80" s="126">
        <x:v>49732</x:v>
      </x:c>
      <x:c r="F80" s="126" t="e">
        <x:f>IF(E80&lt;参数与口径!$E$6,1,MATCH(E80,等级配置!$C$4:$C$103,1))</x:f>
        <x:v>#NAME?</x:v>
      </x:c>
      <x:c r="G80" s="58" t="e">
        <x:f>INDEX(等级配置!$B$4:$B$103,F80)</x:f>
        <x:v>#NAME?</x:v>
      </x:c>
      <x:c r="H80" s="20" t="e">
        <x:f>IF(E80&lt;参数与口径!$E$6,"存量兼容Lv1","正常")&amp;IF(D80&lt;&gt;"","；当前已婚但存在离婚日期","")</x:f>
        <x:v>#NAME?</x:v>
      </x:c>
    </x:row>
    <x:row r="81" ht="17">
      <x:c r="A81" s="58">
        <x:v>79</x:v>
      </x:c>
      <x:c r="B81" s="58" t="s">
        <x:v>333</x:v>
      </x:c>
      <x:c r="C81" s="18" t="s">
        <x:v>336</x:v>
      </x:c>
      <x:c r="D81" s="18" t="s">
        <x:v>337</x:v>
      </x:c>
      <x:c r="E81" s="126">
        <x:v>48347</x:v>
      </x:c>
      <x:c r="F81" s="126" t="e">
        <x:f>IF(E81&lt;参数与口径!$E$6,1,MATCH(E81,等级配置!$C$4:$C$103,1))</x:f>
        <x:v>#NAME?</x:v>
      </x:c>
      <x:c r="G81" s="58" t="e">
        <x:f>INDEX(等级配置!$B$4:$B$103,F81)</x:f>
        <x:v>#NAME?</x:v>
      </x:c>
      <x:c r="H81" s="20" t="e">
        <x:f>IF(E81&lt;参数与口径!$E$6,"存量兼容Lv1","正常")&amp;IF(D81&lt;&gt;"","；当前已婚但存在离婚日期","")</x:f>
        <x:v>#NAME?</x:v>
      </x:c>
    </x:row>
    <x:row r="82" ht="17">
      <x:c r="A82" s="58">
        <x:v>80</x:v>
      </x:c>
      <x:c r="B82" s="58" t="s">
        <x:v>338</x:v>
      </x:c>
      <x:c r="C82" s="18" t="s">
        <x:v>341</x:v>
      </x:c>
      <x:c r="D82" s="18" t="s">
        <x:v>342</x:v>
      </x:c>
      <x:c r="E82" s="126">
        <x:v>47232</x:v>
      </x:c>
      <x:c r="F82" s="126" t="e">
        <x:f>IF(E82&lt;参数与口径!$E$6,1,MATCH(E82,等级配置!$C$4:$C$103,1))</x:f>
        <x:v>#NAME?</x:v>
      </x:c>
      <x:c r="G82" s="58" t="e">
        <x:f>INDEX(等级配置!$B$4:$B$103,F82)</x:f>
        <x:v>#NAME?</x:v>
      </x:c>
      <x:c r="H82" s="20" t="e">
        <x:f>IF(E82&lt;参数与口径!$E$6,"存量兼容Lv1","正常")&amp;IF(D82&lt;&gt;"","；当前已婚但存在离婚日期","")</x:f>
        <x:v>#NAME?</x:v>
      </x:c>
    </x:row>
    <x:row r="83" ht="17">
      <x:c r="A83" s="58">
        <x:v>81</x:v>
      </x:c>
      <x:c r="B83" s="58" t="s">
        <x:v>343</x:v>
      </x:c>
      <x:c r="C83" s="18" t="s">
        <x:v>346</x:v>
      </x:c>
      <x:c r="D83" s="18" t="s">
        <x:v>347</x:v>
      </x:c>
      <x:c r="E83" s="126">
        <x:v>46818</x:v>
      </x:c>
      <x:c r="F83" s="126" t="e">
        <x:f>IF(E83&lt;参数与口径!$E$6,1,MATCH(E83,等级配置!$C$4:$C$103,1))</x:f>
        <x:v>#NAME?</x:v>
      </x:c>
      <x:c r="G83" s="58" t="e">
        <x:f>INDEX(等级配置!$B$4:$B$103,F83)</x:f>
        <x:v>#NAME?</x:v>
      </x:c>
      <x:c r="H83" s="20" t="e">
        <x:f>IF(E83&lt;参数与口径!$E$6,"存量兼容Lv1","正常")&amp;IF(D83&lt;&gt;"","；当前已婚但存在离婚日期","")</x:f>
        <x:v>#NAME?</x:v>
      </x:c>
    </x:row>
    <x:row r="84" ht="17">
      <x:c r="A84" s="58">
        <x:v>82</x:v>
      </x:c>
      <x:c r="B84" s="58" t="s">
        <x:v>348</x:v>
      </x:c>
      <x:c r="C84" s="18" t="s">
        <x:v>351</x:v>
      </x:c>
      <x:c r="D84" s="18"/>
      <x:c r="E84" s="126">
        <x:v>46745</x:v>
      </x:c>
      <x:c r="F84" s="126" t="e">
        <x:f>IF(E84&lt;参数与口径!$E$6,1,MATCH(E84,等级配置!$C$4:$C$103,1))</x:f>
        <x:v>#NAME?</x:v>
      </x:c>
      <x:c r="G84" s="58" t="e">
        <x:f>INDEX(等级配置!$B$4:$B$103,F84)</x:f>
        <x:v>#NAME?</x:v>
      </x:c>
      <x:c r="H84" s="20" t="e">
        <x:f>IF(E84&lt;参数与口径!$E$6,"存量兼容Lv1","正常")&amp;IF(D84&lt;&gt;"","；当前已婚但存在离婚日期","")</x:f>
        <x:v>#NAME?</x:v>
      </x:c>
    </x:row>
    <x:row r="85" ht="17">
      <x:c r="A85" s="58">
        <x:v>83</x:v>
      </x:c>
      <x:c r="B85" s="58" t="s">
        <x:v>352</x:v>
      </x:c>
      <x:c r="C85" s="18" t="s">
        <x:v>355</x:v>
      </x:c>
      <x:c r="D85" s="18"/>
      <x:c r="E85" s="126">
        <x:v>45986</x:v>
      </x:c>
      <x:c r="F85" s="126" t="e">
        <x:f>IF(E85&lt;参数与口径!$E$6,1,MATCH(E85,等级配置!$C$4:$C$103,1))</x:f>
        <x:v>#NAME?</x:v>
      </x:c>
      <x:c r="G85" s="58" t="e">
        <x:f>INDEX(等级配置!$B$4:$B$103,F85)</x:f>
        <x:v>#NAME?</x:v>
      </x:c>
      <x:c r="H85" s="20" t="e">
        <x:f>IF(E85&lt;参数与口径!$E$6,"存量兼容Lv1","正常")&amp;IF(D85&lt;&gt;"","；当前已婚但存在离婚日期","")</x:f>
        <x:v>#NAME?</x:v>
      </x:c>
    </x:row>
    <x:row r="86" ht="17">
      <x:c r="A86" s="58">
        <x:v>84</x:v>
      </x:c>
      <x:c r="B86" s="58" t="s">
        <x:v>356</x:v>
      </x:c>
      <x:c r="C86" s="18" t="s">
        <x:v>359</x:v>
      </x:c>
      <x:c r="D86" s="18"/>
      <x:c r="E86" s="126">
        <x:v>45026</x:v>
      </x:c>
      <x:c r="F86" s="126" t="e">
        <x:f>IF(E86&lt;参数与口径!$E$6,1,MATCH(E86,等级配置!$C$4:$C$103,1))</x:f>
        <x:v>#NAME?</x:v>
      </x:c>
      <x:c r="G86" s="58" t="e">
        <x:f>INDEX(等级配置!$B$4:$B$103,F86)</x:f>
        <x:v>#NAME?</x:v>
      </x:c>
      <x:c r="H86" s="20" t="e">
        <x:f>IF(E86&lt;参数与口径!$E$6,"存量兼容Lv1","正常")&amp;IF(D86&lt;&gt;"","；当前已婚但存在离婚日期","")</x:f>
        <x:v>#NAME?</x:v>
      </x:c>
    </x:row>
    <x:row r="87" ht="17">
      <x:c r="A87" s="58">
        <x:v>85</x:v>
      </x:c>
      <x:c r="B87" s="58" t="s">
        <x:v>360</x:v>
      </x:c>
      <x:c r="C87" s="18" t="s">
        <x:v>363</x:v>
      </x:c>
      <x:c r="D87" s="18" t="s">
        <x:v>364</x:v>
      </x:c>
      <x:c r="E87" s="126">
        <x:v>44284</x:v>
      </x:c>
      <x:c r="F87" s="126" t="e">
        <x:f>IF(E87&lt;参数与口径!$E$6,1,MATCH(E87,等级配置!$C$4:$C$103,1))</x:f>
        <x:v>#NAME?</x:v>
      </x:c>
      <x:c r="G87" s="58" t="e">
        <x:f>INDEX(等级配置!$B$4:$B$103,F87)</x:f>
        <x:v>#NAME?</x:v>
      </x:c>
      <x:c r="H87" s="20" t="e">
        <x:f>IF(E87&lt;参数与口径!$E$6,"存量兼容Lv1","正常")&amp;IF(D87&lt;&gt;"","；当前已婚但存在离婚日期","")</x:f>
        <x:v>#NAME?</x:v>
      </x:c>
    </x:row>
    <x:row r="88" ht="17">
      <x:c r="A88" s="58">
        <x:v>86</x:v>
      </x:c>
      <x:c r="B88" s="58" t="s">
        <x:v>365</x:v>
      </x:c>
      <x:c r="C88" s="18" t="s">
        <x:v>368</x:v>
      </x:c>
      <x:c r="D88" s="18"/>
      <x:c r="E88" s="126">
        <x:v>43764</x:v>
      </x:c>
      <x:c r="F88" s="126" t="e">
        <x:f>IF(E88&lt;参数与口径!$E$6,1,MATCH(E88,等级配置!$C$4:$C$103,1))</x:f>
        <x:v>#NAME?</x:v>
      </x:c>
      <x:c r="G88" s="58" t="e">
        <x:f>INDEX(等级配置!$B$4:$B$103,F88)</x:f>
        <x:v>#NAME?</x:v>
      </x:c>
      <x:c r="H88" s="20" t="e">
        <x:f>IF(E88&lt;参数与口径!$E$6,"存量兼容Lv1","正常")&amp;IF(D88&lt;&gt;"","；当前已婚但存在离婚日期","")</x:f>
        <x:v>#NAME?</x:v>
      </x:c>
    </x:row>
    <x:row r="89" ht="17">
      <x:c r="A89" s="58">
        <x:v>87</x:v>
      </x:c>
      <x:c r="B89" s="58" t="s">
        <x:v>369</x:v>
      </x:c>
      <x:c r="C89" s="18" t="s">
        <x:v>372</x:v>
      </x:c>
      <x:c r="D89" s="18"/>
      <x:c r="E89" s="126">
        <x:v>42962</x:v>
      </x:c>
      <x:c r="F89" s="126" t="e">
        <x:f>IF(E89&lt;参数与口径!$E$6,1,MATCH(E89,等级配置!$C$4:$C$103,1))</x:f>
        <x:v>#NAME?</x:v>
      </x:c>
      <x:c r="G89" s="58" t="e">
        <x:f>INDEX(等级配置!$B$4:$B$103,F89)</x:f>
        <x:v>#NAME?</x:v>
      </x:c>
      <x:c r="H89" s="20" t="e">
        <x:f>IF(E89&lt;参数与口径!$E$6,"存量兼容Lv1","正常")&amp;IF(D89&lt;&gt;"","；当前已婚但存在离婚日期","")</x:f>
        <x:v>#NAME?</x:v>
      </x:c>
    </x:row>
    <x:row r="90" ht="17">
      <x:c r="A90" s="58">
        <x:v>88</x:v>
      </x:c>
      <x:c r="B90" s="58" t="s">
        <x:v>373</x:v>
      </x:c>
      <x:c r="C90" s="18" t="s">
        <x:v>376</x:v>
      </x:c>
      <x:c r="D90" s="18"/>
      <x:c r="E90" s="126">
        <x:v>42674</x:v>
      </x:c>
      <x:c r="F90" s="126" t="e">
        <x:f>IF(E90&lt;参数与口径!$E$6,1,MATCH(E90,等级配置!$C$4:$C$103,1))</x:f>
        <x:v>#NAME?</x:v>
      </x:c>
      <x:c r="G90" s="58" t="e">
        <x:f>INDEX(等级配置!$B$4:$B$103,F90)</x:f>
        <x:v>#NAME?</x:v>
      </x:c>
      <x:c r="H90" s="20" t="e">
        <x:f>IF(E90&lt;参数与口径!$E$6,"存量兼容Lv1","正常")&amp;IF(D90&lt;&gt;"","；当前已婚但存在离婚日期","")</x:f>
        <x:v>#NAME?</x:v>
      </x:c>
    </x:row>
    <x:row r="91" ht="17">
      <x:c r="A91" s="58">
        <x:v>89</x:v>
      </x:c>
      <x:c r="B91" s="58" t="s">
        <x:v>377</x:v>
      </x:c>
      <x:c r="C91" s="18" t="s">
        <x:v>380</x:v>
      </x:c>
      <x:c r="D91" s="18"/>
      <x:c r="E91" s="126">
        <x:v>42555</x:v>
      </x:c>
      <x:c r="F91" s="126" t="e">
        <x:f>IF(E91&lt;参数与口径!$E$6,1,MATCH(E91,等级配置!$C$4:$C$103,1))</x:f>
        <x:v>#NAME?</x:v>
      </x:c>
      <x:c r="G91" s="58" t="e">
        <x:f>INDEX(等级配置!$B$4:$B$103,F91)</x:f>
        <x:v>#NAME?</x:v>
      </x:c>
      <x:c r="H91" s="20" t="e">
        <x:f>IF(E91&lt;参数与口径!$E$6,"存量兼容Lv1","正常")&amp;IF(D91&lt;&gt;"","；当前已婚但存在离婚日期","")</x:f>
        <x:v>#NAME?</x:v>
      </x:c>
    </x:row>
    <x:row r="92" ht="17">
      <x:c r="A92" s="58">
        <x:v>90</x:v>
      </x:c>
      <x:c r="B92" s="58" t="s">
        <x:v>381</x:v>
      </x:c>
      <x:c r="C92" s="18" t="s">
        <x:v>384</x:v>
      </x:c>
      <x:c r="D92" s="18"/>
      <x:c r="E92" s="126">
        <x:v>41073</x:v>
      </x:c>
      <x:c r="F92" s="126" t="e">
        <x:f>IF(E92&lt;参数与口径!$E$6,1,MATCH(E92,等级配置!$C$4:$C$103,1))</x:f>
        <x:v>#NAME?</x:v>
      </x:c>
      <x:c r="G92" s="58" t="e">
        <x:f>INDEX(等级配置!$B$4:$B$103,F92)</x:f>
        <x:v>#NAME?</x:v>
      </x:c>
      <x:c r="H92" s="20" t="e">
        <x:f>IF(E92&lt;参数与口径!$E$6,"存量兼容Lv1","正常")&amp;IF(D92&lt;&gt;"","；当前已婚但存在离婚日期","")</x:f>
        <x:v>#NAME?</x:v>
      </x:c>
    </x:row>
    <x:row r="93" ht="17">
      <x:c r="A93" s="58">
        <x:v>91</x:v>
      </x:c>
      <x:c r="B93" s="58" t="s">
        <x:v>385</x:v>
      </x:c>
      <x:c r="C93" s="18" t="s">
        <x:v>388</x:v>
      </x:c>
      <x:c r="D93" s="18"/>
      <x:c r="E93" s="126">
        <x:v>41017</x:v>
      </x:c>
      <x:c r="F93" s="126" t="e">
        <x:f>IF(E93&lt;参数与口径!$E$6,1,MATCH(E93,等级配置!$C$4:$C$103,1))</x:f>
        <x:v>#NAME?</x:v>
      </x:c>
      <x:c r="G93" s="58" t="e">
        <x:f>INDEX(等级配置!$B$4:$B$103,F93)</x:f>
        <x:v>#NAME?</x:v>
      </x:c>
      <x:c r="H93" s="20" t="e">
        <x:f>IF(E93&lt;参数与口径!$E$6,"存量兼容Lv1","正常")&amp;IF(D93&lt;&gt;"","；当前已婚但存在离婚日期","")</x:f>
        <x:v>#NAME?</x:v>
      </x:c>
    </x:row>
    <x:row r="94" ht="17">
      <x:c r="A94" s="58">
        <x:v>92</x:v>
      </x:c>
      <x:c r="B94" s="58" t="s">
        <x:v>389</x:v>
      </x:c>
      <x:c r="C94" s="18" t="s">
        <x:v>392</x:v>
      </x:c>
      <x:c r="D94" s="18"/>
      <x:c r="E94" s="126">
        <x:v>40576</x:v>
      </x:c>
      <x:c r="F94" s="126" t="e">
        <x:f>IF(E94&lt;参数与口径!$E$6,1,MATCH(E94,等级配置!$C$4:$C$103,1))</x:f>
        <x:v>#NAME?</x:v>
      </x:c>
      <x:c r="G94" s="58" t="e">
        <x:f>INDEX(等级配置!$B$4:$B$103,F94)</x:f>
        <x:v>#NAME?</x:v>
      </x:c>
      <x:c r="H94" s="20" t="e">
        <x:f>IF(E94&lt;参数与口径!$E$6,"存量兼容Lv1","正常")&amp;IF(D94&lt;&gt;"","；当前已婚但存在离婚日期","")</x:f>
        <x:v>#NAME?</x:v>
      </x:c>
    </x:row>
    <x:row r="95" ht="17">
      <x:c r="A95" s="58">
        <x:v>93</x:v>
      </x:c>
      <x:c r="B95" s="58" t="s">
        <x:v>393</x:v>
      </x:c>
      <x:c r="C95" s="18" t="s">
        <x:v>396</x:v>
      </x:c>
      <x:c r="D95" s="18"/>
      <x:c r="E95" s="126">
        <x:v>40423</x:v>
      </x:c>
      <x:c r="F95" s="126" t="e">
        <x:f>IF(E95&lt;参数与口径!$E$6,1,MATCH(E95,等级配置!$C$4:$C$103,1))</x:f>
        <x:v>#NAME?</x:v>
      </x:c>
      <x:c r="G95" s="58" t="e">
        <x:f>INDEX(等级配置!$B$4:$B$103,F95)</x:f>
        <x:v>#NAME?</x:v>
      </x:c>
      <x:c r="H95" s="20" t="e">
        <x:f>IF(E95&lt;参数与口径!$E$6,"存量兼容Lv1","正常")&amp;IF(D95&lt;&gt;"","；当前已婚但存在离婚日期","")</x:f>
        <x:v>#NAME?</x:v>
      </x:c>
    </x:row>
    <x:row r="96" ht="17">
      <x:c r="A96" s="58">
        <x:v>94</x:v>
      </x:c>
      <x:c r="B96" s="58" t="s">
        <x:v>397</x:v>
      </x:c>
      <x:c r="C96" s="18" t="s">
        <x:v>400</x:v>
      </x:c>
      <x:c r="D96" s="18"/>
      <x:c r="E96" s="126">
        <x:v>40357</x:v>
      </x:c>
      <x:c r="F96" s="126" t="e">
        <x:f>IF(E96&lt;参数与口径!$E$6,1,MATCH(E96,等级配置!$C$4:$C$103,1))</x:f>
        <x:v>#NAME?</x:v>
      </x:c>
      <x:c r="G96" s="58" t="e">
        <x:f>INDEX(等级配置!$B$4:$B$103,F96)</x:f>
        <x:v>#NAME?</x:v>
      </x:c>
      <x:c r="H96" s="20" t="e">
        <x:f>IF(E96&lt;参数与口径!$E$6,"存量兼容Lv1","正常")&amp;IF(D96&lt;&gt;"","；当前已婚但存在离婚日期","")</x:f>
        <x:v>#NAME?</x:v>
      </x:c>
    </x:row>
    <x:row r="97" ht="17">
      <x:c r="A97" s="58">
        <x:v>95</x:v>
      </x:c>
      <x:c r="B97" s="58" t="s">
        <x:v>401</x:v>
      </x:c>
      <x:c r="C97" s="18" t="s">
        <x:v>404</x:v>
      </x:c>
      <x:c r="D97" s="18" t="s">
        <x:v>405</x:v>
      </x:c>
      <x:c r="E97" s="126">
        <x:v>39968</x:v>
      </x:c>
      <x:c r="F97" s="126" t="e">
        <x:f>IF(E97&lt;参数与口径!$E$6,1,MATCH(E97,等级配置!$C$4:$C$103,1))</x:f>
        <x:v>#NAME?</x:v>
      </x:c>
      <x:c r="G97" s="58" t="e">
        <x:f>INDEX(等级配置!$B$4:$B$103,F97)</x:f>
        <x:v>#NAME?</x:v>
      </x:c>
      <x:c r="H97" s="20" t="e">
        <x:f>IF(E97&lt;参数与口径!$E$6,"存量兼容Lv1","正常")&amp;IF(D97&lt;&gt;"","；当前已婚但存在离婚日期","")</x:f>
        <x:v>#NAME?</x:v>
      </x:c>
    </x:row>
    <x:row r="98" ht="17">
      <x:c r="A98" s="58">
        <x:v>96</x:v>
      </x:c>
      <x:c r="B98" s="58" t="s">
        <x:v>406</x:v>
      </x:c>
      <x:c r="C98" s="18" t="s">
        <x:v>409</x:v>
      </x:c>
      <x:c r="D98" s="18"/>
      <x:c r="E98" s="126">
        <x:v>38781</x:v>
      </x:c>
      <x:c r="F98" s="126" t="e">
        <x:f>IF(E98&lt;参数与口径!$E$6,1,MATCH(E98,等级配置!$C$4:$C$103,1))</x:f>
        <x:v>#NAME?</x:v>
      </x:c>
      <x:c r="G98" s="58" t="e">
        <x:f>INDEX(等级配置!$B$4:$B$103,F98)</x:f>
        <x:v>#NAME?</x:v>
      </x:c>
      <x:c r="H98" s="20" t="e">
        <x:f>IF(E98&lt;参数与口径!$E$6,"存量兼容Lv1","正常")&amp;IF(D98&lt;&gt;"","；当前已婚但存在离婚日期","")</x:f>
        <x:v>#NAME?</x:v>
      </x:c>
    </x:row>
    <x:row r="99" ht="17">
      <x:c r="A99" s="58">
        <x:v>97</x:v>
      </x:c>
      <x:c r="B99" s="58" t="s">
        <x:v>410</x:v>
      </x:c>
      <x:c r="C99" s="18" t="s">
        <x:v>413</x:v>
      </x:c>
      <x:c r="D99" s="18"/>
      <x:c r="E99" s="126">
        <x:v>38409</x:v>
      </x:c>
      <x:c r="F99" s="126" t="e">
        <x:f>IF(E99&lt;参数与口径!$E$6,1,MATCH(E99,等级配置!$C$4:$C$103,1))</x:f>
        <x:v>#NAME?</x:v>
      </x:c>
      <x:c r="G99" s="58" t="e">
        <x:f>INDEX(等级配置!$B$4:$B$103,F99)</x:f>
        <x:v>#NAME?</x:v>
      </x:c>
      <x:c r="H99" s="20" t="e">
        <x:f>IF(E99&lt;参数与口径!$E$6,"存量兼容Lv1","正常")&amp;IF(D99&lt;&gt;"","；当前已婚但存在离婚日期","")</x:f>
        <x:v>#NAME?</x:v>
      </x:c>
    </x:row>
    <x:row r="100" ht="17">
      <x:c r="A100" s="58">
        <x:v>98</x:v>
      </x:c>
      <x:c r="B100" s="58" t="s">
        <x:v>414</x:v>
      </x:c>
      <x:c r="C100" s="18" t="s">
        <x:v>417</x:v>
      </x:c>
      <x:c r="D100" s="18"/>
      <x:c r="E100" s="126">
        <x:v>37751</x:v>
      </x:c>
      <x:c r="F100" s="126" t="e">
        <x:f>IF(E100&lt;参数与口径!$E$6,1,MATCH(E100,等级配置!$C$4:$C$103,1))</x:f>
        <x:v>#NAME?</x:v>
      </x:c>
      <x:c r="G100" s="58" t="e">
        <x:f>INDEX(等级配置!$B$4:$B$103,F100)</x:f>
        <x:v>#NAME?</x:v>
      </x:c>
      <x:c r="H100" s="20" t="e">
        <x:f>IF(E100&lt;参数与口径!$E$6,"存量兼容Lv1","正常")&amp;IF(D100&lt;&gt;"","；当前已婚但存在离婚日期","")</x:f>
        <x:v>#NAME?</x:v>
      </x:c>
    </x:row>
    <x:row r="101" ht="17">
      <x:c r="A101" s="58">
        <x:v>99</x:v>
      </x:c>
      <x:c r="B101" s="58" t="s">
        <x:v>418</x:v>
      </x:c>
      <x:c r="C101" s="18" t="s">
        <x:v>421</x:v>
      </x:c>
      <x:c r="D101" s="18" t="s">
        <x:v>422</x:v>
      </x:c>
      <x:c r="E101" s="126">
        <x:v>37482</x:v>
      </x:c>
      <x:c r="F101" s="126" t="e">
        <x:f>IF(E101&lt;参数与口径!$E$6,1,MATCH(E101,等级配置!$C$4:$C$103,1))</x:f>
        <x:v>#NAME?</x:v>
      </x:c>
      <x:c r="G101" s="58" t="e">
        <x:f>INDEX(等级配置!$B$4:$B$103,F101)</x:f>
        <x:v>#NAME?</x:v>
      </x:c>
      <x:c r="H101" s="20" t="e">
        <x:f>IF(E101&lt;参数与口径!$E$6,"存量兼容Lv1","正常")&amp;IF(D101&lt;&gt;"","；当前已婚但存在离婚日期","")</x:f>
        <x:v>#NAME?</x:v>
      </x:c>
    </x:row>
    <x:row r="102" ht="17">
      <x:c r="A102" s="58">
        <x:v>100</x:v>
      </x:c>
      <x:c r="B102" s="58" t="s">
        <x:v>423</x:v>
      </x:c>
      <x:c r="C102" s="18" t="s">
        <x:v>426</x:v>
      </x:c>
      <x:c r="D102" s="18" t="s">
        <x:v>427</x:v>
      </x:c>
      <x:c r="E102" s="126">
        <x:v>37347</x:v>
      </x:c>
      <x:c r="F102" s="126" t="e">
        <x:f>IF(E102&lt;参数与口径!$E$6,1,MATCH(E102,等级配置!$C$4:$C$103,1))</x:f>
        <x:v>#NAME?</x:v>
      </x:c>
      <x:c r="G102" s="58" t="e">
        <x:f>INDEX(等级配置!$B$4:$B$103,F102)</x:f>
        <x:v>#NAME?</x:v>
      </x:c>
      <x:c r="H102" s="20" t="e">
        <x:f>IF(E102&lt;参数与口径!$E$6,"存量兼容Lv1","正常")&amp;IF(D102&lt;&gt;"","；当前已婚但存在离婚日期","")</x:f>
        <x:v>#NAME?</x:v>
      </x:c>
    </x:row>
    <x:row r="103" ht="17">
      <x:c r="A103" s="58">
        <x:v>101</x:v>
      </x:c>
      <x:c r="B103" s="58" t="s">
        <x:v>428</x:v>
      </x:c>
      <x:c r="C103" s="18" t="s">
        <x:v>431</x:v>
      </x:c>
      <x:c r="D103" s="18"/>
      <x:c r="E103" s="126">
        <x:v>37334</x:v>
      </x:c>
      <x:c r="F103" s="126" t="e">
        <x:f>IF(E103&lt;参数与口径!$E$6,1,MATCH(E103,等级配置!$C$4:$C$103,1))</x:f>
        <x:v>#NAME?</x:v>
      </x:c>
      <x:c r="G103" s="58" t="e">
        <x:f>INDEX(等级配置!$B$4:$B$103,F103)</x:f>
        <x:v>#NAME?</x:v>
      </x:c>
      <x:c r="H103" s="20" t="e">
        <x:f>IF(E103&lt;参数与口径!$E$6,"存量兼容Lv1","正常")&amp;IF(D103&lt;&gt;"","；当前已婚但存在离婚日期","")</x:f>
        <x:v>#NAME?</x:v>
      </x:c>
    </x:row>
    <x:row r="104" ht="17">
      <x:c r="A104" s="58">
        <x:v>102</x:v>
      </x:c>
      <x:c r="B104" s="58" t="s">
        <x:v>432</x:v>
      </x:c>
      <x:c r="C104" s="18" t="s">
        <x:v>435</x:v>
      </x:c>
      <x:c r="D104" s="18"/>
      <x:c r="E104" s="126">
        <x:v>36893</x:v>
      </x:c>
      <x:c r="F104" s="126" t="e">
        <x:f>IF(E104&lt;参数与口径!$E$6,1,MATCH(E104,等级配置!$C$4:$C$103,1))</x:f>
        <x:v>#NAME?</x:v>
      </x:c>
      <x:c r="G104" s="58" t="e">
        <x:f>INDEX(等级配置!$B$4:$B$103,F104)</x:f>
        <x:v>#NAME?</x:v>
      </x:c>
      <x:c r="H104" s="20" t="e">
        <x:f>IF(E104&lt;参数与口径!$E$6,"存量兼容Lv1","正常")&amp;IF(D104&lt;&gt;"","；当前已婚但存在离婚日期","")</x:f>
        <x:v>#NAME?</x:v>
      </x:c>
    </x:row>
    <x:row r="105" ht="17">
      <x:c r="A105" s="58">
        <x:v>103</x:v>
      </x:c>
      <x:c r="B105" s="58" t="s">
        <x:v>436</x:v>
      </x:c>
      <x:c r="C105" s="18" t="s">
        <x:v>439</x:v>
      </x:c>
      <x:c r="D105" s="18"/>
      <x:c r="E105" s="126">
        <x:v>35760</x:v>
      </x:c>
      <x:c r="F105" s="126" t="e">
        <x:f>IF(E105&lt;参数与口径!$E$6,1,MATCH(E105,等级配置!$C$4:$C$103,1))</x:f>
        <x:v>#NAME?</x:v>
      </x:c>
      <x:c r="G105" s="58" t="e">
        <x:f>INDEX(等级配置!$B$4:$B$103,F105)</x:f>
        <x:v>#NAME?</x:v>
      </x:c>
      <x:c r="H105" s="20" t="e">
        <x:f>IF(E105&lt;参数与口径!$E$6,"存量兼容Lv1","正常")&amp;IF(D105&lt;&gt;"","；当前已婚但存在离婚日期","")</x:f>
        <x:v>#NAME?</x:v>
      </x:c>
    </x:row>
    <x:row r="106" ht="17">
      <x:c r="A106" s="58">
        <x:v>104</x:v>
      </x:c>
      <x:c r="B106" s="58" t="s">
        <x:v>440</x:v>
      </x:c>
      <x:c r="C106" s="18" t="s">
        <x:v>443</x:v>
      </x:c>
      <x:c r="D106" s="18"/>
      <x:c r="E106" s="126">
        <x:v>35011</x:v>
      </x:c>
      <x:c r="F106" s="126" t="e">
        <x:f>IF(E106&lt;参数与口径!$E$6,1,MATCH(E106,等级配置!$C$4:$C$103,1))</x:f>
        <x:v>#NAME?</x:v>
      </x:c>
      <x:c r="G106" s="58" t="e">
        <x:f>INDEX(等级配置!$B$4:$B$103,F106)</x:f>
        <x:v>#NAME?</x:v>
      </x:c>
      <x:c r="H106" s="20" t="e">
        <x:f>IF(E106&lt;参数与口径!$E$6,"存量兼容Lv1","正常")&amp;IF(D106&lt;&gt;"","；当前已婚但存在离婚日期","")</x:f>
        <x:v>#NAME?</x:v>
      </x:c>
    </x:row>
    <x:row r="107" ht="17">
      <x:c r="A107" s="58">
        <x:v>105</x:v>
      </x:c>
      <x:c r="B107" s="58" t="s">
        <x:v>444</x:v>
      </x:c>
      <x:c r="C107" s="18" t="s">
        <x:v>447</x:v>
      </x:c>
      <x:c r="D107" s="18" t="s">
        <x:v>448</x:v>
      </x:c>
      <x:c r="E107" s="126">
        <x:v>34578</x:v>
      </x:c>
      <x:c r="F107" s="126" t="e">
        <x:f>IF(E107&lt;参数与口径!$E$6,1,MATCH(E107,等级配置!$C$4:$C$103,1))</x:f>
        <x:v>#NAME?</x:v>
      </x:c>
      <x:c r="G107" s="58" t="e">
        <x:f>INDEX(等级配置!$B$4:$B$103,F107)</x:f>
        <x:v>#NAME?</x:v>
      </x:c>
      <x:c r="H107" s="20" t="e">
        <x:f>IF(E107&lt;参数与口径!$E$6,"存量兼容Lv1","正常")&amp;IF(D107&lt;&gt;"","；当前已婚但存在离婚日期","")</x:f>
        <x:v>#NAME?</x:v>
      </x:c>
    </x:row>
    <x:row r="108" ht="17">
      <x:c r="A108" s="58">
        <x:v>106</x:v>
      </x:c>
      <x:c r="B108" s="58" t="s">
        <x:v>449</x:v>
      </x:c>
      <x:c r="C108" s="18" t="s">
        <x:v>452</x:v>
      </x:c>
      <x:c r="D108" s="18"/>
      <x:c r="E108" s="126">
        <x:v>34166</x:v>
      </x:c>
      <x:c r="F108" s="126" t="e">
        <x:f>IF(E108&lt;参数与口径!$E$6,1,MATCH(E108,等级配置!$C$4:$C$103,1))</x:f>
        <x:v>#NAME?</x:v>
      </x:c>
      <x:c r="G108" s="58" t="e">
        <x:f>INDEX(等级配置!$B$4:$B$103,F108)</x:f>
        <x:v>#NAME?</x:v>
      </x:c>
      <x:c r="H108" s="20" t="e">
        <x:f>IF(E108&lt;参数与口径!$E$6,"存量兼容Lv1","正常")&amp;IF(D108&lt;&gt;"","；当前已婚但存在离婚日期","")</x:f>
        <x:v>#NAME?</x:v>
      </x:c>
    </x:row>
    <x:row r="109" ht="17">
      <x:c r="A109" s="58">
        <x:v>107</x:v>
      </x:c>
      <x:c r="B109" s="58" t="s">
        <x:v>453</x:v>
      </x:c>
      <x:c r="C109" s="18" t="s">
        <x:v>456</x:v>
      </x:c>
      <x:c r="D109" s="18"/>
      <x:c r="E109" s="126">
        <x:v>33359</x:v>
      </x:c>
      <x:c r="F109" s="126" t="e">
        <x:f>IF(E109&lt;参数与口径!$E$6,1,MATCH(E109,等级配置!$C$4:$C$103,1))</x:f>
        <x:v>#NAME?</x:v>
      </x:c>
      <x:c r="G109" s="58" t="e">
        <x:f>INDEX(等级配置!$B$4:$B$103,F109)</x:f>
        <x:v>#NAME?</x:v>
      </x:c>
      <x:c r="H109" s="20" t="e">
        <x:f>IF(E109&lt;参数与口径!$E$6,"存量兼容Lv1","正常")&amp;IF(D109&lt;&gt;"","；当前已婚但存在离婚日期","")</x:f>
        <x:v>#NAME?</x:v>
      </x:c>
    </x:row>
    <x:row r="110" ht="17">
      <x:c r="A110" s="58">
        <x:v>108</x:v>
      </x:c>
      <x:c r="B110" s="58" t="s">
        <x:v>457</x:v>
      </x:c>
      <x:c r="C110" s="18" t="s">
        <x:v>460</x:v>
      </x:c>
      <x:c r="D110" s="18"/>
      <x:c r="E110" s="126">
        <x:v>32577</x:v>
      </x:c>
      <x:c r="F110" s="126" t="e">
        <x:f>IF(E110&lt;参数与口径!$E$6,1,MATCH(E110,等级配置!$C$4:$C$103,1))</x:f>
        <x:v>#NAME?</x:v>
      </x:c>
      <x:c r="G110" s="58" t="e">
        <x:f>INDEX(等级配置!$B$4:$B$103,F110)</x:f>
        <x:v>#NAME?</x:v>
      </x:c>
      <x:c r="H110" s="20" t="e">
        <x:f>IF(E110&lt;参数与口径!$E$6,"存量兼容Lv1","正常")&amp;IF(D110&lt;&gt;"","；当前已婚但存在离婚日期","")</x:f>
        <x:v>#NAME?</x:v>
      </x:c>
    </x:row>
    <x:row r="111" ht="17">
      <x:c r="A111" s="58">
        <x:v>109</x:v>
      </x:c>
      <x:c r="B111" s="58" t="s">
        <x:v>461</x:v>
      </x:c>
      <x:c r="C111" s="18" t="s">
        <x:v>464</x:v>
      </x:c>
      <x:c r="D111" s="18"/>
      <x:c r="E111" s="126">
        <x:v>32251</x:v>
      </x:c>
      <x:c r="F111" s="126" t="e">
        <x:f>IF(E111&lt;参数与口径!$E$6,1,MATCH(E111,等级配置!$C$4:$C$103,1))</x:f>
        <x:v>#NAME?</x:v>
      </x:c>
      <x:c r="G111" s="58" t="e">
        <x:f>INDEX(等级配置!$B$4:$B$103,F111)</x:f>
        <x:v>#NAME?</x:v>
      </x:c>
      <x:c r="H111" s="20" t="e">
        <x:f>IF(E111&lt;参数与口径!$E$6,"存量兼容Lv1","正常")&amp;IF(D111&lt;&gt;"","；当前已婚但存在离婚日期","")</x:f>
        <x:v>#NAME?</x:v>
      </x:c>
    </x:row>
    <x:row r="112" ht="17">
      <x:c r="A112" s="58">
        <x:v>110</x:v>
      </x:c>
      <x:c r="B112" s="58" t="s">
        <x:v>465</x:v>
      </x:c>
      <x:c r="C112" s="18" t="s">
        <x:v>468</x:v>
      </x:c>
      <x:c r="D112" s="18"/>
      <x:c r="E112" s="126">
        <x:v>32034</x:v>
      </x:c>
      <x:c r="F112" s="126" t="e">
        <x:f>IF(E112&lt;参数与口径!$E$6,1,MATCH(E112,等级配置!$C$4:$C$103,1))</x:f>
        <x:v>#NAME?</x:v>
      </x:c>
      <x:c r="G112" s="58" t="e">
        <x:f>INDEX(等级配置!$B$4:$B$103,F112)</x:f>
        <x:v>#NAME?</x:v>
      </x:c>
      <x:c r="H112" s="20" t="e">
        <x:f>IF(E112&lt;参数与口径!$E$6,"存量兼容Lv1","正常")&amp;IF(D112&lt;&gt;"","；当前已婚但存在离婚日期","")</x:f>
        <x:v>#NAME?</x:v>
      </x:c>
    </x:row>
    <x:row r="113" ht="17">
      <x:c r="A113" s="58">
        <x:v>111</x:v>
      </x:c>
      <x:c r="B113" s="58" t="s">
        <x:v>469</x:v>
      </x:c>
      <x:c r="C113" s="18" t="s">
        <x:v>472</x:v>
      </x:c>
      <x:c r="D113" s="18"/>
      <x:c r="E113" s="126">
        <x:v>31416</x:v>
      </x:c>
      <x:c r="F113" s="126" t="e">
        <x:f>IF(E113&lt;参数与口径!$E$6,1,MATCH(E113,等级配置!$C$4:$C$103,1))</x:f>
        <x:v>#NAME?</x:v>
      </x:c>
      <x:c r="G113" s="58" t="e">
        <x:f>INDEX(等级配置!$B$4:$B$103,F113)</x:f>
        <x:v>#NAME?</x:v>
      </x:c>
      <x:c r="H113" s="20" t="e">
        <x:f>IF(E113&lt;参数与口径!$E$6,"存量兼容Lv1","正常")&amp;IF(D113&lt;&gt;"","；当前已婚但存在离婚日期","")</x:f>
        <x:v>#NAME?</x:v>
      </x:c>
    </x:row>
    <x:row r="114" ht="17">
      <x:c r="A114" s="58">
        <x:v>112</x:v>
      </x:c>
      <x:c r="B114" s="58" t="s">
        <x:v>473</x:v>
      </x:c>
      <x:c r="C114" s="18" t="s">
        <x:v>476</x:v>
      </x:c>
      <x:c r="D114" s="18" t="s">
        <x:v>477</x:v>
      </x:c>
      <x:c r="E114" s="126">
        <x:v>31102</x:v>
      </x:c>
      <x:c r="F114" s="126" t="e">
        <x:f>IF(E114&lt;参数与口径!$E$6,1,MATCH(E114,等级配置!$C$4:$C$103,1))</x:f>
        <x:v>#NAME?</x:v>
      </x:c>
      <x:c r="G114" s="58" t="e">
        <x:f>INDEX(等级配置!$B$4:$B$103,F114)</x:f>
        <x:v>#NAME?</x:v>
      </x:c>
      <x:c r="H114" s="20" t="e">
        <x:f>IF(E114&lt;参数与口径!$E$6,"存量兼容Lv1","正常")&amp;IF(D114&lt;&gt;"","；当前已婚但存在离婚日期","")</x:f>
        <x:v>#NAME?</x:v>
      </x:c>
    </x:row>
    <x:row r="115" ht="17">
      <x:c r="A115" s="58">
        <x:v>113</x:v>
      </x:c>
      <x:c r="B115" s="58" t="s">
        <x:v>478</x:v>
      </x:c>
      <x:c r="C115" s="18" t="s">
        <x:v>481</x:v>
      </x:c>
      <x:c r="D115" s="18"/>
      <x:c r="E115" s="126">
        <x:v>30782</x:v>
      </x:c>
      <x:c r="F115" s="126" t="e">
        <x:f>IF(E115&lt;参数与口径!$E$6,1,MATCH(E115,等级配置!$C$4:$C$103,1))</x:f>
        <x:v>#NAME?</x:v>
      </x:c>
      <x:c r="G115" s="58" t="e">
        <x:f>INDEX(等级配置!$B$4:$B$103,F115)</x:f>
        <x:v>#NAME?</x:v>
      </x:c>
      <x:c r="H115" s="20" t="e">
        <x:f>IF(E115&lt;参数与口径!$E$6,"存量兼容Lv1","正常")&amp;IF(D115&lt;&gt;"","；当前已婚但存在离婚日期","")</x:f>
        <x:v>#NAME?</x:v>
      </x:c>
    </x:row>
    <x:row r="116" ht="17">
      <x:c r="A116" s="58">
        <x:v>114</x:v>
      </x:c>
      <x:c r="B116" s="58" t="s">
        <x:v>482</x:v>
      </x:c>
      <x:c r="C116" s="18" t="s">
        <x:v>485</x:v>
      </x:c>
      <x:c r="D116" s="18"/>
      <x:c r="E116" s="126">
        <x:v>30114</x:v>
      </x:c>
      <x:c r="F116" s="126" t="e">
        <x:f>IF(E116&lt;参数与口径!$E$6,1,MATCH(E116,等级配置!$C$4:$C$103,1))</x:f>
        <x:v>#NAME?</x:v>
      </x:c>
      <x:c r="G116" s="58" t="e">
        <x:f>INDEX(等级配置!$B$4:$B$103,F116)</x:f>
        <x:v>#NAME?</x:v>
      </x:c>
      <x:c r="H116" s="20" t="e">
        <x:f>IF(E116&lt;参数与口径!$E$6,"存量兼容Lv1","正常")&amp;IF(D116&lt;&gt;"","；当前已婚但存在离婚日期","")</x:f>
        <x:v>#NAME?</x:v>
      </x:c>
    </x:row>
    <x:row r="117" ht="17">
      <x:c r="A117" s="58">
        <x:v>115</x:v>
      </x:c>
      <x:c r="B117" s="58" t="s">
        <x:v>486</x:v>
      </x:c>
      <x:c r="C117" s="18" t="s">
        <x:v>489</x:v>
      </x:c>
      <x:c r="D117" s="18"/>
      <x:c r="E117" s="126">
        <x:v>28685</x:v>
      </x:c>
      <x:c r="F117" s="126" t="e">
        <x:f>IF(E117&lt;参数与口径!$E$6,1,MATCH(E117,等级配置!$C$4:$C$103,1))</x:f>
        <x:v>#NAME?</x:v>
      </x:c>
      <x:c r="G117" s="58" t="e">
        <x:f>INDEX(等级配置!$B$4:$B$103,F117)</x:f>
        <x:v>#NAME?</x:v>
      </x:c>
      <x:c r="H117" s="20" t="e">
        <x:f>IF(E117&lt;参数与口径!$E$6,"存量兼容Lv1","正常")&amp;IF(D117&lt;&gt;"","；当前已婚但存在离婚日期","")</x:f>
        <x:v>#NAME?</x:v>
      </x:c>
    </x:row>
    <x:row r="118" ht="17">
      <x:c r="A118" s="58">
        <x:v>116</x:v>
      </x:c>
      <x:c r="B118" s="58" t="s">
        <x:v>490</x:v>
      </x:c>
      <x:c r="C118" s="18" t="s">
        <x:v>493</x:v>
      </x:c>
      <x:c r="D118" s="18"/>
      <x:c r="E118" s="126">
        <x:v>28191</x:v>
      </x:c>
      <x:c r="F118" s="126" t="e">
        <x:f>IF(E118&lt;参数与口径!$E$6,1,MATCH(E118,等级配置!$C$4:$C$103,1))</x:f>
        <x:v>#NAME?</x:v>
      </x:c>
      <x:c r="G118" s="58" t="e">
        <x:f>INDEX(等级配置!$B$4:$B$103,F118)</x:f>
        <x:v>#NAME?</x:v>
      </x:c>
      <x:c r="H118" s="20" t="e">
        <x:f>IF(E118&lt;参数与口径!$E$6,"存量兼容Lv1","正常")&amp;IF(D118&lt;&gt;"","；当前已婚但存在离婚日期","")</x:f>
        <x:v>#NAME?</x:v>
      </x:c>
    </x:row>
    <x:row r="119" ht="17">
      <x:c r="A119" s="58">
        <x:v>117</x:v>
      </x:c>
      <x:c r="B119" s="58" t="s">
        <x:v>494</x:v>
      </x:c>
      <x:c r="C119" s="18" t="s">
        <x:v>497</x:v>
      </x:c>
      <x:c r="D119" s="18"/>
      <x:c r="E119" s="126">
        <x:v>27927</x:v>
      </x:c>
      <x:c r="F119" s="126" t="e">
        <x:f>IF(E119&lt;参数与口径!$E$6,1,MATCH(E119,等级配置!$C$4:$C$103,1))</x:f>
        <x:v>#NAME?</x:v>
      </x:c>
      <x:c r="G119" s="58" t="e">
        <x:f>INDEX(等级配置!$B$4:$B$103,F119)</x:f>
        <x:v>#NAME?</x:v>
      </x:c>
      <x:c r="H119" s="20" t="e">
        <x:f>IF(E119&lt;参数与口径!$E$6,"存量兼容Lv1","正常")&amp;IF(D119&lt;&gt;"","；当前已婚但存在离婚日期","")</x:f>
        <x:v>#NAME?</x:v>
      </x:c>
    </x:row>
    <x:row r="120" ht="17">
      <x:c r="A120" s="58">
        <x:v>118</x:v>
      </x:c>
      <x:c r="B120" s="58" t="s">
        <x:v>498</x:v>
      </x:c>
      <x:c r="C120" s="18" t="s">
        <x:v>501</x:v>
      </x:c>
      <x:c r="D120" s="18"/>
      <x:c r="E120" s="126">
        <x:v>27562</x:v>
      </x:c>
      <x:c r="F120" s="126" t="e">
        <x:f>IF(E120&lt;参数与口径!$E$6,1,MATCH(E120,等级配置!$C$4:$C$103,1))</x:f>
        <x:v>#NAME?</x:v>
      </x:c>
      <x:c r="G120" s="58" t="e">
        <x:f>INDEX(等级配置!$B$4:$B$103,F120)</x:f>
        <x:v>#NAME?</x:v>
      </x:c>
      <x:c r="H120" s="20" t="e">
        <x:f>IF(E120&lt;参数与口径!$E$6,"存量兼容Lv1","正常")&amp;IF(D120&lt;&gt;"","；当前已婚但存在离婚日期","")</x:f>
        <x:v>#NAME?</x:v>
      </x:c>
    </x:row>
    <x:row r="121" ht="17">
      <x:c r="A121" s="58">
        <x:v>119</x:v>
      </x:c>
      <x:c r="B121" s="58" t="s">
        <x:v>502</x:v>
      </x:c>
      <x:c r="C121" s="18" t="s">
        <x:v>505</x:v>
      </x:c>
      <x:c r="D121" s="18"/>
      <x:c r="E121" s="126">
        <x:v>27210</x:v>
      </x:c>
      <x:c r="F121" s="126" t="e">
        <x:f>IF(E121&lt;参数与口径!$E$6,1,MATCH(E121,等级配置!$C$4:$C$103,1))</x:f>
        <x:v>#NAME?</x:v>
      </x:c>
      <x:c r="G121" s="58" t="e">
        <x:f>INDEX(等级配置!$B$4:$B$103,F121)</x:f>
        <x:v>#NAME?</x:v>
      </x:c>
      <x:c r="H121" s="20" t="e">
        <x:f>IF(E121&lt;参数与口径!$E$6,"存量兼容Lv1","正常")&amp;IF(D121&lt;&gt;"","；当前已婚但存在离婚日期","")</x:f>
        <x:v>#NAME?</x:v>
      </x:c>
    </x:row>
    <x:row r="122" ht="17">
      <x:c r="A122" s="58">
        <x:v>120</x:v>
      </x:c>
      <x:c r="B122" s="58" t="s">
        <x:v>506</x:v>
      </x:c>
      <x:c r="C122" s="18" t="s">
        <x:v>509</x:v>
      </x:c>
      <x:c r="D122" s="18"/>
      <x:c r="E122" s="126">
        <x:v>26915</x:v>
      </x:c>
      <x:c r="F122" s="126" t="e">
        <x:f>IF(E122&lt;参数与口径!$E$6,1,MATCH(E122,等级配置!$C$4:$C$103,1))</x:f>
        <x:v>#NAME?</x:v>
      </x:c>
      <x:c r="G122" s="58" t="e">
        <x:f>INDEX(等级配置!$B$4:$B$103,F122)</x:f>
        <x:v>#NAME?</x:v>
      </x:c>
      <x:c r="H122" s="20" t="e">
        <x:f>IF(E122&lt;参数与口径!$E$6,"存量兼容Lv1","正常")&amp;IF(D122&lt;&gt;"","；当前已婚但存在离婚日期","")</x:f>
        <x:v>#NAME?</x:v>
      </x:c>
    </x:row>
    <x:row r="123" ht="17">
      <x:c r="A123" s="58">
        <x:v>121</x:v>
      </x:c>
      <x:c r="B123" s="58" t="s">
        <x:v>510</x:v>
      </x:c>
      <x:c r="C123" s="18" t="s">
        <x:v>513</x:v>
      </x:c>
      <x:c r="D123" s="18"/>
      <x:c r="E123" s="126">
        <x:v>25210</x:v>
      </x:c>
      <x:c r="F123" s="126" t="e">
        <x:f>IF(E123&lt;参数与口径!$E$6,1,MATCH(E123,等级配置!$C$4:$C$103,1))</x:f>
        <x:v>#NAME?</x:v>
      </x:c>
      <x:c r="G123" s="58" t="e">
        <x:f>INDEX(等级配置!$B$4:$B$103,F123)</x:f>
        <x:v>#NAME?</x:v>
      </x:c>
      <x:c r="H123" s="20" t="e">
        <x:f>IF(E123&lt;参数与口径!$E$6,"存量兼容Lv1","正常")&amp;IF(D123&lt;&gt;"","；当前已婚但存在离婚日期","")</x:f>
        <x:v>#NAME?</x:v>
      </x:c>
    </x:row>
    <x:row r="124" ht="17">
      <x:c r="A124" s="58">
        <x:v>122</x:v>
      </x:c>
      <x:c r="B124" s="58" t="s">
        <x:v>514</x:v>
      </x:c>
      <x:c r="C124" s="18" t="s">
        <x:v>517</x:v>
      </x:c>
      <x:c r="D124" s="18"/>
      <x:c r="E124" s="126">
        <x:v>25059</x:v>
      </x:c>
      <x:c r="F124" s="126" t="e">
        <x:f>IF(E124&lt;参数与口径!$E$6,1,MATCH(E124,等级配置!$C$4:$C$103,1))</x:f>
        <x:v>#NAME?</x:v>
      </x:c>
      <x:c r="G124" s="58" t="e">
        <x:f>INDEX(等级配置!$B$4:$B$103,F124)</x:f>
        <x:v>#NAME?</x:v>
      </x:c>
      <x:c r="H124" s="20" t="e">
        <x:f>IF(E124&lt;参数与口径!$E$6,"存量兼容Lv1","正常")&amp;IF(D124&lt;&gt;"","；当前已婚但存在离婚日期","")</x:f>
        <x:v>#NAME?</x:v>
      </x:c>
    </x:row>
    <x:row r="125" ht="17">
      <x:c r="A125" s="58">
        <x:v>123</x:v>
      </x:c>
      <x:c r="B125" s="58" t="s">
        <x:v>518</x:v>
      </x:c>
      <x:c r="C125" s="18" t="s">
        <x:v>521</x:v>
      </x:c>
      <x:c r="D125" s="18" t="s">
        <x:v>522</x:v>
      </x:c>
      <x:c r="E125" s="126">
        <x:v>24899</x:v>
      </x:c>
      <x:c r="F125" s="126" t="e">
        <x:f>IF(E125&lt;参数与口径!$E$6,1,MATCH(E125,等级配置!$C$4:$C$103,1))</x:f>
        <x:v>#NAME?</x:v>
      </x:c>
      <x:c r="G125" s="58" t="e">
        <x:f>INDEX(等级配置!$B$4:$B$103,F125)</x:f>
        <x:v>#NAME?</x:v>
      </x:c>
      <x:c r="H125" s="20" t="e">
        <x:f>IF(E125&lt;参数与口径!$E$6,"存量兼容Lv1","正常")&amp;IF(D125&lt;&gt;"","；当前已婚但存在离婚日期","")</x:f>
        <x:v>#NAME?</x:v>
      </x:c>
    </x:row>
    <x:row r="126" ht="17">
      <x:c r="A126" s="58">
        <x:v>124</x:v>
      </x:c>
      <x:c r="B126" s="58" t="s">
        <x:v>523</x:v>
      </x:c>
      <x:c r="C126" s="18" t="s">
        <x:v>526</x:v>
      </x:c>
      <x:c r="D126" s="18"/>
      <x:c r="E126" s="126">
        <x:v>24450</x:v>
      </x:c>
      <x:c r="F126" s="126" t="e">
        <x:f>IF(E126&lt;参数与口径!$E$6,1,MATCH(E126,等级配置!$C$4:$C$103,1))</x:f>
        <x:v>#NAME?</x:v>
      </x:c>
      <x:c r="G126" s="58" t="e">
        <x:f>INDEX(等级配置!$B$4:$B$103,F126)</x:f>
        <x:v>#NAME?</x:v>
      </x:c>
      <x:c r="H126" s="20" t="e">
        <x:f>IF(E126&lt;参数与口径!$E$6,"存量兼容Lv1","正常")&amp;IF(D126&lt;&gt;"","；当前已婚但存在离婚日期","")</x:f>
        <x:v>#NAME?</x:v>
      </x:c>
    </x:row>
    <x:row r="127" ht="17">
      <x:c r="A127" s="58">
        <x:v>125</x:v>
      </x:c>
      <x:c r="B127" s="58" t="s">
        <x:v>527</x:v>
      </x:c>
      <x:c r="C127" s="18" t="s">
        <x:v>530</x:v>
      </x:c>
      <x:c r="D127" s="18"/>
      <x:c r="E127" s="126">
        <x:v>24264</x:v>
      </x:c>
      <x:c r="F127" s="126" t="e">
        <x:f>IF(E127&lt;参数与口径!$E$6,1,MATCH(E127,等级配置!$C$4:$C$103,1))</x:f>
        <x:v>#NAME?</x:v>
      </x:c>
      <x:c r="G127" s="58" t="e">
        <x:f>INDEX(等级配置!$B$4:$B$103,F127)</x:f>
        <x:v>#NAME?</x:v>
      </x:c>
      <x:c r="H127" s="20" t="e">
        <x:f>IF(E127&lt;参数与口径!$E$6,"存量兼容Lv1","正常")&amp;IF(D127&lt;&gt;"","；当前已婚但存在离婚日期","")</x:f>
        <x:v>#NAME?</x:v>
      </x:c>
    </x:row>
    <x:row r="128" ht="17">
      <x:c r="A128" s="58">
        <x:v>126</x:v>
      </x:c>
      <x:c r="B128" s="58" t="s">
        <x:v>531</x:v>
      </x:c>
      <x:c r="C128" s="18" t="s">
        <x:v>534</x:v>
      </x:c>
      <x:c r="D128" s="18" t="s">
        <x:v>535</x:v>
      </x:c>
      <x:c r="E128" s="126">
        <x:v>23982</x:v>
      </x:c>
      <x:c r="F128" s="126" t="e">
        <x:f>IF(E128&lt;参数与口径!$E$6,1,MATCH(E128,等级配置!$C$4:$C$103,1))</x:f>
        <x:v>#NAME?</x:v>
      </x:c>
      <x:c r="G128" s="58" t="e">
        <x:f>INDEX(等级配置!$B$4:$B$103,F128)</x:f>
        <x:v>#NAME?</x:v>
      </x:c>
      <x:c r="H128" s="20" t="e">
        <x:f>IF(E128&lt;参数与口径!$E$6,"存量兼容Lv1","正常")&amp;IF(D128&lt;&gt;"","；当前已婚但存在离婚日期","")</x:f>
        <x:v>#NAME?</x:v>
      </x:c>
    </x:row>
    <x:row r="129" ht="17">
      <x:c r="A129" s="58">
        <x:v>127</x:v>
      </x:c>
      <x:c r="B129" s="58" t="s">
        <x:v>536</x:v>
      </x:c>
      <x:c r="C129" s="18" t="s">
        <x:v>539</x:v>
      </x:c>
      <x:c r="D129" s="18"/>
      <x:c r="E129" s="126">
        <x:v>22391</x:v>
      </x:c>
      <x:c r="F129" s="126" t="e">
        <x:f>IF(E129&lt;参数与口径!$E$6,1,MATCH(E129,等级配置!$C$4:$C$103,1))</x:f>
        <x:v>#NAME?</x:v>
      </x:c>
      <x:c r="G129" s="58" t="e">
        <x:f>INDEX(等级配置!$B$4:$B$103,F129)</x:f>
        <x:v>#NAME?</x:v>
      </x:c>
      <x:c r="H129" s="20" t="e">
        <x:f>IF(E129&lt;参数与口径!$E$6,"存量兼容Lv1","正常")&amp;IF(D129&lt;&gt;"","；当前已婚但存在离婚日期","")</x:f>
        <x:v>#NAME?</x:v>
      </x:c>
    </x:row>
    <x:row r="130" ht="17">
      <x:c r="A130" s="58">
        <x:v>128</x:v>
      </x:c>
      <x:c r="B130" s="58" t="s">
        <x:v>540</x:v>
      </x:c>
      <x:c r="C130" s="18" t="s">
        <x:v>543</x:v>
      </x:c>
      <x:c r="D130" s="18"/>
      <x:c r="E130" s="126">
        <x:v>22075</x:v>
      </x:c>
      <x:c r="F130" s="126" t="e">
        <x:f>IF(E130&lt;参数与口径!$E$6,1,MATCH(E130,等级配置!$C$4:$C$103,1))</x:f>
        <x:v>#NAME?</x:v>
      </x:c>
      <x:c r="G130" s="58" t="e">
        <x:f>INDEX(等级配置!$B$4:$B$103,F130)</x:f>
        <x:v>#NAME?</x:v>
      </x:c>
      <x:c r="H130" s="20" t="e">
        <x:f>IF(E130&lt;参数与口径!$E$6,"存量兼容Lv1","正常")&amp;IF(D130&lt;&gt;"","；当前已婚但存在离婚日期","")</x:f>
        <x:v>#NAME?</x:v>
      </x:c>
    </x:row>
    <x:row r="131" ht="17">
      <x:c r="A131" s="58">
        <x:v>129</x:v>
      </x:c>
      <x:c r="B131" s="58" t="s">
        <x:v>544</x:v>
      </x:c>
      <x:c r="C131" s="18" t="s">
        <x:v>547</x:v>
      </x:c>
      <x:c r="D131" s="18"/>
      <x:c r="E131" s="126">
        <x:v>22030</x:v>
      </x:c>
      <x:c r="F131" s="126" t="e">
        <x:f>IF(E131&lt;参数与口径!$E$6,1,MATCH(E131,等级配置!$C$4:$C$103,1))</x:f>
        <x:v>#NAME?</x:v>
      </x:c>
      <x:c r="G131" s="58" t="e">
        <x:f>INDEX(等级配置!$B$4:$B$103,F131)</x:f>
        <x:v>#NAME?</x:v>
      </x:c>
      <x:c r="H131" s="20" t="e">
        <x:f>IF(E131&lt;参数与口径!$E$6,"存量兼容Lv1","正常")&amp;IF(D131&lt;&gt;"","；当前已婚但存在离婚日期","")</x:f>
        <x:v>#NAME?</x:v>
      </x:c>
    </x:row>
    <x:row r="132" ht="17">
      <x:c r="A132" s="58">
        <x:v>130</x:v>
      </x:c>
      <x:c r="B132" s="58" t="s">
        <x:v>548</x:v>
      </x:c>
      <x:c r="C132" s="18" t="s">
        <x:v>551</x:v>
      </x:c>
      <x:c r="D132" s="18"/>
      <x:c r="E132" s="126">
        <x:v>21610</x:v>
      </x:c>
      <x:c r="F132" s="126" t="e">
        <x:f>IF(E132&lt;参数与口径!$E$6,1,MATCH(E132,等级配置!$C$4:$C$103,1))</x:f>
        <x:v>#NAME?</x:v>
      </x:c>
      <x:c r="G132" s="58" t="e">
        <x:f>INDEX(等级配置!$B$4:$B$103,F132)</x:f>
        <x:v>#NAME?</x:v>
      </x:c>
      <x:c r="H132" s="20" t="e">
        <x:f>IF(E132&lt;参数与口径!$E$6,"存量兼容Lv1","正常")&amp;IF(D132&lt;&gt;"","；当前已婚但存在离婚日期","")</x:f>
        <x:v>#NAME?</x:v>
      </x:c>
    </x:row>
    <x:row r="133" ht="17">
      <x:c r="A133" s="58">
        <x:v>131</x:v>
      </x:c>
      <x:c r="B133" s="58" t="s">
        <x:v>552</x:v>
      </x:c>
      <x:c r="C133" s="18" t="s">
        <x:v>555</x:v>
      </x:c>
      <x:c r="D133" s="18"/>
      <x:c r="E133" s="126">
        <x:v>21414</x:v>
      </x:c>
      <x:c r="F133" s="126" t="e">
        <x:f>IF(E133&lt;参数与口径!$E$6,1,MATCH(E133,等级配置!$C$4:$C$103,1))</x:f>
        <x:v>#NAME?</x:v>
      </x:c>
      <x:c r="G133" s="58" t="e">
        <x:f>INDEX(等级配置!$B$4:$B$103,F133)</x:f>
        <x:v>#NAME?</x:v>
      </x:c>
      <x:c r="H133" s="20" t="e">
        <x:f>IF(E133&lt;参数与口径!$E$6,"存量兼容Lv1","正常")&amp;IF(D133&lt;&gt;"","；当前已婚但存在离婚日期","")</x:f>
        <x:v>#NAME?</x:v>
      </x:c>
    </x:row>
    <x:row r="134" ht="17">
      <x:c r="A134" s="58">
        <x:v>132</x:v>
      </x:c>
      <x:c r="B134" s="58" t="s">
        <x:v>556</x:v>
      </x:c>
      <x:c r="C134" s="18" t="s">
        <x:v>559</x:v>
      </x:c>
      <x:c r="D134" s="18"/>
      <x:c r="E134" s="126">
        <x:v>20316</x:v>
      </x:c>
      <x:c r="F134" s="126" t="e">
        <x:f>IF(E134&lt;参数与口径!$E$6,1,MATCH(E134,等级配置!$C$4:$C$103,1))</x:f>
        <x:v>#NAME?</x:v>
      </x:c>
      <x:c r="G134" s="58" t="e">
        <x:f>INDEX(等级配置!$B$4:$B$103,F134)</x:f>
        <x:v>#NAME?</x:v>
      </x:c>
      <x:c r="H134" s="20" t="e">
        <x:f>IF(E134&lt;参数与口径!$E$6,"存量兼容Lv1","正常")&amp;IF(D134&lt;&gt;"","；当前已婚但存在离婚日期","")</x:f>
        <x:v>#NAME?</x:v>
      </x:c>
    </x:row>
    <x:row r="135" ht="17">
      <x:c r="A135" s="58">
        <x:v>133</x:v>
      </x:c>
      <x:c r="B135" s="58" t="s">
        <x:v>560</x:v>
      </x:c>
      <x:c r="C135" s="18" t="s">
        <x:v>563</x:v>
      </x:c>
      <x:c r="D135" s="18"/>
      <x:c r="E135" s="126">
        <x:v>20287</x:v>
      </x:c>
      <x:c r="F135" s="126" t="e">
        <x:f>IF(E135&lt;参数与口径!$E$6,1,MATCH(E135,等级配置!$C$4:$C$103,1))</x:f>
        <x:v>#NAME?</x:v>
      </x:c>
      <x:c r="G135" s="58" t="e">
        <x:f>INDEX(等级配置!$B$4:$B$103,F135)</x:f>
        <x:v>#NAME?</x:v>
      </x:c>
      <x:c r="H135" s="20" t="e">
        <x:f>IF(E135&lt;参数与口径!$E$6,"存量兼容Lv1","正常")&amp;IF(D135&lt;&gt;"","；当前已婚但存在离婚日期","")</x:f>
        <x:v>#NAME?</x:v>
      </x:c>
    </x:row>
    <x:row r="136" ht="17">
      <x:c r="A136" s="58">
        <x:v>134</x:v>
      </x:c>
      <x:c r="B136" s="58" t="s">
        <x:v>564</x:v>
      </x:c>
      <x:c r="C136" s="18" t="s">
        <x:v>567</x:v>
      </x:c>
      <x:c r="D136" s="18"/>
      <x:c r="E136" s="126">
        <x:v>20219</x:v>
      </x:c>
      <x:c r="F136" s="126" t="e">
        <x:f>IF(E136&lt;参数与口径!$E$6,1,MATCH(E136,等级配置!$C$4:$C$103,1))</x:f>
        <x:v>#NAME?</x:v>
      </x:c>
      <x:c r="G136" s="58" t="e">
        <x:f>INDEX(等级配置!$B$4:$B$103,F136)</x:f>
        <x:v>#NAME?</x:v>
      </x:c>
      <x:c r="H136" s="20" t="e">
        <x:f>IF(E136&lt;参数与口径!$E$6,"存量兼容Lv1","正常")&amp;IF(D136&lt;&gt;"","；当前已婚但存在离婚日期","")</x:f>
        <x:v>#NAME?</x:v>
      </x:c>
    </x:row>
    <x:row r="137" ht="17">
      <x:c r="A137" s="58">
        <x:v>135</x:v>
      </x:c>
      <x:c r="B137" s="58" t="s">
        <x:v>568</x:v>
      </x:c>
      <x:c r="C137" s="18" t="s">
        <x:v>571</x:v>
      </x:c>
      <x:c r="D137" s="18"/>
      <x:c r="E137" s="126">
        <x:v>18311</x:v>
      </x:c>
      <x:c r="F137" s="126" t="e">
        <x:f>IF(E137&lt;参数与口径!$E$6,1,MATCH(E137,等级配置!$C$4:$C$103,1))</x:f>
        <x:v>#NAME?</x:v>
      </x:c>
      <x:c r="G137" s="58" t="e">
        <x:f>INDEX(等级配置!$B$4:$B$103,F137)</x:f>
        <x:v>#NAME?</x:v>
      </x:c>
      <x:c r="H137" s="20" t="e">
        <x:f>IF(E137&lt;参数与口径!$E$6,"存量兼容Lv1","正常")&amp;IF(D137&lt;&gt;"","；当前已婚但存在离婚日期","")</x:f>
        <x:v>#NAME?</x:v>
      </x:c>
    </x:row>
    <x:row r="138" ht="17">
      <x:c r="A138" s="58">
        <x:v>136</x:v>
      </x:c>
      <x:c r="B138" s="58" t="s">
        <x:v>572</x:v>
      </x:c>
      <x:c r="C138" s="18" t="s">
        <x:v>575</x:v>
      </x:c>
      <x:c r="D138" s="18"/>
      <x:c r="E138" s="126">
        <x:v>18239</x:v>
      </x:c>
      <x:c r="F138" s="126" t="e">
        <x:f>IF(E138&lt;参数与口径!$E$6,1,MATCH(E138,等级配置!$C$4:$C$103,1))</x:f>
        <x:v>#NAME?</x:v>
      </x:c>
      <x:c r="G138" s="58" t="e">
        <x:f>INDEX(等级配置!$B$4:$B$103,F138)</x:f>
        <x:v>#NAME?</x:v>
      </x:c>
      <x:c r="H138" s="20" t="e">
        <x:f>IF(E138&lt;参数与口径!$E$6,"存量兼容Lv1","正常")&amp;IF(D138&lt;&gt;"","；当前已婚但存在离婚日期","")</x:f>
        <x:v>#NAME?</x:v>
      </x:c>
    </x:row>
    <x:row r="139" ht="17">
      <x:c r="A139" s="58">
        <x:v>137</x:v>
      </x:c>
      <x:c r="B139" s="58" t="s">
        <x:v>576</x:v>
      </x:c>
      <x:c r="C139" s="18" t="s">
        <x:v>579</x:v>
      </x:c>
      <x:c r="D139" s="18"/>
      <x:c r="E139" s="126">
        <x:v>17457</x:v>
      </x:c>
      <x:c r="F139" s="126" t="e">
        <x:f>IF(E139&lt;参数与口径!$E$6,1,MATCH(E139,等级配置!$C$4:$C$103,1))</x:f>
        <x:v>#NAME?</x:v>
      </x:c>
      <x:c r="G139" s="58" t="e">
        <x:f>INDEX(等级配置!$B$4:$B$103,F139)</x:f>
        <x:v>#NAME?</x:v>
      </x:c>
      <x:c r="H139" s="20" t="e">
        <x:f>IF(E139&lt;参数与口径!$E$6,"存量兼容Lv1","正常")&amp;IF(D139&lt;&gt;"","；当前已婚但存在离婚日期","")</x:f>
        <x:v>#NAME?</x:v>
      </x:c>
    </x:row>
    <x:row r="140" ht="17">
      <x:c r="A140" s="58">
        <x:v>138</x:v>
      </x:c>
      <x:c r="B140" s="58" t="s">
        <x:v>580</x:v>
      </x:c>
      <x:c r="C140" s="18" t="s">
        <x:v>583</x:v>
      </x:c>
      <x:c r="D140" s="18"/>
      <x:c r="E140" s="126">
        <x:v>17420</x:v>
      </x:c>
      <x:c r="F140" s="126" t="e">
        <x:f>IF(E140&lt;参数与口径!$E$6,1,MATCH(E140,等级配置!$C$4:$C$103,1))</x:f>
        <x:v>#NAME?</x:v>
      </x:c>
      <x:c r="G140" s="58" t="e">
        <x:f>INDEX(等级配置!$B$4:$B$103,F140)</x:f>
        <x:v>#NAME?</x:v>
      </x:c>
      <x:c r="H140" s="20" t="e">
        <x:f>IF(E140&lt;参数与口径!$E$6,"存量兼容Lv1","正常")&amp;IF(D140&lt;&gt;"","；当前已婚但存在离婚日期","")</x:f>
        <x:v>#NAME?</x:v>
      </x:c>
    </x:row>
    <x:row r="141" ht="17">
      <x:c r="A141" s="58">
        <x:v>139</x:v>
      </x:c>
      <x:c r="B141" s="58" t="s">
        <x:v>584</x:v>
      </x:c>
      <x:c r="C141" s="18" t="s">
        <x:v>587</x:v>
      </x:c>
      <x:c r="D141" s="18" t="s">
        <x:v>588</x:v>
      </x:c>
      <x:c r="E141" s="126">
        <x:v>17298</x:v>
      </x:c>
      <x:c r="F141" s="126" t="e">
        <x:f>IF(E141&lt;参数与口径!$E$6,1,MATCH(E141,等级配置!$C$4:$C$103,1))</x:f>
        <x:v>#NAME?</x:v>
      </x:c>
      <x:c r="G141" s="58" t="e">
        <x:f>INDEX(等级配置!$B$4:$B$103,F141)</x:f>
        <x:v>#NAME?</x:v>
      </x:c>
      <x:c r="H141" s="20" t="e">
        <x:f>IF(E141&lt;参数与口径!$E$6,"存量兼容Lv1","正常")&amp;IF(D141&lt;&gt;"","；当前已婚但存在离婚日期","")</x:f>
        <x:v>#NAME?</x:v>
      </x:c>
    </x:row>
    <x:row r="142" ht="17">
      <x:c r="A142" s="58">
        <x:v>140</x:v>
      </x:c>
      <x:c r="B142" s="58" t="s">
        <x:v>589</x:v>
      </x:c>
      <x:c r="C142" s="18" t="s">
        <x:v>592</x:v>
      </x:c>
      <x:c r="D142" s="18"/>
      <x:c r="E142" s="126">
        <x:v>17192</x:v>
      </x:c>
      <x:c r="F142" s="126" t="e">
        <x:f>IF(E142&lt;参数与口径!$E$6,1,MATCH(E142,等级配置!$C$4:$C$103,1))</x:f>
        <x:v>#NAME?</x:v>
      </x:c>
      <x:c r="G142" s="58" t="e">
        <x:f>INDEX(等级配置!$B$4:$B$103,F142)</x:f>
        <x:v>#NAME?</x:v>
      </x:c>
      <x:c r="H142" s="20" t="e">
        <x:f>IF(E142&lt;参数与口径!$E$6,"存量兼容Lv1","正常")&amp;IF(D142&lt;&gt;"","；当前已婚但存在离婚日期","")</x:f>
        <x:v>#NAME?</x:v>
      </x:c>
    </x:row>
    <x:row r="143" ht="17">
      <x:c r="A143" s="58">
        <x:v>141</x:v>
      </x:c>
      <x:c r="B143" s="58" t="s">
        <x:v>593</x:v>
      </x:c>
      <x:c r="C143" s="18" t="s">
        <x:v>596</x:v>
      </x:c>
      <x:c r="D143" s="18"/>
      <x:c r="E143" s="126">
        <x:v>16981</x:v>
      </x:c>
      <x:c r="F143" s="126" t="e">
        <x:f>IF(E143&lt;参数与口径!$E$6,1,MATCH(E143,等级配置!$C$4:$C$103,1))</x:f>
        <x:v>#NAME?</x:v>
      </x:c>
      <x:c r="G143" s="58" t="e">
        <x:f>INDEX(等级配置!$B$4:$B$103,F143)</x:f>
        <x:v>#NAME?</x:v>
      </x:c>
      <x:c r="H143" s="20" t="e">
        <x:f>IF(E143&lt;参数与口径!$E$6,"存量兼容Lv1","正常")&amp;IF(D143&lt;&gt;"","；当前已婚但存在离婚日期","")</x:f>
        <x:v>#NAME?</x:v>
      </x:c>
    </x:row>
    <x:row r="144" ht="17">
      <x:c r="A144" s="58">
        <x:v>142</x:v>
      </x:c>
      <x:c r="B144" s="58" t="s">
        <x:v>597</x:v>
      </x:c>
      <x:c r="C144" s="18" t="s">
        <x:v>600</x:v>
      </x:c>
      <x:c r="D144" s="18"/>
      <x:c r="E144" s="126">
        <x:v>16867</x:v>
      </x:c>
      <x:c r="F144" s="126" t="e">
        <x:f>IF(E144&lt;参数与口径!$E$6,1,MATCH(E144,等级配置!$C$4:$C$103,1))</x:f>
        <x:v>#NAME?</x:v>
      </x:c>
      <x:c r="G144" s="58" t="e">
        <x:f>INDEX(等级配置!$B$4:$B$103,F144)</x:f>
        <x:v>#NAME?</x:v>
      </x:c>
      <x:c r="H144" s="20" t="e">
        <x:f>IF(E144&lt;参数与口径!$E$6,"存量兼容Lv1","正常")&amp;IF(D144&lt;&gt;"","；当前已婚但存在离婚日期","")</x:f>
        <x:v>#NAME?</x:v>
      </x:c>
    </x:row>
    <x:row r="145" ht="17">
      <x:c r="A145" s="58">
        <x:v>143</x:v>
      </x:c>
      <x:c r="B145" s="58" t="s">
        <x:v>601</x:v>
      </x:c>
      <x:c r="C145" s="18" t="s">
        <x:v>604</x:v>
      </x:c>
      <x:c r="D145" s="18"/>
      <x:c r="E145" s="126">
        <x:v>16546</x:v>
      </x:c>
      <x:c r="F145" s="126" t="e">
        <x:f>IF(E145&lt;参数与口径!$E$6,1,MATCH(E145,等级配置!$C$4:$C$103,1))</x:f>
        <x:v>#NAME?</x:v>
      </x:c>
      <x:c r="G145" s="58" t="e">
        <x:f>INDEX(等级配置!$B$4:$B$103,F145)</x:f>
        <x:v>#NAME?</x:v>
      </x:c>
      <x:c r="H145" s="20" t="e">
        <x:f>IF(E145&lt;参数与口径!$E$6,"存量兼容Lv1","正常")&amp;IF(D145&lt;&gt;"","；当前已婚但存在离婚日期","")</x:f>
        <x:v>#NAME?</x:v>
      </x:c>
    </x:row>
    <x:row r="146" ht="17">
      <x:c r="A146" s="58">
        <x:v>144</x:v>
      </x:c>
      <x:c r="B146" s="58" t="s">
        <x:v>605</x:v>
      </x:c>
      <x:c r="C146" s="18" t="s">
        <x:v>608</x:v>
      </x:c>
      <x:c r="D146" s="18"/>
      <x:c r="E146" s="126">
        <x:v>16365</x:v>
      </x:c>
      <x:c r="F146" s="126" t="e">
        <x:f>IF(E146&lt;参数与口径!$E$6,1,MATCH(E146,等级配置!$C$4:$C$103,1))</x:f>
        <x:v>#NAME?</x:v>
      </x:c>
      <x:c r="G146" s="58" t="e">
        <x:f>INDEX(等级配置!$B$4:$B$103,F146)</x:f>
        <x:v>#NAME?</x:v>
      </x:c>
      <x:c r="H146" s="20" t="e">
        <x:f>IF(E146&lt;参数与口径!$E$6,"存量兼容Lv1","正常")&amp;IF(D146&lt;&gt;"","；当前已婚但存在离婚日期","")</x:f>
        <x:v>#NAME?</x:v>
      </x:c>
    </x:row>
    <x:row r="147" ht="17">
      <x:c r="A147" s="58">
        <x:v>145</x:v>
      </x:c>
      <x:c r="B147" s="58" t="s">
        <x:v>609</x:v>
      </x:c>
      <x:c r="C147" s="18" t="s">
        <x:v>612</x:v>
      </x:c>
      <x:c r="D147" s="18"/>
      <x:c r="E147" s="126">
        <x:v>15592</x:v>
      </x:c>
      <x:c r="F147" s="126" t="e">
        <x:f>IF(E147&lt;参数与口径!$E$6,1,MATCH(E147,等级配置!$C$4:$C$103,1))</x:f>
        <x:v>#NAME?</x:v>
      </x:c>
      <x:c r="G147" s="58" t="e">
        <x:f>INDEX(等级配置!$B$4:$B$103,F147)</x:f>
        <x:v>#NAME?</x:v>
      </x:c>
      <x:c r="H147" s="20" t="e">
        <x:f>IF(E147&lt;参数与口径!$E$6,"存量兼容Lv1","正常")&amp;IF(D147&lt;&gt;"","；当前已婚但存在离婚日期","")</x:f>
        <x:v>#NAME?</x:v>
      </x:c>
    </x:row>
    <x:row r="148" ht="17">
      <x:c r="A148" s="58">
        <x:v>146</x:v>
      </x:c>
      <x:c r="B148" s="58" t="s">
        <x:v>613</x:v>
      </x:c>
      <x:c r="C148" s="18" t="s">
        <x:v>616</x:v>
      </x:c>
      <x:c r="D148" s="18"/>
      <x:c r="E148" s="126">
        <x:v>15402</x:v>
      </x:c>
      <x:c r="F148" s="126" t="e">
        <x:f>IF(E148&lt;参数与口径!$E$6,1,MATCH(E148,等级配置!$C$4:$C$103,1))</x:f>
        <x:v>#NAME?</x:v>
      </x:c>
      <x:c r="G148" s="58" t="e">
        <x:f>INDEX(等级配置!$B$4:$B$103,F148)</x:f>
        <x:v>#NAME?</x:v>
      </x:c>
      <x:c r="H148" s="20" t="e">
        <x:f>IF(E148&lt;参数与口径!$E$6,"存量兼容Lv1","正常")&amp;IF(D148&lt;&gt;"","；当前已婚但存在离婚日期","")</x:f>
        <x:v>#NAME?</x:v>
      </x:c>
    </x:row>
    <x:row r="149" ht="17">
      <x:c r="A149" s="58">
        <x:v>147</x:v>
      </x:c>
      <x:c r="B149" s="58" t="s">
        <x:v>617</x:v>
      </x:c>
      <x:c r="C149" s="18" t="s">
        <x:v>620</x:v>
      </x:c>
      <x:c r="D149" s="18"/>
      <x:c r="E149" s="126">
        <x:v>15334</x:v>
      </x:c>
      <x:c r="F149" s="126" t="e">
        <x:f>IF(E149&lt;参数与口径!$E$6,1,MATCH(E149,等级配置!$C$4:$C$103,1))</x:f>
        <x:v>#NAME?</x:v>
      </x:c>
      <x:c r="G149" s="58" t="e">
        <x:f>INDEX(等级配置!$B$4:$B$103,F149)</x:f>
        <x:v>#NAME?</x:v>
      </x:c>
      <x:c r="H149" s="20" t="e">
        <x:f>IF(E149&lt;参数与口径!$E$6,"存量兼容Lv1","正常")&amp;IF(D149&lt;&gt;"","；当前已婚但存在离婚日期","")</x:f>
        <x:v>#NAME?</x:v>
      </x:c>
    </x:row>
    <x:row r="150" ht="17">
      <x:c r="A150" s="58">
        <x:v>148</x:v>
      </x:c>
      <x:c r="B150" s="58" t="s">
        <x:v>621</x:v>
      </x:c>
      <x:c r="C150" s="18" t="s">
        <x:v>624</x:v>
      </x:c>
      <x:c r="D150" s="18"/>
      <x:c r="E150" s="126">
        <x:v>15213</x:v>
      </x:c>
      <x:c r="F150" s="126" t="e">
        <x:f>IF(E150&lt;参数与口径!$E$6,1,MATCH(E150,等级配置!$C$4:$C$103,1))</x:f>
        <x:v>#NAME?</x:v>
      </x:c>
      <x:c r="G150" s="58" t="e">
        <x:f>INDEX(等级配置!$B$4:$B$103,F150)</x:f>
        <x:v>#NAME?</x:v>
      </x:c>
      <x:c r="H150" s="20" t="e">
        <x:f>IF(E150&lt;参数与口径!$E$6,"存量兼容Lv1","正常")&amp;IF(D150&lt;&gt;"","；当前已婚但存在离婚日期","")</x:f>
        <x:v>#NAME?</x:v>
      </x:c>
    </x:row>
    <x:row r="151" ht="17">
      <x:c r="A151" s="58">
        <x:v>149</x:v>
      </x:c>
      <x:c r="B151" s="58" t="s">
        <x:v>625</x:v>
      </x:c>
      <x:c r="C151" s="18" t="s">
        <x:v>628</x:v>
      </x:c>
      <x:c r="D151" s="18"/>
      <x:c r="E151" s="126">
        <x:v>15182</x:v>
      </x:c>
      <x:c r="F151" s="126" t="e">
        <x:f>IF(E151&lt;参数与口径!$E$6,1,MATCH(E151,等级配置!$C$4:$C$103,1))</x:f>
        <x:v>#NAME?</x:v>
      </x:c>
      <x:c r="G151" s="58" t="e">
        <x:f>INDEX(等级配置!$B$4:$B$103,F151)</x:f>
        <x:v>#NAME?</x:v>
      </x:c>
      <x:c r="H151" s="20" t="e">
        <x:f>IF(E151&lt;参数与口径!$E$6,"存量兼容Lv1","正常")&amp;IF(D151&lt;&gt;"","；当前已婚但存在离婚日期","")</x:f>
        <x:v>#NAME?</x:v>
      </x:c>
    </x:row>
    <x:row r="152" ht="17">
      <x:c r="A152" s="58">
        <x:v>150</x:v>
      </x:c>
      <x:c r="B152" s="58" t="s">
        <x:v>629</x:v>
      </x:c>
      <x:c r="C152" s="18" t="s">
        <x:v>632</x:v>
      </x:c>
      <x:c r="D152" s="18"/>
      <x:c r="E152" s="126">
        <x:v>15033</x:v>
      </x:c>
      <x:c r="F152" s="126" t="e">
        <x:f>IF(E152&lt;参数与口径!$E$6,1,MATCH(E152,等级配置!$C$4:$C$103,1))</x:f>
        <x:v>#NAME?</x:v>
      </x:c>
      <x:c r="G152" s="58" t="e">
        <x:f>INDEX(等级配置!$B$4:$B$103,F152)</x:f>
        <x:v>#NAME?</x:v>
      </x:c>
      <x:c r="H152" s="20" t="e">
        <x:f>IF(E152&lt;参数与口径!$E$6,"存量兼容Lv1","正常")&amp;IF(D152&lt;&gt;"","；当前已婚但存在离婚日期","")</x:f>
        <x:v>#NAME?</x:v>
      </x:c>
    </x:row>
    <x:row r="153" ht="17">
      <x:c r="A153" s="58">
        <x:v>151</x:v>
      </x:c>
      <x:c r="B153" s="58" t="s">
        <x:v>633</x:v>
      </x:c>
      <x:c r="C153" s="18" t="s">
        <x:v>636</x:v>
      </x:c>
      <x:c r="D153" s="18"/>
      <x:c r="E153" s="126">
        <x:v>14115</x:v>
      </x:c>
      <x:c r="F153" s="126" t="e">
        <x:f>IF(E153&lt;参数与口径!$E$6,1,MATCH(E153,等级配置!$C$4:$C$103,1))</x:f>
        <x:v>#NAME?</x:v>
      </x:c>
      <x:c r="G153" s="58" t="e">
        <x:f>INDEX(等级配置!$B$4:$B$103,F153)</x:f>
        <x:v>#NAME?</x:v>
      </x:c>
      <x:c r="H153" s="20" t="e">
        <x:f>IF(E153&lt;参数与口径!$E$6,"存量兼容Lv1","正常")&amp;IF(D153&lt;&gt;"","；当前已婚但存在离婚日期","")</x:f>
        <x:v>#NAME?</x:v>
      </x:c>
    </x:row>
    <x:row r="154" ht="17">
      <x:c r="A154" s="58">
        <x:v>152</x:v>
      </x:c>
      <x:c r="B154" s="58" t="s">
        <x:v>637</x:v>
      </x:c>
      <x:c r="C154" s="18" t="s">
        <x:v>640</x:v>
      </x:c>
      <x:c r="D154" s="18"/>
      <x:c r="E154" s="126">
        <x:v>13587</x:v>
      </x:c>
      <x:c r="F154" s="126" t="e">
        <x:f>IF(E154&lt;参数与口径!$E$6,1,MATCH(E154,等级配置!$C$4:$C$103,1))</x:f>
        <x:v>#NAME?</x:v>
      </x:c>
      <x:c r="G154" s="58" t="e">
        <x:f>INDEX(等级配置!$B$4:$B$103,F154)</x:f>
        <x:v>#NAME?</x:v>
      </x:c>
      <x:c r="H154" s="20" t="e">
        <x:f>IF(E154&lt;参数与口径!$E$6,"存量兼容Lv1","正常")&amp;IF(D154&lt;&gt;"","；当前已婚但存在离婚日期","")</x:f>
        <x:v>#NAME?</x:v>
      </x:c>
    </x:row>
    <x:row r="155" ht="17">
      <x:c r="A155" s="58">
        <x:v>153</x:v>
      </x:c>
      <x:c r="B155" s="58" t="s">
        <x:v>641</x:v>
      </x:c>
      <x:c r="C155" s="18" t="s">
        <x:v>644</x:v>
      </x:c>
      <x:c r="D155" s="18"/>
      <x:c r="E155" s="126">
        <x:v>13053</x:v>
      </x:c>
      <x:c r="F155" s="126" t="e">
        <x:f>IF(E155&lt;参数与口径!$E$6,1,MATCH(E155,等级配置!$C$4:$C$103,1))</x:f>
        <x:v>#NAME?</x:v>
      </x:c>
      <x:c r="G155" s="58" t="e">
        <x:f>INDEX(等级配置!$B$4:$B$103,F155)</x:f>
        <x:v>#NAME?</x:v>
      </x:c>
      <x:c r="H155" s="20" t="e">
        <x:f>IF(E155&lt;参数与口径!$E$6,"存量兼容Lv1","正常")&amp;IF(D155&lt;&gt;"","；当前已婚但存在离婚日期","")</x:f>
        <x:v>#NAME?</x:v>
      </x:c>
    </x:row>
    <x:row r="156" ht="17">
      <x:c r="A156" s="58">
        <x:v>154</x:v>
      </x:c>
      <x:c r="B156" s="58" t="s">
        <x:v>645</x:v>
      </x:c>
      <x:c r="C156" s="18" t="s">
        <x:v>648</x:v>
      </x:c>
      <x:c r="D156" s="18"/>
      <x:c r="E156" s="126">
        <x:v>12364</x:v>
      </x:c>
      <x:c r="F156" s="126" t="e">
        <x:f>IF(E156&lt;参数与口径!$E$6,1,MATCH(E156,等级配置!$C$4:$C$103,1))</x:f>
        <x:v>#NAME?</x:v>
      </x:c>
      <x:c r="G156" s="58" t="e">
        <x:f>INDEX(等级配置!$B$4:$B$103,F156)</x:f>
        <x:v>#NAME?</x:v>
      </x:c>
      <x:c r="H156" s="20" t="e">
        <x:f>IF(E156&lt;参数与口径!$E$6,"存量兼容Lv1","正常")&amp;IF(D156&lt;&gt;"","；当前已婚但存在离婚日期","")</x:f>
        <x:v>#NAME?</x:v>
      </x:c>
    </x:row>
    <x:row r="157" ht="17">
      <x:c r="A157" s="58">
        <x:v>155</x:v>
      </x:c>
      <x:c r="B157" s="58" t="s">
        <x:v>649</x:v>
      </x:c>
      <x:c r="C157" s="18" t="s">
        <x:v>652</x:v>
      </x:c>
      <x:c r="D157" s="18"/>
      <x:c r="E157" s="126">
        <x:v>12335</x:v>
      </x:c>
      <x:c r="F157" s="126" t="e">
        <x:f>IF(E157&lt;参数与口径!$E$6,1,MATCH(E157,等级配置!$C$4:$C$103,1))</x:f>
        <x:v>#NAME?</x:v>
      </x:c>
      <x:c r="G157" s="58" t="e">
        <x:f>INDEX(等级配置!$B$4:$B$103,F157)</x:f>
        <x:v>#NAME?</x:v>
      </x:c>
      <x:c r="H157" s="20" t="e">
        <x:f>IF(E157&lt;参数与口径!$E$6,"存量兼容Lv1","正常")&amp;IF(D157&lt;&gt;"","；当前已婚但存在离婚日期","")</x:f>
        <x:v>#NAME?</x:v>
      </x:c>
    </x:row>
    <x:row r="158" ht="17">
      <x:c r="A158" s="58">
        <x:v>156</x:v>
      </x:c>
      <x:c r="B158" s="58" t="s">
        <x:v>653</x:v>
      </x:c>
      <x:c r="C158" s="18" t="s">
        <x:v>656</x:v>
      </x:c>
      <x:c r="D158" s="18"/>
      <x:c r="E158" s="126">
        <x:v>12335</x:v>
      </x:c>
      <x:c r="F158" s="126" t="e">
        <x:f>IF(E158&lt;参数与口径!$E$6,1,MATCH(E158,等级配置!$C$4:$C$103,1))</x:f>
        <x:v>#NAME?</x:v>
      </x:c>
      <x:c r="G158" s="58" t="e">
        <x:f>INDEX(等级配置!$B$4:$B$103,F158)</x:f>
        <x:v>#NAME?</x:v>
      </x:c>
      <x:c r="H158" s="20" t="e">
        <x:f>IF(E158&lt;参数与口径!$E$6,"存量兼容Lv1","正常")&amp;IF(D158&lt;&gt;"","；当前已婚但存在离婚日期","")</x:f>
        <x:v>#NAME?</x:v>
      </x:c>
    </x:row>
    <x:row r="159" ht="17">
      <x:c r="A159" s="58">
        <x:v>157</x:v>
      </x:c>
      <x:c r="B159" s="58" t="s">
        <x:v>657</x:v>
      </x:c>
      <x:c r="C159" s="18" t="s">
        <x:v>660</x:v>
      </x:c>
      <x:c r="D159" s="18"/>
      <x:c r="E159" s="126">
        <x:v>12246</x:v>
      </x:c>
      <x:c r="F159" s="126" t="e">
        <x:f>IF(E159&lt;参数与口径!$E$6,1,MATCH(E159,等级配置!$C$4:$C$103,1))</x:f>
        <x:v>#NAME?</x:v>
      </x:c>
      <x:c r="G159" s="58" t="e">
        <x:f>INDEX(等级配置!$B$4:$B$103,F159)</x:f>
        <x:v>#NAME?</x:v>
      </x:c>
      <x:c r="H159" s="20" t="e">
        <x:f>IF(E159&lt;参数与口径!$E$6,"存量兼容Lv1","正常")&amp;IF(D159&lt;&gt;"","；当前已婚但存在离婚日期","")</x:f>
        <x:v>#NAME?</x:v>
      </x:c>
    </x:row>
    <x:row r="160" ht="17">
      <x:c r="A160" s="58">
        <x:v>158</x:v>
      </x:c>
      <x:c r="B160" s="58" t="s">
        <x:v>661</x:v>
      </x:c>
      <x:c r="C160" s="18" t="s">
        <x:v>664</x:v>
      </x:c>
      <x:c r="D160" s="18"/>
      <x:c r="E160" s="126">
        <x:v>11746</x:v>
      </x:c>
      <x:c r="F160" s="126" t="e">
        <x:f>IF(E160&lt;参数与口径!$E$6,1,MATCH(E160,等级配置!$C$4:$C$103,1))</x:f>
        <x:v>#NAME?</x:v>
      </x:c>
      <x:c r="G160" s="58" t="e">
        <x:f>INDEX(等级配置!$B$4:$B$103,F160)</x:f>
        <x:v>#NAME?</x:v>
      </x:c>
      <x:c r="H160" s="20" t="e">
        <x:f>IF(E160&lt;参数与口径!$E$6,"存量兼容Lv1","正常")&amp;IF(D160&lt;&gt;"","；当前已婚但存在离婚日期","")</x:f>
        <x:v>#NAME?</x:v>
      </x:c>
    </x:row>
    <x:row r="161" ht="17">
      <x:c r="A161" s="58">
        <x:v>159</x:v>
      </x:c>
      <x:c r="B161" s="58" t="s">
        <x:v>665</x:v>
      </x:c>
      <x:c r="C161" s="18" t="s">
        <x:v>668</x:v>
      </x:c>
      <x:c r="D161" s="18"/>
      <x:c r="E161" s="126">
        <x:v>11709</x:v>
      </x:c>
      <x:c r="F161" s="126" t="e">
        <x:f>IF(E161&lt;参数与口径!$E$6,1,MATCH(E161,等级配置!$C$4:$C$103,1))</x:f>
        <x:v>#NAME?</x:v>
      </x:c>
      <x:c r="G161" s="58" t="e">
        <x:f>INDEX(等级配置!$B$4:$B$103,F161)</x:f>
        <x:v>#NAME?</x:v>
      </x:c>
      <x:c r="H161" s="20" t="e">
        <x:f>IF(E161&lt;参数与口径!$E$6,"存量兼容Lv1","正常")&amp;IF(D161&lt;&gt;"","；当前已婚但存在离婚日期","")</x:f>
        <x:v>#NAME?</x:v>
      </x:c>
    </x:row>
    <x:row r="162" ht="17">
      <x:c r="A162" s="58">
        <x:v>160</x:v>
      </x:c>
      <x:c r="B162" s="58" t="s">
        <x:v>669</x:v>
      </x:c>
      <x:c r="C162" s="18" t="s">
        <x:v>672</x:v>
      </x:c>
      <x:c r="D162" s="18"/>
      <x:c r="E162" s="126">
        <x:v>11699</x:v>
      </x:c>
      <x:c r="F162" s="126" t="e">
        <x:f>IF(E162&lt;参数与口径!$E$6,1,MATCH(E162,等级配置!$C$4:$C$103,1))</x:f>
        <x:v>#NAME?</x:v>
      </x:c>
      <x:c r="G162" s="58" t="e">
        <x:f>INDEX(等级配置!$B$4:$B$103,F162)</x:f>
        <x:v>#NAME?</x:v>
      </x:c>
      <x:c r="H162" s="20" t="e">
        <x:f>IF(E162&lt;参数与口径!$E$6,"存量兼容Lv1","正常")&amp;IF(D162&lt;&gt;"","；当前已婚但存在离婚日期","")</x:f>
        <x:v>#NAME?</x:v>
      </x:c>
    </x:row>
    <x:row r="163" ht="17">
      <x:c r="A163" s="58">
        <x:v>161</x:v>
      </x:c>
      <x:c r="B163" s="58" t="s">
        <x:v>673</x:v>
      </x:c>
      <x:c r="C163" s="18" t="s">
        <x:v>676</x:v>
      </x:c>
      <x:c r="D163" s="18"/>
      <x:c r="E163" s="126">
        <x:v>11618</x:v>
      </x:c>
      <x:c r="F163" s="126" t="e">
        <x:f>IF(E163&lt;参数与口径!$E$6,1,MATCH(E163,等级配置!$C$4:$C$103,1))</x:f>
        <x:v>#NAME?</x:v>
      </x:c>
      <x:c r="G163" s="58" t="e">
        <x:f>INDEX(等级配置!$B$4:$B$103,F163)</x:f>
        <x:v>#NAME?</x:v>
      </x:c>
      <x:c r="H163" s="20" t="e">
        <x:f>IF(E163&lt;参数与口径!$E$6,"存量兼容Lv1","正常")&amp;IF(D163&lt;&gt;"","；当前已婚但存在离婚日期","")</x:f>
        <x:v>#NAME?</x:v>
      </x:c>
    </x:row>
    <x:row r="164" ht="17">
      <x:c r="A164" s="58">
        <x:v>162</x:v>
      </x:c>
      <x:c r="B164" s="58" t="s">
        <x:v>677</x:v>
      </x:c>
      <x:c r="C164" s="18" t="s">
        <x:v>680</x:v>
      </x:c>
      <x:c r="D164" s="18"/>
      <x:c r="E164" s="126">
        <x:v>11161</x:v>
      </x:c>
      <x:c r="F164" s="126" t="e">
        <x:f>IF(E164&lt;参数与口径!$E$6,1,MATCH(E164,等级配置!$C$4:$C$103,1))</x:f>
        <x:v>#NAME?</x:v>
      </x:c>
      <x:c r="G164" s="58" t="e">
        <x:f>INDEX(等级配置!$B$4:$B$103,F164)</x:f>
        <x:v>#NAME?</x:v>
      </x:c>
      <x:c r="H164" s="20" t="e">
        <x:f>IF(E164&lt;参数与口径!$E$6,"存量兼容Lv1","正常")&amp;IF(D164&lt;&gt;"","；当前已婚但存在离婚日期","")</x:f>
        <x:v>#NAME?</x:v>
      </x:c>
    </x:row>
    <x:row r="165" ht="17">
      <x:c r="A165" s="58">
        <x:v>163</x:v>
      </x:c>
      <x:c r="B165" s="58" t="s">
        <x:v>681</x:v>
      </x:c>
      <x:c r="C165" s="18" t="s">
        <x:v>684</x:v>
      </x:c>
      <x:c r="D165" s="18"/>
      <x:c r="E165" s="126">
        <x:v>11104</x:v>
      </x:c>
      <x:c r="F165" s="126" t="e">
        <x:f>IF(E165&lt;参数与口径!$E$6,1,MATCH(E165,等级配置!$C$4:$C$103,1))</x:f>
        <x:v>#NAME?</x:v>
      </x:c>
      <x:c r="G165" s="58" t="e">
        <x:f>INDEX(等级配置!$B$4:$B$103,F165)</x:f>
        <x:v>#NAME?</x:v>
      </x:c>
      <x:c r="H165" s="20" t="e">
        <x:f>IF(E165&lt;参数与口径!$E$6,"存量兼容Lv1","正常")&amp;IF(D165&lt;&gt;"","；当前已婚但存在离婚日期","")</x:f>
        <x:v>#NAME?</x:v>
      </x:c>
    </x:row>
    <x:row r="166" ht="17">
      <x:c r="A166" s="58">
        <x:v>164</x:v>
      </x:c>
      <x:c r="B166" s="58" t="s">
        <x:v>685</x:v>
      </x:c>
      <x:c r="C166" s="18" t="s">
        <x:v>688</x:v>
      </x:c>
      <x:c r="D166" s="18"/>
      <x:c r="E166" s="126">
        <x:v>11012</x:v>
      </x:c>
      <x:c r="F166" s="126" t="e">
        <x:f>IF(E166&lt;参数与口径!$E$6,1,MATCH(E166,等级配置!$C$4:$C$103,1))</x:f>
        <x:v>#NAME?</x:v>
      </x:c>
      <x:c r="G166" s="58" t="e">
        <x:f>INDEX(等级配置!$B$4:$B$103,F166)</x:f>
        <x:v>#NAME?</x:v>
      </x:c>
      <x:c r="H166" s="20" t="e">
        <x:f>IF(E166&lt;参数与口径!$E$6,"存量兼容Lv1","正常")&amp;IF(D166&lt;&gt;"","；当前已婚但存在离婚日期","")</x:f>
        <x:v>#NAME?</x:v>
      </x:c>
    </x:row>
    <x:row r="167" ht="17">
      <x:c r="A167" s="58">
        <x:v>165</x:v>
      </x:c>
      <x:c r="B167" s="58" t="s">
        <x:v>689</x:v>
      </x:c>
      <x:c r="C167" s="18" t="s">
        <x:v>692</x:v>
      </x:c>
      <x:c r="D167" s="18"/>
      <x:c r="E167" s="126">
        <x:v>10885</x:v>
      </x:c>
      <x:c r="F167" s="126" t="e">
        <x:f>IF(E167&lt;参数与口径!$E$6,1,MATCH(E167,等级配置!$C$4:$C$103,1))</x:f>
        <x:v>#NAME?</x:v>
      </x:c>
      <x:c r="G167" s="58" t="e">
        <x:f>INDEX(等级配置!$B$4:$B$103,F167)</x:f>
        <x:v>#NAME?</x:v>
      </x:c>
      <x:c r="H167" s="20" t="e">
        <x:f>IF(E167&lt;参数与口径!$E$6,"存量兼容Lv1","正常")&amp;IF(D167&lt;&gt;"","；当前已婚但存在离婚日期","")</x:f>
        <x:v>#NAME?</x:v>
      </x:c>
    </x:row>
    <x:row r="168" ht="17">
      <x:c r="A168" s="58">
        <x:v>166</x:v>
      </x:c>
      <x:c r="B168" s="58" t="s">
        <x:v>693</x:v>
      </x:c>
      <x:c r="C168" s="18" t="s">
        <x:v>696</x:v>
      </x:c>
      <x:c r="D168" s="18"/>
      <x:c r="E168" s="126">
        <x:v>10652</x:v>
      </x:c>
      <x:c r="F168" s="126" t="e">
        <x:f>IF(E168&lt;参数与口径!$E$6,1,MATCH(E168,等级配置!$C$4:$C$103,1))</x:f>
        <x:v>#NAME?</x:v>
      </x:c>
      <x:c r="G168" s="58" t="e">
        <x:f>INDEX(等级配置!$B$4:$B$103,F168)</x:f>
        <x:v>#NAME?</x:v>
      </x:c>
      <x:c r="H168" s="20" t="e">
        <x:f>IF(E168&lt;参数与口径!$E$6,"存量兼容Lv1","正常")&amp;IF(D168&lt;&gt;"","；当前已婚但存在离婚日期","")</x:f>
        <x:v>#NAME?</x:v>
      </x:c>
    </x:row>
    <x:row r="169" ht="17">
      <x:c r="A169" s="58">
        <x:v>167</x:v>
      </x:c>
      <x:c r="B169" s="58" t="s">
        <x:v>697</x:v>
      </x:c>
      <x:c r="C169" s="18" t="s">
        <x:v>700</x:v>
      </x:c>
      <x:c r="D169" s="18"/>
      <x:c r="E169" s="126">
        <x:v>9591</x:v>
      </x:c>
      <x:c r="F169" s="126" t="e">
        <x:f>IF(E169&lt;参数与口径!$E$6,1,MATCH(E169,等级配置!$C$4:$C$103,1))</x:f>
        <x:v>#NAME?</x:v>
      </x:c>
      <x:c r="G169" s="58" t="e">
        <x:f>INDEX(等级配置!$B$4:$B$103,F169)</x:f>
        <x:v>#NAME?</x:v>
      </x:c>
      <x:c r="H169" s="20" t="e">
        <x:f>IF(E169&lt;参数与口径!$E$6,"存量兼容Lv1","正常")&amp;IF(D169&lt;&gt;"","；当前已婚但存在离婚日期","")</x:f>
        <x:v>#NAME?</x:v>
      </x:c>
    </x:row>
    <x:row r="170" ht="17">
      <x:c r="A170" s="58">
        <x:v>168</x:v>
      </x:c>
      <x:c r="B170" s="58" t="s">
        <x:v>701</x:v>
      </x:c>
      <x:c r="C170" s="18" t="s">
        <x:v>704</x:v>
      </x:c>
      <x:c r="D170" s="18"/>
      <x:c r="E170" s="126">
        <x:v>9449</x:v>
      </x:c>
      <x:c r="F170" s="126" t="e">
        <x:f>IF(E170&lt;参数与口径!$E$6,1,MATCH(E170,等级配置!$C$4:$C$103,1))</x:f>
        <x:v>#NAME?</x:v>
      </x:c>
      <x:c r="G170" s="58" t="e">
        <x:f>INDEX(等级配置!$B$4:$B$103,F170)</x:f>
        <x:v>#NAME?</x:v>
      </x:c>
      <x:c r="H170" s="20" t="e">
        <x:f>IF(E170&lt;参数与口径!$E$6,"存量兼容Lv1","正常")&amp;IF(D170&lt;&gt;"","；当前已婚但存在离婚日期","")</x:f>
        <x:v>#NAME?</x:v>
      </x:c>
    </x:row>
    <x:row r="171" ht="17">
      <x:c r="A171" s="58">
        <x:v>169</x:v>
      </x:c>
      <x:c r="B171" s="58" t="s">
        <x:v>705</x:v>
      </x:c>
      <x:c r="C171" s="18" t="s">
        <x:v>708</x:v>
      </x:c>
      <x:c r="D171" s="18"/>
      <x:c r="E171" s="126">
        <x:v>9300</x:v>
      </x:c>
      <x:c r="F171" s="126" t="e">
        <x:f>IF(E171&lt;参数与口径!$E$6,1,MATCH(E171,等级配置!$C$4:$C$103,1))</x:f>
        <x:v>#NAME?</x:v>
      </x:c>
      <x:c r="G171" s="58" t="e">
        <x:f>INDEX(等级配置!$B$4:$B$103,F171)</x:f>
        <x:v>#NAME?</x:v>
      </x:c>
      <x:c r="H171" s="20" t="e">
        <x:f>IF(E171&lt;参数与口径!$E$6,"存量兼容Lv1","正常")&amp;IF(D171&lt;&gt;"","；当前已婚但存在离婚日期","")</x:f>
        <x:v>#NAME?</x:v>
      </x:c>
    </x:row>
    <x:row r="172" ht="17">
      <x:c r="A172" s="58">
        <x:v>170</x:v>
      </x:c>
      <x:c r="B172" s="58" t="s">
        <x:v>709</x:v>
      </x:c>
      <x:c r="C172" s="18" t="s">
        <x:v>712</x:v>
      </x:c>
      <x:c r="D172" s="18"/>
      <x:c r="E172" s="126">
        <x:v>9228</x:v>
      </x:c>
      <x:c r="F172" s="126" t="e">
        <x:f>IF(E172&lt;参数与口径!$E$6,1,MATCH(E172,等级配置!$C$4:$C$103,1))</x:f>
        <x:v>#NAME?</x:v>
      </x:c>
      <x:c r="G172" s="58" t="e">
        <x:f>INDEX(等级配置!$B$4:$B$103,F172)</x:f>
        <x:v>#NAME?</x:v>
      </x:c>
      <x:c r="H172" s="20" t="e">
        <x:f>IF(E172&lt;参数与口径!$E$6,"存量兼容Lv1","正常")&amp;IF(D172&lt;&gt;"","；当前已婚但存在离婚日期","")</x:f>
        <x:v>#NAME?</x:v>
      </x:c>
    </x:row>
    <x:row r="173" ht="17">
      <x:c r="A173" s="58">
        <x:v>171</x:v>
      </x:c>
      <x:c r="B173" s="58" t="s">
        <x:v>713</x:v>
      </x:c>
      <x:c r="C173" s="18" t="s">
        <x:v>716</x:v>
      </x:c>
      <x:c r="D173" s="18" t="s">
        <x:v>717</x:v>
      </x:c>
      <x:c r="E173" s="126">
        <x:v>9147</x:v>
      </x:c>
      <x:c r="F173" s="126" t="e">
        <x:f>IF(E173&lt;参数与口径!$E$6,1,MATCH(E173,等级配置!$C$4:$C$103,1))</x:f>
        <x:v>#NAME?</x:v>
      </x:c>
      <x:c r="G173" s="58" t="e">
        <x:f>INDEX(等级配置!$B$4:$B$103,F173)</x:f>
        <x:v>#NAME?</x:v>
      </x:c>
      <x:c r="H173" s="20" t="e">
        <x:f>IF(E173&lt;参数与口径!$E$6,"存量兼容Lv1","正常")&amp;IF(D173&lt;&gt;"","；当前已婚但存在离婚日期","")</x:f>
        <x:v>#NAME?</x:v>
      </x:c>
    </x:row>
    <x:row r="174" ht="17">
      <x:c r="A174" s="58">
        <x:v>172</x:v>
      </x:c>
      <x:c r="B174" s="58" t="s">
        <x:v>718</x:v>
      </x:c>
      <x:c r="C174" s="18" t="s">
        <x:v>721</x:v>
      </x:c>
      <x:c r="D174" s="18"/>
      <x:c r="E174" s="126">
        <x:v>8963</x:v>
      </x:c>
      <x:c r="F174" s="126" t="e">
        <x:f>IF(E174&lt;参数与口径!$E$6,1,MATCH(E174,等级配置!$C$4:$C$103,1))</x:f>
        <x:v>#NAME?</x:v>
      </x:c>
      <x:c r="G174" s="58" t="e">
        <x:f>INDEX(等级配置!$B$4:$B$103,F174)</x:f>
        <x:v>#NAME?</x:v>
      </x:c>
      <x:c r="H174" s="20" t="e">
        <x:f>IF(E174&lt;参数与口径!$E$6,"存量兼容Lv1","正常")&amp;IF(D174&lt;&gt;"","；当前已婚但存在离婚日期","")</x:f>
        <x:v>#NAME?</x:v>
      </x:c>
    </x:row>
    <x:row r="175" ht="17">
      <x:c r="A175" s="58">
        <x:v>173</x:v>
      </x:c>
      <x:c r="B175" s="58" t="s">
        <x:v>722</x:v>
      </x:c>
      <x:c r="C175" s="18" t="s">
        <x:v>725</x:v>
      </x:c>
      <x:c r="D175" s="18"/>
      <x:c r="E175" s="126">
        <x:v>8691</x:v>
      </x:c>
      <x:c r="F175" s="126" t="e">
        <x:f>IF(E175&lt;参数与口径!$E$6,1,MATCH(E175,等级配置!$C$4:$C$103,1))</x:f>
        <x:v>#NAME?</x:v>
      </x:c>
      <x:c r="G175" s="58" t="e">
        <x:f>INDEX(等级配置!$B$4:$B$103,F175)</x:f>
        <x:v>#NAME?</x:v>
      </x:c>
      <x:c r="H175" s="20" t="e">
        <x:f>IF(E175&lt;参数与口径!$E$6,"存量兼容Lv1","正常")&amp;IF(D175&lt;&gt;"","；当前已婚但存在离婚日期","")</x:f>
        <x:v>#NAME?</x:v>
      </x:c>
    </x:row>
    <x:row r="176" ht="17">
      <x:c r="A176" s="58">
        <x:v>174</x:v>
      </x:c>
      <x:c r="B176" s="58" t="s">
        <x:v>726</x:v>
      </x:c>
      <x:c r="C176" s="18" t="s">
        <x:v>729</x:v>
      </x:c>
      <x:c r="D176" s="18"/>
      <x:c r="E176" s="126">
        <x:v>8627</x:v>
      </x:c>
      <x:c r="F176" s="126" t="e">
        <x:f>IF(E176&lt;参数与口径!$E$6,1,MATCH(E176,等级配置!$C$4:$C$103,1))</x:f>
        <x:v>#NAME?</x:v>
      </x:c>
      <x:c r="G176" s="58" t="e">
        <x:f>INDEX(等级配置!$B$4:$B$103,F176)</x:f>
        <x:v>#NAME?</x:v>
      </x:c>
      <x:c r="H176" s="20" t="e">
        <x:f>IF(E176&lt;参数与口径!$E$6,"存量兼容Lv1","正常")&amp;IF(D176&lt;&gt;"","；当前已婚但存在离婚日期","")</x:f>
        <x:v>#NAME?</x:v>
      </x:c>
    </x:row>
    <x:row r="177" ht="17">
      <x:c r="A177" s="58">
        <x:v>175</x:v>
      </x:c>
      <x:c r="B177" s="58" t="s">
        <x:v>730</x:v>
      </x:c>
      <x:c r="C177" s="18" t="s">
        <x:v>733</x:v>
      </x:c>
      <x:c r="D177" s="18"/>
      <x:c r="E177" s="126">
        <x:v>8480</x:v>
      </x:c>
      <x:c r="F177" s="126" t="e">
        <x:f>IF(E177&lt;参数与口径!$E$6,1,MATCH(E177,等级配置!$C$4:$C$103,1))</x:f>
        <x:v>#NAME?</x:v>
      </x:c>
      <x:c r="G177" s="58" t="e">
        <x:f>INDEX(等级配置!$B$4:$B$103,F177)</x:f>
        <x:v>#NAME?</x:v>
      </x:c>
      <x:c r="H177" s="20" t="e">
        <x:f>IF(E177&lt;参数与口径!$E$6,"存量兼容Lv1","正常")&amp;IF(D177&lt;&gt;"","；当前已婚但存在离婚日期","")</x:f>
        <x:v>#NAME?</x:v>
      </x:c>
    </x:row>
    <x:row r="178" ht="17">
      <x:c r="A178" s="58">
        <x:v>176</x:v>
      </x:c>
      <x:c r="B178" s="58" t="s">
        <x:v>734</x:v>
      </x:c>
      <x:c r="C178" s="18" t="s">
        <x:v>737</x:v>
      </x:c>
      <x:c r="D178" s="18"/>
      <x:c r="E178" s="126">
        <x:v>8459</x:v>
      </x:c>
      <x:c r="F178" s="126" t="e">
        <x:f>IF(E178&lt;参数与口径!$E$6,1,MATCH(E178,等级配置!$C$4:$C$103,1))</x:f>
        <x:v>#NAME?</x:v>
      </x:c>
      <x:c r="G178" s="58" t="e">
        <x:f>INDEX(等级配置!$B$4:$B$103,F178)</x:f>
        <x:v>#NAME?</x:v>
      </x:c>
      <x:c r="H178" s="20" t="e">
        <x:f>IF(E178&lt;参数与口径!$E$6,"存量兼容Lv1","正常")&amp;IF(D178&lt;&gt;"","；当前已婚但存在离婚日期","")</x:f>
        <x:v>#NAME?</x:v>
      </x:c>
    </x:row>
    <x:row r="179" ht="17">
      <x:c r="A179" s="58">
        <x:v>177</x:v>
      </x:c>
      <x:c r="B179" s="58" t="s">
        <x:v>738</x:v>
      </x:c>
      <x:c r="C179" s="18" t="s">
        <x:v>741</x:v>
      </x:c>
      <x:c r="D179" s="18"/>
      <x:c r="E179" s="126">
        <x:v>8105</x:v>
      </x:c>
      <x:c r="F179" s="126" t="e">
        <x:f>IF(E179&lt;参数与口径!$E$6,1,MATCH(E179,等级配置!$C$4:$C$103,1))</x:f>
        <x:v>#NAME?</x:v>
      </x:c>
      <x:c r="G179" s="58" t="e">
        <x:f>INDEX(等级配置!$B$4:$B$103,F179)</x:f>
        <x:v>#NAME?</x:v>
      </x:c>
      <x:c r="H179" s="20" t="e">
        <x:f>IF(E179&lt;参数与口径!$E$6,"存量兼容Lv1","正常")&amp;IF(D179&lt;&gt;"","；当前已婚但存在离婚日期","")</x:f>
        <x:v>#NAME?</x:v>
      </x:c>
    </x:row>
    <x:row r="180" ht="17">
      <x:c r="A180" s="58">
        <x:v>178</x:v>
      </x:c>
      <x:c r="B180" s="58" t="s">
        <x:v>742</x:v>
      </x:c>
      <x:c r="C180" s="18" t="s">
        <x:v>745</x:v>
      </x:c>
      <x:c r="D180" s="18"/>
      <x:c r="E180" s="126">
        <x:v>8015</x:v>
      </x:c>
      <x:c r="F180" s="126" t="e">
        <x:f>IF(E180&lt;参数与口径!$E$6,1,MATCH(E180,等级配置!$C$4:$C$103,1))</x:f>
        <x:v>#NAME?</x:v>
      </x:c>
      <x:c r="G180" s="58" t="e">
        <x:f>INDEX(等级配置!$B$4:$B$103,F180)</x:f>
        <x:v>#NAME?</x:v>
      </x:c>
      <x:c r="H180" s="20" t="e">
        <x:f>IF(E180&lt;参数与口径!$E$6,"存量兼容Lv1","正常")&amp;IF(D180&lt;&gt;"","；当前已婚但存在离婚日期","")</x:f>
        <x:v>#NAME?</x:v>
      </x:c>
    </x:row>
    <x:row r="181" ht="17">
      <x:c r="A181" s="58">
        <x:v>179</x:v>
      </x:c>
      <x:c r="B181" s="58" t="s">
        <x:v>746</x:v>
      </x:c>
      <x:c r="C181" s="18" t="s">
        <x:v>749</x:v>
      </x:c>
      <x:c r="D181" s="18"/>
      <x:c r="E181" s="126">
        <x:v>7978</x:v>
      </x:c>
      <x:c r="F181" s="126" t="e">
        <x:f>IF(E181&lt;参数与口径!$E$6,1,MATCH(E181,等级配置!$C$4:$C$103,1))</x:f>
        <x:v>#NAME?</x:v>
      </x:c>
      <x:c r="G181" s="58" t="e">
        <x:f>INDEX(等级配置!$B$4:$B$103,F181)</x:f>
        <x:v>#NAME?</x:v>
      </x:c>
      <x:c r="H181" s="20" t="e">
        <x:f>IF(E181&lt;参数与口径!$E$6,"存量兼容Lv1","正常")&amp;IF(D181&lt;&gt;"","；当前已婚但存在离婚日期","")</x:f>
        <x:v>#NAME?</x:v>
      </x:c>
    </x:row>
    <x:row r="182" ht="17">
      <x:c r="A182" s="58">
        <x:v>180</x:v>
      </x:c>
      <x:c r="B182" s="58" t="s">
        <x:v>750</x:v>
      </x:c>
      <x:c r="C182" s="18" t="s">
        <x:v>753</x:v>
      </x:c>
      <x:c r="D182" s="18"/>
      <x:c r="E182" s="126">
        <x:v>7961</x:v>
      </x:c>
      <x:c r="F182" s="126" t="e">
        <x:f>IF(E182&lt;参数与口径!$E$6,1,MATCH(E182,等级配置!$C$4:$C$103,1))</x:f>
        <x:v>#NAME?</x:v>
      </x:c>
      <x:c r="G182" s="58" t="e">
        <x:f>INDEX(等级配置!$B$4:$B$103,F182)</x:f>
        <x:v>#NAME?</x:v>
      </x:c>
      <x:c r="H182" s="20" t="e">
        <x:f>IF(E182&lt;参数与口径!$E$6,"存量兼容Lv1","正常")&amp;IF(D182&lt;&gt;"","；当前已婚但存在离婚日期","")</x:f>
        <x:v>#NAME?</x:v>
      </x:c>
    </x:row>
    <x:row r="183" ht="17">
      <x:c r="A183" s="58">
        <x:v>181</x:v>
      </x:c>
      <x:c r="B183" s="58" t="s">
        <x:v>754</x:v>
      </x:c>
      <x:c r="C183" s="18" t="s">
        <x:v>757</x:v>
      </x:c>
      <x:c r="D183" s="18"/>
      <x:c r="E183" s="126">
        <x:v>7885</x:v>
      </x:c>
      <x:c r="F183" s="126" t="e">
        <x:f>IF(E183&lt;参数与口径!$E$6,1,MATCH(E183,等级配置!$C$4:$C$103,1))</x:f>
        <x:v>#NAME?</x:v>
      </x:c>
      <x:c r="G183" s="58" t="e">
        <x:f>INDEX(等级配置!$B$4:$B$103,F183)</x:f>
        <x:v>#NAME?</x:v>
      </x:c>
      <x:c r="H183" s="20" t="e">
        <x:f>IF(E183&lt;参数与口径!$E$6,"存量兼容Lv1","正常")&amp;IF(D183&lt;&gt;"","；当前已婚但存在离婚日期","")</x:f>
        <x:v>#NAME?</x:v>
      </x:c>
    </x:row>
    <x:row r="184" ht="17">
      <x:c r="A184" s="58">
        <x:v>182</x:v>
      </x:c>
      <x:c r="B184" s="58" t="s">
        <x:v>758</x:v>
      </x:c>
      <x:c r="C184" s="18" t="s">
        <x:v>761</x:v>
      </x:c>
      <x:c r="D184" s="18" t="s">
        <x:v>762</x:v>
      </x:c>
      <x:c r="E184" s="126">
        <x:v>7669</x:v>
      </x:c>
      <x:c r="F184" s="126" t="e">
        <x:f>IF(E184&lt;参数与口径!$E$6,1,MATCH(E184,等级配置!$C$4:$C$103,1))</x:f>
        <x:v>#NAME?</x:v>
      </x:c>
      <x:c r="G184" s="58" t="e">
        <x:f>INDEX(等级配置!$B$4:$B$103,F184)</x:f>
        <x:v>#NAME?</x:v>
      </x:c>
      <x:c r="H184" s="20" t="e">
        <x:f>IF(E184&lt;参数与口径!$E$6,"存量兼容Lv1","正常")&amp;IF(D184&lt;&gt;"","；当前已婚但存在离婚日期","")</x:f>
        <x:v>#NAME?</x:v>
      </x:c>
    </x:row>
    <x:row r="185" ht="17">
      <x:c r="A185" s="58">
        <x:v>183</x:v>
      </x:c>
      <x:c r="B185" s="58" t="s">
        <x:v>763</x:v>
      </x:c>
      <x:c r="C185" s="18" t="s">
        <x:v>766</x:v>
      </x:c>
      <x:c r="D185" s="18"/>
      <x:c r="E185" s="126">
        <x:v>7614</x:v>
      </x:c>
      <x:c r="F185" s="126" t="e">
        <x:f>IF(E185&lt;参数与口径!$E$6,1,MATCH(E185,等级配置!$C$4:$C$103,1))</x:f>
        <x:v>#NAME?</x:v>
      </x:c>
      <x:c r="G185" s="58" t="e">
        <x:f>INDEX(等级配置!$B$4:$B$103,F185)</x:f>
        <x:v>#NAME?</x:v>
      </x:c>
      <x:c r="H185" s="20" t="e">
        <x:f>IF(E185&lt;参数与口径!$E$6,"存量兼容Lv1","正常")&amp;IF(D185&lt;&gt;"","；当前已婚但存在离婚日期","")</x:f>
        <x:v>#NAME?</x:v>
      </x:c>
    </x:row>
    <x:row r="186" ht="17">
      <x:c r="A186" s="58">
        <x:v>184</x:v>
      </x:c>
      <x:c r="B186" s="58" t="s">
        <x:v>767</x:v>
      </x:c>
      <x:c r="C186" s="18" t="s">
        <x:v>770</x:v>
      </x:c>
      <x:c r="D186" s="18"/>
      <x:c r="E186" s="126">
        <x:v>7532</x:v>
      </x:c>
      <x:c r="F186" s="126" t="e">
        <x:f>IF(E186&lt;参数与口径!$E$6,1,MATCH(E186,等级配置!$C$4:$C$103,1))</x:f>
        <x:v>#NAME?</x:v>
      </x:c>
      <x:c r="G186" s="58" t="e">
        <x:f>INDEX(等级配置!$B$4:$B$103,F186)</x:f>
        <x:v>#NAME?</x:v>
      </x:c>
      <x:c r="H186" s="20" t="e">
        <x:f>IF(E186&lt;参数与口径!$E$6,"存量兼容Lv1","正常")&amp;IF(D186&lt;&gt;"","；当前已婚但存在离婚日期","")</x:f>
        <x:v>#NAME?</x:v>
      </x:c>
    </x:row>
    <x:row r="187" ht="17">
      <x:c r="A187" s="58">
        <x:v>185</x:v>
      </x:c>
      <x:c r="B187" s="58" t="s">
        <x:v>771</x:v>
      </x:c>
      <x:c r="C187" s="18" t="s">
        <x:v>774</x:v>
      </x:c>
      <x:c r="D187" s="18" t="s">
        <x:v>775</x:v>
      </x:c>
      <x:c r="E187" s="126">
        <x:v>7403</x:v>
      </x:c>
      <x:c r="F187" s="126" t="e">
        <x:f>IF(E187&lt;参数与口径!$E$6,1,MATCH(E187,等级配置!$C$4:$C$103,1))</x:f>
        <x:v>#NAME?</x:v>
      </x:c>
      <x:c r="G187" s="58" t="e">
        <x:f>INDEX(等级配置!$B$4:$B$103,F187)</x:f>
        <x:v>#NAME?</x:v>
      </x:c>
      <x:c r="H187" s="20" t="e">
        <x:f>IF(E187&lt;参数与口径!$E$6,"存量兼容Lv1","正常")&amp;IF(D187&lt;&gt;"","；当前已婚但存在离婚日期","")</x:f>
        <x:v>#NAME?</x:v>
      </x:c>
    </x:row>
    <x:row r="188" ht="17">
      <x:c r="A188" s="58">
        <x:v>186</x:v>
      </x:c>
      <x:c r="B188" s="58" t="s">
        <x:v>776</x:v>
      </x:c>
      <x:c r="C188" s="18" t="s">
        <x:v>779</x:v>
      </x:c>
      <x:c r="D188" s="18"/>
      <x:c r="E188" s="126">
        <x:v>7321</x:v>
      </x:c>
      <x:c r="F188" s="126" t="e">
        <x:f>IF(E188&lt;参数与口径!$E$6,1,MATCH(E188,等级配置!$C$4:$C$103,1))</x:f>
        <x:v>#NAME?</x:v>
      </x:c>
      <x:c r="G188" s="58" t="e">
        <x:f>INDEX(等级配置!$B$4:$B$103,F188)</x:f>
        <x:v>#NAME?</x:v>
      </x:c>
      <x:c r="H188" s="20" t="e">
        <x:f>IF(E188&lt;参数与口径!$E$6,"存量兼容Lv1","正常")&amp;IF(D188&lt;&gt;"","；当前已婚但存在离婚日期","")</x:f>
        <x:v>#NAME?</x:v>
      </x:c>
    </x:row>
    <x:row r="189" ht="17">
      <x:c r="A189" s="58">
        <x:v>187</x:v>
      </x:c>
      <x:c r="B189" s="58" t="s">
        <x:v>780</x:v>
      </x:c>
      <x:c r="C189" s="18" t="s">
        <x:v>783</x:v>
      </x:c>
      <x:c r="D189" s="18"/>
      <x:c r="E189" s="126">
        <x:v>7281</x:v>
      </x:c>
      <x:c r="F189" s="126" t="e">
        <x:f>IF(E189&lt;参数与口径!$E$6,1,MATCH(E189,等级配置!$C$4:$C$103,1))</x:f>
        <x:v>#NAME?</x:v>
      </x:c>
      <x:c r="G189" s="58" t="e">
        <x:f>INDEX(等级配置!$B$4:$B$103,F189)</x:f>
        <x:v>#NAME?</x:v>
      </x:c>
      <x:c r="H189" s="20" t="e">
        <x:f>IF(E189&lt;参数与口径!$E$6,"存量兼容Lv1","正常")&amp;IF(D189&lt;&gt;"","；当前已婚但存在离婚日期","")</x:f>
        <x:v>#NAME?</x:v>
      </x:c>
    </x:row>
    <x:row r="190" ht="17">
      <x:c r="A190" s="58">
        <x:v>188</x:v>
      </x:c>
      <x:c r="B190" s="58" t="s">
        <x:v>784</x:v>
      </x:c>
      <x:c r="C190" s="18" t="s">
        <x:v>787</x:v>
      </x:c>
      <x:c r="D190" s="18"/>
      <x:c r="E190" s="126">
        <x:v>7020</x:v>
      </x:c>
      <x:c r="F190" s="126" t="e">
        <x:f>IF(E190&lt;参数与口径!$E$6,1,MATCH(E190,等级配置!$C$4:$C$103,1))</x:f>
        <x:v>#NAME?</x:v>
      </x:c>
      <x:c r="G190" s="58" t="e">
        <x:f>INDEX(等级配置!$B$4:$B$103,F190)</x:f>
        <x:v>#NAME?</x:v>
      </x:c>
      <x:c r="H190" s="20" t="e">
        <x:f>IF(E190&lt;参数与口径!$E$6,"存量兼容Lv1","正常")&amp;IF(D190&lt;&gt;"","；当前已婚但存在离婚日期","")</x:f>
        <x:v>#NAME?</x:v>
      </x:c>
    </x:row>
    <x:row r="191" ht="17">
      <x:c r="A191" s="58">
        <x:v>189</x:v>
      </x:c>
      <x:c r="B191" s="58" t="s">
        <x:v>788</x:v>
      </x:c>
      <x:c r="C191" s="18" t="s">
        <x:v>791</x:v>
      </x:c>
      <x:c r="D191" s="18"/>
      <x:c r="E191" s="126">
        <x:v>6989</x:v>
      </x:c>
      <x:c r="F191" s="126" t="e">
        <x:f>IF(E191&lt;参数与口径!$E$6,1,MATCH(E191,等级配置!$C$4:$C$103,1))</x:f>
        <x:v>#NAME?</x:v>
      </x:c>
      <x:c r="G191" s="58" t="e">
        <x:f>INDEX(等级配置!$B$4:$B$103,F191)</x:f>
        <x:v>#NAME?</x:v>
      </x:c>
      <x:c r="H191" s="20" t="e">
        <x:f>IF(E191&lt;参数与口径!$E$6,"存量兼容Lv1","正常")&amp;IF(D191&lt;&gt;"","；当前已婚但存在离婚日期","")</x:f>
        <x:v>#NAME?</x:v>
      </x:c>
    </x:row>
    <x:row r="192" ht="17">
      <x:c r="A192" s="58">
        <x:v>190</x:v>
      </x:c>
      <x:c r="B192" s="58" t="s">
        <x:v>792</x:v>
      </x:c>
      <x:c r="C192" s="18" t="s">
        <x:v>795</x:v>
      </x:c>
      <x:c r="D192" s="18"/>
      <x:c r="E192" s="126">
        <x:v>6973</x:v>
      </x:c>
      <x:c r="F192" s="126" t="e">
        <x:f>IF(E192&lt;参数与口径!$E$6,1,MATCH(E192,等级配置!$C$4:$C$103,1))</x:f>
        <x:v>#NAME?</x:v>
      </x:c>
      <x:c r="G192" s="58" t="e">
        <x:f>INDEX(等级配置!$B$4:$B$103,F192)</x:f>
        <x:v>#NAME?</x:v>
      </x:c>
      <x:c r="H192" s="20" t="e">
        <x:f>IF(E192&lt;参数与口径!$E$6,"存量兼容Lv1","正常")&amp;IF(D192&lt;&gt;"","；当前已婚但存在离婚日期","")</x:f>
        <x:v>#NAME?</x:v>
      </x:c>
    </x:row>
    <x:row r="193" ht="17">
      <x:c r="A193" s="58">
        <x:v>191</x:v>
      </x:c>
      <x:c r="B193" s="58" t="s">
        <x:v>796</x:v>
      </x:c>
      <x:c r="C193" s="18" t="s">
        <x:v>799</x:v>
      </x:c>
      <x:c r="D193" s="18"/>
      <x:c r="E193" s="126">
        <x:v>6587</x:v>
      </x:c>
      <x:c r="F193" s="126" t="e">
        <x:f>IF(E193&lt;参数与口径!$E$6,1,MATCH(E193,等级配置!$C$4:$C$103,1))</x:f>
        <x:v>#NAME?</x:v>
      </x:c>
      <x:c r="G193" s="58" t="e">
        <x:f>INDEX(等级配置!$B$4:$B$103,F193)</x:f>
        <x:v>#NAME?</x:v>
      </x:c>
      <x:c r="H193" s="20" t="e">
        <x:f>IF(E193&lt;参数与口径!$E$6,"存量兼容Lv1","正常")&amp;IF(D193&lt;&gt;"","；当前已婚但存在离婚日期","")</x:f>
        <x:v>#NAME?</x:v>
      </x:c>
    </x:row>
    <x:row r="194" ht="17">
      <x:c r="A194" s="58">
        <x:v>192</x:v>
      </x:c>
      <x:c r="B194" s="58" t="s">
        <x:v>800</x:v>
      </x:c>
      <x:c r="C194" s="18" t="s">
        <x:v>803</x:v>
      </x:c>
      <x:c r="D194" s="18"/>
      <x:c r="E194" s="126">
        <x:v>6461</x:v>
      </x:c>
      <x:c r="F194" s="126" t="e">
        <x:f>IF(E194&lt;参数与口径!$E$6,1,MATCH(E194,等级配置!$C$4:$C$103,1))</x:f>
        <x:v>#NAME?</x:v>
      </x:c>
      <x:c r="G194" s="58" t="e">
        <x:f>INDEX(等级配置!$B$4:$B$103,F194)</x:f>
        <x:v>#NAME?</x:v>
      </x:c>
      <x:c r="H194" s="20" t="e">
        <x:f>IF(E194&lt;参数与口径!$E$6,"存量兼容Lv1","正常")&amp;IF(D194&lt;&gt;"","；当前已婚但存在离婚日期","")</x:f>
        <x:v>#NAME?</x:v>
      </x:c>
    </x:row>
    <x:row r="195" ht="17">
      <x:c r="A195" s="58">
        <x:v>193</x:v>
      </x:c>
      <x:c r="B195" s="58" t="s">
        <x:v>804</x:v>
      </x:c>
      <x:c r="C195" s="18" t="s">
        <x:v>807</x:v>
      </x:c>
      <x:c r="D195" s="18"/>
      <x:c r="E195" s="126">
        <x:v>6349</x:v>
      </x:c>
      <x:c r="F195" s="126" t="e">
        <x:f>IF(E195&lt;参数与口径!$E$6,1,MATCH(E195,等级配置!$C$4:$C$103,1))</x:f>
        <x:v>#NAME?</x:v>
      </x:c>
      <x:c r="G195" s="58" t="e">
        <x:f>INDEX(等级配置!$B$4:$B$103,F195)</x:f>
        <x:v>#NAME?</x:v>
      </x:c>
      <x:c r="H195" s="20" t="e">
        <x:f>IF(E195&lt;参数与口径!$E$6,"存量兼容Lv1","正常")&amp;IF(D195&lt;&gt;"","；当前已婚但存在离婚日期","")</x:f>
        <x:v>#NAME?</x:v>
      </x:c>
    </x:row>
    <x:row r="196" ht="17">
      <x:c r="A196" s="58">
        <x:v>194</x:v>
      </x:c>
      <x:c r="B196" s="58" t="s">
        <x:v>808</x:v>
      </x:c>
      <x:c r="C196" s="18" t="s">
        <x:v>811</x:v>
      </x:c>
      <x:c r="D196" s="18"/>
      <x:c r="E196" s="126">
        <x:v>6031</x:v>
      </x:c>
      <x:c r="F196" s="126" t="e">
        <x:f>IF(E196&lt;参数与口径!$E$6,1,MATCH(E196,等级配置!$C$4:$C$103,1))</x:f>
        <x:v>#NAME?</x:v>
      </x:c>
      <x:c r="G196" s="58" t="e">
        <x:f>INDEX(等级配置!$B$4:$B$103,F196)</x:f>
        <x:v>#NAME?</x:v>
      </x:c>
      <x:c r="H196" s="20" t="e">
        <x:f>IF(E196&lt;参数与口径!$E$6,"存量兼容Lv1","正常")&amp;IF(D196&lt;&gt;"","；当前已婚但存在离婚日期","")</x:f>
        <x:v>#NAME?</x:v>
      </x:c>
    </x:row>
    <x:row r="197" ht="17">
      <x:c r="A197" s="58">
        <x:v>195</x:v>
      </x:c>
      <x:c r="B197" s="58" t="s">
        <x:v>812</x:v>
      </x:c>
      <x:c r="C197" s="18" t="s">
        <x:v>815</x:v>
      </x:c>
      <x:c r="D197" s="18"/>
      <x:c r="E197" s="126">
        <x:v>5792</x:v>
      </x:c>
      <x:c r="F197" s="126" t="e">
        <x:f>IF(E197&lt;参数与口径!$E$6,1,MATCH(E197,等级配置!$C$4:$C$103,1))</x:f>
        <x:v>#NAME?</x:v>
      </x:c>
      <x:c r="G197" s="58" t="e">
        <x:f>INDEX(等级配置!$B$4:$B$103,F197)</x:f>
        <x:v>#NAME?</x:v>
      </x:c>
      <x:c r="H197" s="20" t="e">
        <x:f>IF(E197&lt;参数与口径!$E$6,"存量兼容Lv1","正常")&amp;IF(D197&lt;&gt;"","；当前已婚但存在离婚日期","")</x:f>
        <x:v>#NAME?</x:v>
      </x:c>
    </x:row>
    <x:row r="198" ht="17">
      <x:c r="A198" s="58">
        <x:v>196</x:v>
      </x:c>
      <x:c r="B198" s="58" t="s">
        <x:v>816</x:v>
      </x:c>
      <x:c r="C198" s="18" t="s">
        <x:v>819</x:v>
      </x:c>
      <x:c r="D198" s="18"/>
      <x:c r="E198" s="126">
        <x:v>5651</x:v>
      </x:c>
      <x:c r="F198" s="126" t="e">
        <x:f>IF(E198&lt;参数与口径!$E$6,1,MATCH(E198,等级配置!$C$4:$C$103,1))</x:f>
        <x:v>#NAME?</x:v>
      </x:c>
      <x:c r="G198" s="58" t="e">
        <x:f>INDEX(等级配置!$B$4:$B$103,F198)</x:f>
        <x:v>#NAME?</x:v>
      </x:c>
      <x:c r="H198" s="20" t="e">
        <x:f>IF(E198&lt;参数与口径!$E$6,"存量兼容Lv1","正常")&amp;IF(D198&lt;&gt;"","；当前已婚但存在离婚日期","")</x:f>
        <x:v>#NAME?</x:v>
      </x:c>
    </x:row>
    <x:row r="199" ht="17">
      <x:c r="A199" s="58">
        <x:v>197</x:v>
      </x:c>
      <x:c r="B199" s="58" t="s">
        <x:v>820</x:v>
      </x:c>
      <x:c r="C199" s="18" t="s">
        <x:v>823</x:v>
      </x:c>
      <x:c r="D199" s="18"/>
      <x:c r="E199" s="126">
        <x:v>5646</x:v>
      </x:c>
      <x:c r="F199" s="126" t="e">
        <x:f>IF(E199&lt;参数与口径!$E$6,1,MATCH(E199,等级配置!$C$4:$C$103,1))</x:f>
        <x:v>#NAME?</x:v>
      </x:c>
      <x:c r="G199" s="58" t="e">
        <x:f>INDEX(等级配置!$B$4:$B$103,F199)</x:f>
        <x:v>#NAME?</x:v>
      </x:c>
      <x:c r="H199" s="20" t="e">
        <x:f>IF(E199&lt;参数与口径!$E$6,"存量兼容Lv1","正常")&amp;IF(D199&lt;&gt;"","；当前已婚但存在离婚日期","")</x:f>
        <x:v>#NAME?</x:v>
      </x:c>
    </x:row>
    <x:row r="200" ht="17">
      <x:c r="A200" s="58">
        <x:v>198</x:v>
      </x:c>
      <x:c r="B200" s="58" t="s">
        <x:v>824</x:v>
      </x:c>
      <x:c r="C200" s="18" t="s">
        <x:v>827</x:v>
      </x:c>
      <x:c r="D200" s="18"/>
      <x:c r="E200" s="126">
        <x:v>5617</x:v>
      </x:c>
      <x:c r="F200" s="126" t="e">
        <x:f>IF(E200&lt;参数与口径!$E$6,1,MATCH(E200,等级配置!$C$4:$C$103,1))</x:f>
        <x:v>#NAME?</x:v>
      </x:c>
      <x:c r="G200" s="58" t="e">
        <x:f>INDEX(等级配置!$B$4:$B$103,F200)</x:f>
        <x:v>#NAME?</x:v>
      </x:c>
      <x:c r="H200" s="20" t="e">
        <x:f>IF(E200&lt;参数与口径!$E$6,"存量兼容Lv1","正常")&amp;IF(D200&lt;&gt;"","；当前已婚但存在离婚日期","")</x:f>
        <x:v>#NAME?</x:v>
      </x:c>
    </x:row>
    <x:row r="201" ht="17">
      <x:c r="A201" s="58">
        <x:v>199</x:v>
      </x:c>
      <x:c r="B201" s="58" t="s">
        <x:v>828</x:v>
      </x:c>
      <x:c r="C201" s="18" t="s">
        <x:v>831</x:v>
      </x:c>
      <x:c r="D201" s="18"/>
      <x:c r="E201" s="126">
        <x:v>5390</x:v>
      </x:c>
      <x:c r="F201" s="126" t="e">
        <x:f>IF(E201&lt;参数与口径!$E$6,1,MATCH(E201,等级配置!$C$4:$C$103,1))</x:f>
        <x:v>#NAME?</x:v>
      </x:c>
      <x:c r="G201" s="58" t="e">
        <x:f>INDEX(等级配置!$B$4:$B$103,F201)</x:f>
        <x:v>#NAME?</x:v>
      </x:c>
      <x:c r="H201" s="20" t="e">
        <x:f>IF(E201&lt;参数与口径!$E$6,"存量兼容Lv1","正常")&amp;IF(D201&lt;&gt;"","；当前已婚但存在离婚日期","")</x:f>
        <x:v>#NAME?</x:v>
      </x:c>
    </x:row>
    <x:row r="202" ht="17">
      <x:c r="A202" s="58">
        <x:v>200</x:v>
      </x:c>
      <x:c r="B202" s="58" t="s">
        <x:v>832</x:v>
      </x:c>
      <x:c r="C202" s="18" t="s">
        <x:v>835</x:v>
      </x:c>
      <x:c r="D202" s="18" t="s">
        <x:v>836</x:v>
      </x:c>
      <x:c r="E202" s="126">
        <x:v>5299</x:v>
      </x:c>
      <x:c r="F202" s="126" t="e">
        <x:f>IF(E202&lt;参数与口径!$E$6,1,MATCH(E202,等级配置!$C$4:$C$103,1))</x:f>
        <x:v>#NAME?</x:v>
      </x:c>
      <x:c r="G202" s="58" t="e">
        <x:f>INDEX(等级配置!$B$4:$B$103,F202)</x:f>
        <x:v>#NAME?</x:v>
      </x:c>
      <x:c r="H202" s="20" t="e">
        <x:f>IF(E202&lt;参数与口径!$E$6,"存量兼容Lv1","正常")&amp;IF(D202&lt;&gt;"","；当前已婚但存在离婚日期","")</x:f>
        <x:v>#NAME?</x:v>
      </x:c>
    </x:row>
    <x:row r="203" ht="17">
      <x:c r="A203" s="58">
        <x:v>201</x:v>
      </x:c>
      <x:c r="B203" s="58" t="s">
        <x:v>837</x:v>
      </x:c>
      <x:c r="C203" s="18" t="s">
        <x:v>840</x:v>
      </x:c>
      <x:c r="D203" s="18"/>
      <x:c r="E203" s="126">
        <x:v>4976</x:v>
      </x:c>
      <x:c r="F203" s="126" t="e">
        <x:f>IF(E203&lt;参数与口径!$E$6,1,MATCH(E203,等级配置!$C$4:$C$103,1))</x:f>
        <x:v>#NAME?</x:v>
      </x:c>
      <x:c r="G203" s="58" t="e">
        <x:f>INDEX(等级配置!$B$4:$B$103,F203)</x:f>
        <x:v>#NAME?</x:v>
      </x:c>
      <x:c r="H203" s="20" t="e">
        <x:f>IF(E203&lt;参数与口径!$E$6,"存量兼容Lv1","正常")&amp;IF(D203&lt;&gt;"","；当前已婚但存在离婚日期","")</x:f>
        <x:v>#NAME?</x:v>
      </x:c>
    </x:row>
    <x:row r="204" ht="17">
      <x:c r="A204" s="58">
        <x:v>202</x:v>
      </x:c>
      <x:c r="B204" s="58" t="s">
        <x:v>841</x:v>
      </x:c>
      <x:c r="C204" s="18" t="s">
        <x:v>844</x:v>
      </x:c>
      <x:c r="D204" s="18"/>
      <x:c r="E204" s="126">
        <x:v>4967</x:v>
      </x:c>
      <x:c r="F204" s="126" t="e">
        <x:f>IF(E204&lt;参数与口径!$E$6,1,MATCH(E204,等级配置!$C$4:$C$103,1))</x:f>
        <x:v>#NAME?</x:v>
      </x:c>
      <x:c r="G204" s="58" t="e">
        <x:f>INDEX(等级配置!$B$4:$B$103,F204)</x:f>
        <x:v>#NAME?</x:v>
      </x:c>
      <x:c r="H204" s="20" t="e">
        <x:f>IF(E204&lt;参数与口径!$E$6,"存量兼容Lv1","正常")&amp;IF(D204&lt;&gt;"","；当前已婚但存在离婚日期","")</x:f>
        <x:v>#NAME?</x:v>
      </x:c>
    </x:row>
    <x:row r="205" ht="17">
      <x:c r="A205" s="58">
        <x:v>203</x:v>
      </x:c>
      <x:c r="B205" s="58" t="s">
        <x:v>845</x:v>
      </x:c>
      <x:c r="C205" s="18" t="s">
        <x:v>848</x:v>
      </x:c>
      <x:c r="D205" s="18"/>
      <x:c r="E205" s="126">
        <x:v>4653</x:v>
      </x:c>
      <x:c r="F205" s="126" t="e">
        <x:f>IF(E205&lt;参数与口径!$E$6,1,MATCH(E205,等级配置!$C$4:$C$103,1))</x:f>
        <x:v>#NAME?</x:v>
      </x:c>
      <x:c r="G205" s="58" t="e">
        <x:f>INDEX(等级配置!$B$4:$B$103,F205)</x:f>
        <x:v>#NAME?</x:v>
      </x:c>
      <x:c r="H205" s="20" t="e">
        <x:f>IF(E205&lt;参数与口径!$E$6,"存量兼容Lv1","正常")&amp;IF(D205&lt;&gt;"","；当前已婚但存在离婚日期","")</x:f>
        <x:v>#NAME?</x:v>
      </x:c>
    </x:row>
    <x:row r="206" ht="17">
      <x:c r="A206" s="58">
        <x:v>204</x:v>
      </x:c>
      <x:c r="B206" s="58" t="s">
        <x:v>849</x:v>
      </x:c>
      <x:c r="C206" s="18" t="s">
        <x:v>852</x:v>
      </x:c>
      <x:c r="D206" s="18"/>
      <x:c r="E206" s="126">
        <x:v>4597</x:v>
      </x:c>
      <x:c r="F206" s="126" t="e">
        <x:f>IF(E206&lt;参数与口径!$E$6,1,MATCH(E206,等级配置!$C$4:$C$103,1))</x:f>
        <x:v>#NAME?</x:v>
      </x:c>
      <x:c r="G206" s="58" t="e">
        <x:f>INDEX(等级配置!$B$4:$B$103,F206)</x:f>
        <x:v>#NAME?</x:v>
      </x:c>
      <x:c r="H206" s="20" t="e">
        <x:f>IF(E206&lt;参数与口径!$E$6,"存量兼容Lv1","正常")&amp;IF(D206&lt;&gt;"","；当前已婚但存在离婚日期","")</x:f>
        <x:v>#NAME?</x:v>
      </x:c>
    </x:row>
    <x:row r="207" ht="17">
      <x:c r="A207" s="58">
        <x:v>205</x:v>
      </x:c>
      <x:c r="B207" s="58" t="s">
        <x:v>853</x:v>
      </x:c>
      <x:c r="C207" s="18" t="s">
        <x:v>856</x:v>
      </x:c>
      <x:c r="D207" s="18"/>
      <x:c r="E207" s="126">
        <x:v>4565</x:v>
      </x:c>
      <x:c r="F207" s="126" t="e">
        <x:f>IF(E207&lt;参数与口径!$E$6,1,MATCH(E207,等级配置!$C$4:$C$103,1))</x:f>
        <x:v>#NAME?</x:v>
      </x:c>
      <x:c r="G207" s="58" t="e">
        <x:f>INDEX(等级配置!$B$4:$B$103,F207)</x:f>
        <x:v>#NAME?</x:v>
      </x:c>
      <x:c r="H207" s="20" t="e">
        <x:f>IF(E207&lt;参数与口径!$E$6,"存量兼容Lv1","正常")&amp;IF(D207&lt;&gt;"","；当前已婚但存在离婚日期","")</x:f>
        <x:v>#NAME?</x:v>
      </x:c>
    </x:row>
    <x:row r="208" ht="17">
      <x:c r="A208" s="58">
        <x:v>206</x:v>
      </x:c>
      <x:c r="B208" s="58" t="s">
        <x:v>857</x:v>
      </x:c>
      <x:c r="C208" s="18" t="s">
        <x:v>860</x:v>
      </x:c>
      <x:c r="D208" s="18"/>
      <x:c r="E208" s="126">
        <x:v>4461</x:v>
      </x:c>
      <x:c r="F208" s="126" t="e">
        <x:f>IF(E208&lt;参数与口径!$E$6,1,MATCH(E208,等级配置!$C$4:$C$103,1))</x:f>
        <x:v>#NAME?</x:v>
      </x:c>
      <x:c r="G208" s="58" t="e">
        <x:f>INDEX(等级配置!$B$4:$B$103,F208)</x:f>
        <x:v>#NAME?</x:v>
      </x:c>
      <x:c r="H208" s="20" t="e">
        <x:f>IF(E208&lt;参数与口径!$E$6,"存量兼容Lv1","正常")&amp;IF(D208&lt;&gt;"","；当前已婚但存在离婚日期","")</x:f>
        <x:v>#NAME?</x:v>
      </x:c>
    </x:row>
    <x:row r="209" ht="17">
      <x:c r="A209" s="58">
        <x:v>207</x:v>
      </x:c>
      <x:c r="B209" s="58" t="s">
        <x:v>861</x:v>
      </x:c>
      <x:c r="C209" s="18" t="s">
        <x:v>864</x:v>
      </x:c>
      <x:c r="D209" s="18"/>
      <x:c r="E209" s="126">
        <x:v>4451</x:v>
      </x:c>
      <x:c r="F209" s="126" t="e">
        <x:f>IF(E209&lt;参数与口径!$E$6,1,MATCH(E209,等级配置!$C$4:$C$103,1))</x:f>
        <x:v>#NAME?</x:v>
      </x:c>
      <x:c r="G209" s="58" t="e">
        <x:f>INDEX(等级配置!$B$4:$B$103,F209)</x:f>
        <x:v>#NAME?</x:v>
      </x:c>
      <x:c r="H209" s="20" t="e">
        <x:f>IF(E209&lt;参数与口径!$E$6,"存量兼容Lv1","正常")&amp;IF(D209&lt;&gt;"","；当前已婚但存在离婚日期","")</x:f>
        <x:v>#NAME?</x:v>
      </x:c>
    </x:row>
    <x:row r="210" ht="17">
      <x:c r="A210" s="58">
        <x:v>208</x:v>
      </x:c>
      <x:c r="B210" s="58" t="s">
        <x:v>865</x:v>
      </x:c>
      <x:c r="C210" s="18" t="s">
        <x:v>868</x:v>
      </x:c>
      <x:c r="D210" s="18"/>
      <x:c r="E210" s="126">
        <x:v>4443</x:v>
      </x:c>
      <x:c r="F210" s="126" t="e">
        <x:f>IF(E210&lt;参数与口径!$E$6,1,MATCH(E210,等级配置!$C$4:$C$103,1))</x:f>
        <x:v>#NAME?</x:v>
      </x:c>
      <x:c r="G210" s="58" t="e">
        <x:f>INDEX(等级配置!$B$4:$B$103,F210)</x:f>
        <x:v>#NAME?</x:v>
      </x:c>
      <x:c r="H210" s="20" t="e">
        <x:f>IF(E210&lt;参数与口径!$E$6,"存量兼容Lv1","正常")&amp;IF(D210&lt;&gt;"","；当前已婚但存在离婚日期","")</x:f>
        <x:v>#NAME?</x:v>
      </x:c>
    </x:row>
    <x:row r="211" ht="17">
      <x:c r="A211" s="58">
        <x:v>209</x:v>
      </x:c>
      <x:c r="B211" s="58" t="s">
        <x:v>869</x:v>
      </x:c>
      <x:c r="C211" s="18" t="s">
        <x:v>872</x:v>
      </x:c>
      <x:c r="D211" s="18"/>
      <x:c r="E211" s="126">
        <x:v>4338</x:v>
      </x:c>
      <x:c r="F211" s="126" t="e">
        <x:f>IF(E211&lt;参数与口径!$E$6,1,MATCH(E211,等级配置!$C$4:$C$103,1))</x:f>
        <x:v>#NAME?</x:v>
      </x:c>
      <x:c r="G211" s="58" t="e">
        <x:f>INDEX(等级配置!$B$4:$B$103,F211)</x:f>
        <x:v>#NAME?</x:v>
      </x:c>
      <x:c r="H211" s="20" t="e">
        <x:f>IF(E211&lt;参数与口径!$E$6,"存量兼容Lv1","正常")&amp;IF(D211&lt;&gt;"","；当前已婚但存在离婚日期","")</x:f>
        <x:v>#NAME?</x:v>
      </x:c>
    </x:row>
    <x:row r="212" ht="17">
      <x:c r="A212" s="58">
        <x:v>210</x:v>
      </x:c>
      <x:c r="B212" s="58" t="s">
        <x:v>873</x:v>
      </x:c>
      <x:c r="C212" s="18" t="s">
        <x:v>876</x:v>
      </x:c>
      <x:c r="D212" s="18"/>
      <x:c r="E212" s="126">
        <x:v>4257</x:v>
      </x:c>
      <x:c r="F212" s="126" t="e">
        <x:f>IF(E212&lt;参数与口径!$E$6,1,MATCH(E212,等级配置!$C$4:$C$103,1))</x:f>
        <x:v>#NAME?</x:v>
      </x:c>
      <x:c r="G212" s="58" t="e">
        <x:f>INDEX(等级配置!$B$4:$B$103,F212)</x:f>
        <x:v>#NAME?</x:v>
      </x:c>
      <x:c r="H212" s="20" t="e">
        <x:f>IF(E212&lt;参数与口径!$E$6,"存量兼容Lv1","正常")&amp;IF(D212&lt;&gt;"","；当前已婚但存在离婚日期","")</x:f>
        <x:v>#NAME?</x:v>
      </x:c>
    </x:row>
    <x:row r="213" ht="17">
      <x:c r="A213" s="58">
        <x:v>211</x:v>
      </x:c>
      <x:c r="B213" s="58" t="s">
        <x:v>877</x:v>
      </x:c>
      <x:c r="C213" s="18" t="s">
        <x:v>880</x:v>
      </x:c>
      <x:c r="D213" s="18"/>
      <x:c r="E213" s="126">
        <x:v>4131</x:v>
      </x:c>
      <x:c r="F213" s="126" t="e">
        <x:f>IF(E213&lt;参数与口径!$E$6,1,MATCH(E213,等级配置!$C$4:$C$103,1))</x:f>
        <x:v>#NAME?</x:v>
      </x:c>
      <x:c r="G213" s="58" t="e">
        <x:f>INDEX(等级配置!$B$4:$B$103,F213)</x:f>
        <x:v>#NAME?</x:v>
      </x:c>
      <x:c r="H213" s="20" t="e">
        <x:f>IF(E213&lt;参数与口径!$E$6,"存量兼容Lv1","正常")&amp;IF(D213&lt;&gt;"","；当前已婚但存在离婚日期","")</x:f>
        <x:v>#NAME?</x:v>
      </x:c>
    </x:row>
    <x:row r="214" ht="17">
      <x:c r="A214" s="58">
        <x:v>212</x:v>
      </x:c>
      <x:c r="B214" s="58" t="s">
        <x:v>881</x:v>
      </x:c>
      <x:c r="C214" s="18" t="s">
        <x:v>884</x:v>
      </x:c>
      <x:c r="D214" s="18"/>
      <x:c r="E214" s="126">
        <x:v>3992</x:v>
      </x:c>
      <x:c r="F214" s="126" t="e">
        <x:f>IF(E214&lt;参数与口径!$E$6,1,MATCH(E214,等级配置!$C$4:$C$103,1))</x:f>
        <x:v>#NAME?</x:v>
      </x:c>
      <x:c r="G214" s="58" t="e">
        <x:f>INDEX(等级配置!$B$4:$B$103,F214)</x:f>
        <x:v>#NAME?</x:v>
      </x:c>
      <x:c r="H214" s="20" t="e">
        <x:f>IF(E214&lt;参数与口径!$E$6,"存量兼容Lv1","正常")&amp;IF(D214&lt;&gt;"","；当前已婚但存在离婚日期","")</x:f>
        <x:v>#NAME?</x:v>
      </x:c>
    </x:row>
    <x:row r="215" ht="17">
      <x:c r="A215" s="58">
        <x:v>213</x:v>
      </x:c>
      <x:c r="B215" s="58" t="s">
        <x:v>885</x:v>
      </x:c>
      <x:c r="C215" s="18" t="s">
        <x:v>888</x:v>
      </x:c>
      <x:c r="D215" s="18"/>
      <x:c r="E215" s="126">
        <x:v>3985</x:v>
      </x:c>
      <x:c r="F215" s="126" t="e">
        <x:f>IF(E215&lt;参数与口径!$E$6,1,MATCH(E215,等级配置!$C$4:$C$103,1))</x:f>
        <x:v>#NAME?</x:v>
      </x:c>
      <x:c r="G215" s="58" t="e">
        <x:f>INDEX(等级配置!$B$4:$B$103,F215)</x:f>
        <x:v>#NAME?</x:v>
      </x:c>
      <x:c r="H215" s="20" t="e">
        <x:f>IF(E215&lt;参数与口径!$E$6,"存量兼容Lv1","正常")&amp;IF(D215&lt;&gt;"","；当前已婚但存在离婚日期","")</x:f>
        <x:v>#NAME?</x:v>
      </x:c>
    </x:row>
    <x:row r="216" ht="17">
      <x:c r="A216" s="58">
        <x:v>214</x:v>
      </x:c>
      <x:c r="B216" s="58" t="s">
        <x:v>889</x:v>
      </x:c>
      <x:c r="C216" s="18" t="s">
        <x:v>892</x:v>
      </x:c>
      <x:c r="D216" s="18" t="s">
        <x:v>893</x:v>
      </x:c>
      <x:c r="E216" s="126">
        <x:v>3905</x:v>
      </x:c>
      <x:c r="F216" s="126" t="e">
        <x:f>IF(E216&lt;参数与口径!$E$6,1,MATCH(E216,等级配置!$C$4:$C$103,1))</x:f>
        <x:v>#NAME?</x:v>
      </x:c>
      <x:c r="G216" s="58" t="e">
        <x:f>INDEX(等级配置!$B$4:$B$103,F216)</x:f>
        <x:v>#NAME?</x:v>
      </x:c>
      <x:c r="H216" s="20" t="e">
        <x:f>IF(E216&lt;参数与口径!$E$6,"存量兼容Lv1","正常")&amp;IF(D216&lt;&gt;"","；当前已婚但存在离婚日期","")</x:f>
        <x:v>#NAME?</x:v>
      </x:c>
    </x:row>
    <x:row r="217" ht="17">
      <x:c r="A217" s="58">
        <x:v>215</x:v>
      </x:c>
      <x:c r="B217" s="58" t="s">
        <x:v>894</x:v>
      </x:c>
      <x:c r="C217" s="18" t="s">
        <x:v>897</x:v>
      </x:c>
      <x:c r="D217" s="18"/>
      <x:c r="E217" s="126">
        <x:v>3634</x:v>
      </x:c>
      <x:c r="F217" s="126" t="e">
        <x:f>IF(E217&lt;参数与口径!$E$6,1,MATCH(E217,等级配置!$C$4:$C$103,1))</x:f>
        <x:v>#NAME?</x:v>
      </x:c>
      <x:c r="G217" s="58" t="e">
        <x:f>INDEX(等级配置!$B$4:$B$103,F217)</x:f>
        <x:v>#NAME?</x:v>
      </x:c>
      <x:c r="H217" s="20" t="e">
        <x:f>IF(E217&lt;参数与口径!$E$6,"存量兼容Lv1","正常")&amp;IF(D217&lt;&gt;"","；当前已婚但存在离婚日期","")</x:f>
        <x:v>#NAME?</x:v>
      </x:c>
    </x:row>
    <x:row r="218" ht="17">
      <x:c r="A218" s="58">
        <x:v>216</x:v>
      </x:c>
      <x:c r="B218" s="58" t="s">
        <x:v>898</x:v>
      </x:c>
      <x:c r="C218" s="18" t="s">
        <x:v>901</x:v>
      </x:c>
      <x:c r="D218" s="18"/>
      <x:c r="E218" s="126">
        <x:v>3596</x:v>
      </x:c>
      <x:c r="F218" s="126" t="e">
        <x:f>IF(E218&lt;参数与口径!$E$6,1,MATCH(E218,等级配置!$C$4:$C$103,1))</x:f>
        <x:v>#NAME?</x:v>
      </x:c>
      <x:c r="G218" s="58" t="e">
        <x:f>INDEX(等级配置!$B$4:$B$103,F218)</x:f>
        <x:v>#NAME?</x:v>
      </x:c>
      <x:c r="H218" s="20" t="e">
        <x:f>IF(E218&lt;参数与口径!$E$6,"存量兼容Lv1","正常")&amp;IF(D218&lt;&gt;"","；当前已婚但存在离婚日期","")</x:f>
        <x:v>#NAME?</x:v>
      </x:c>
    </x:row>
    <x:row r="219" ht="17">
      <x:c r="A219" s="58">
        <x:v>217</x:v>
      </x:c>
      <x:c r="B219" s="58" t="s">
        <x:v>902</x:v>
      </x:c>
      <x:c r="C219" s="18" t="s">
        <x:v>905</x:v>
      </x:c>
      <x:c r="D219" s="18"/>
      <x:c r="E219" s="126">
        <x:v>3322</x:v>
      </x:c>
      <x:c r="F219" s="126" t="e">
        <x:f>IF(E219&lt;参数与口径!$E$6,1,MATCH(E219,等级配置!$C$4:$C$103,1))</x:f>
        <x:v>#NAME?</x:v>
      </x:c>
      <x:c r="G219" s="58" t="e">
        <x:f>INDEX(等级配置!$B$4:$B$103,F219)</x:f>
        <x:v>#NAME?</x:v>
      </x:c>
      <x:c r="H219" s="20" t="e">
        <x:f>IF(E219&lt;参数与口径!$E$6,"存量兼容Lv1","正常")&amp;IF(D219&lt;&gt;"","；当前已婚但存在离婚日期","")</x:f>
        <x:v>#NAME?</x:v>
      </x:c>
    </x:row>
    <x:row r="220" ht="17">
      <x:c r="A220" s="58">
        <x:v>218</x:v>
      </x:c>
      <x:c r="B220" s="58" t="s">
        <x:v>906</x:v>
      </x:c>
      <x:c r="C220" s="18" t="s">
        <x:v>909</x:v>
      </x:c>
      <x:c r="D220" s="18"/>
      <x:c r="E220" s="126">
        <x:v>3305</x:v>
      </x:c>
      <x:c r="F220" s="126" t="e">
        <x:f>IF(E220&lt;参数与口径!$E$6,1,MATCH(E220,等级配置!$C$4:$C$103,1))</x:f>
        <x:v>#NAME?</x:v>
      </x:c>
      <x:c r="G220" s="58" t="e">
        <x:f>INDEX(等级配置!$B$4:$B$103,F220)</x:f>
        <x:v>#NAME?</x:v>
      </x:c>
      <x:c r="H220" s="20" t="e">
        <x:f>IF(E220&lt;参数与口径!$E$6,"存量兼容Lv1","正常")&amp;IF(D220&lt;&gt;"","；当前已婚但存在离婚日期","")</x:f>
        <x:v>#NAME?</x:v>
      </x:c>
    </x:row>
    <x:row r="221" ht="17">
      <x:c r="A221" s="58">
        <x:v>219</x:v>
      </x:c>
      <x:c r="B221" s="58" t="s">
        <x:v>910</x:v>
      </x:c>
      <x:c r="C221" s="18" t="s">
        <x:v>913</x:v>
      </x:c>
      <x:c r="D221" s="18"/>
      <x:c r="E221" s="126">
        <x:v>3185</x:v>
      </x:c>
      <x:c r="F221" s="126" t="e">
        <x:f>IF(E221&lt;参数与口径!$E$6,1,MATCH(E221,等级配置!$C$4:$C$103,1))</x:f>
        <x:v>#NAME?</x:v>
      </x:c>
      <x:c r="G221" s="58" t="e">
        <x:f>INDEX(等级配置!$B$4:$B$103,F221)</x:f>
        <x:v>#NAME?</x:v>
      </x:c>
      <x:c r="H221" s="20" t="e">
        <x:f>IF(E221&lt;参数与口径!$E$6,"存量兼容Lv1","正常")&amp;IF(D221&lt;&gt;"","；当前已婚但存在离婚日期","")</x:f>
        <x:v>#NAME?</x:v>
      </x:c>
    </x:row>
    <x:row r="222" ht="17">
      <x:c r="A222" s="58">
        <x:v>220</x:v>
      </x:c>
      <x:c r="B222" s="58" t="s">
        <x:v>914</x:v>
      </x:c>
      <x:c r="C222" s="18" t="s">
        <x:v>917</x:v>
      </x:c>
      <x:c r="D222" s="18"/>
      <x:c r="E222" s="126">
        <x:v>3106</x:v>
      </x:c>
      <x:c r="F222" s="126" t="e">
        <x:f>IF(E222&lt;参数与口径!$E$6,1,MATCH(E222,等级配置!$C$4:$C$103,1))</x:f>
        <x:v>#NAME?</x:v>
      </x:c>
      <x:c r="G222" s="58" t="e">
        <x:f>INDEX(等级配置!$B$4:$B$103,F222)</x:f>
        <x:v>#NAME?</x:v>
      </x:c>
      <x:c r="H222" s="20" t="e">
        <x:f>IF(E222&lt;参数与口径!$E$6,"存量兼容Lv1","正常")&amp;IF(D222&lt;&gt;"","；当前已婚但存在离婚日期","")</x:f>
        <x:v>#NAME?</x:v>
      </x:c>
    </x:row>
    <x:row r="223" ht="17">
      <x:c r="A223" s="58">
        <x:v>221</x:v>
      </x:c>
      <x:c r="B223" s="58" t="s">
        <x:v>918</x:v>
      </x:c>
      <x:c r="C223" s="18" t="s">
        <x:v>921</x:v>
      </x:c>
      <x:c r="D223" s="18"/>
      <x:c r="E223" s="126">
        <x:v>3073</x:v>
      </x:c>
      <x:c r="F223" s="126" t="e">
        <x:f>IF(E223&lt;参数与口径!$E$6,1,MATCH(E223,等级配置!$C$4:$C$103,1))</x:f>
        <x:v>#NAME?</x:v>
      </x:c>
      <x:c r="G223" s="58" t="e">
        <x:f>INDEX(等级配置!$B$4:$B$103,F223)</x:f>
        <x:v>#NAME?</x:v>
      </x:c>
      <x:c r="H223" s="20" t="e">
        <x:f>IF(E223&lt;参数与口径!$E$6,"存量兼容Lv1","正常")&amp;IF(D223&lt;&gt;"","；当前已婚但存在离婚日期","")</x:f>
        <x:v>#NAME?</x:v>
      </x:c>
    </x:row>
    <x:row r="224" ht="17">
      <x:c r="A224" s="58">
        <x:v>222</x:v>
      </x:c>
      <x:c r="B224" s="58" t="s">
        <x:v>922</x:v>
      </x:c>
      <x:c r="C224" s="18" t="s">
        <x:v>925</x:v>
      </x:c>
      <x:c r="D224" s="18" t="s">
        <x:v>926</x:v>
      </x:c>
      <x:c r="E224" s="126">
        <x:v>2933</x:v>
      </x:c>
      <x:c r="F224" s="126" t="e">
        <x:f>IF(E224&lt;参数与口径!$E$6,1,MATCH(E224,等级配置!$C$4:$C$103,1))</x:f>
        <x:v>#NAME?</x:v>
      </x:c>
      <x:c r="G224" s="58" t="e">
        <x:f>INDEX(等级配置!$B$4:$B$103,F224)</x:f>
        <x:v>#NAME?</x:v>
      </x:c>
      <x:c r="H224" s="20" t="e">
        <x:f>IF(E224&lt;参数与口径!$E$6,"存量兼容Lv1","正常")&amp;IF(D224&lt;&gt;"","；当前已婚但存在离婚日期","")</x:f>
        <x:v>#NAME?</x:v>
      </x:c>
    </x:row>
    <x:row r="225" ht="17">
      <x:c r="A225" s="58">
        <x:v>223</x:v>
      </x:c>
      <x:c r="B225" s="58" t="s">
        <x:v>927</x:v>
      </x:c>
      <x:c r="C225" s="18" t="s">
        <x:v>930</x:v>
      </x:c>
      <x:c r="D225" s="18"/>
      <x:c r="E225" s="126">
        <x:v>2673</x:v>
      </x:c>
      <x:c r="F225" s="126" t="e">
        <x:f>IF(E225&lt;参数与口径!$E$6,1,MATCH(E225,等级配置!$C$4:$C$103,1))</x:f>
        <x:v>#NAME?</x:v>
      </x:c>
      <x:c r="G225" s="58" t="e">
        <x:f>INDEX(等级配置!$B$4:$B$103,F225)</x:f>
        <x:v>#NAME?</x:v>
      </x:c>
      <x:c r="H225" s="20" t="e">
        <x:f>IF(E225&lt;参数与口径!$E$6,"存量兼容Lv1","正常")&amp;IF(D225&lt;&gt;"","；当前已婚但存在离婚日期","")</x:f>
        <x:v>#NAME?</x:v>
      </x:c>
    </x:row>
    <x:row r="226" ht="17">
      <x:c r="A226" s="58">
        <x:v>224</x:v>
      </x:c>
      <x:c r="B226" s="58" t="s">
        <x:v>931</x:v>
      </x:c>
      <x:c r="C226" s="18" t="s">
        <x:v>934</x:v>
      </x:c>
      <x:c r="D226" s="18"/>
      <x:c r="E226" s="126">
        <x:v>2648</x:v>
      </x:c>
      <x:c r="F226" s="126" t="e">
        <x:f>IF(E226&lt;参数与口径!$E$6,1,MATCH(E226,等级配置!$C$4:$C$103,1))</x:f>
        <x:v>#NAME?</x:v>
      </x:c>
      <x:c r="G226" s="58" t="e">
        <x:f>INDEX(等级配置!$B$4:$B$103,F226)</x:f>
        <x:v>#NAME?</x:v>
      </x:c>
      <x:c r="H226" s="20" t="e">
        <x:f>IF(E226&lt;参数与口径!$E$6,"存量兼容Lv1","正常")&amp;IF(D226&lt;&gt;"","；当前已婚但存在离婚日期","")</x:f>
        <x:v>#NAME?</x:v>
      </x:c>
    </x:row>
    <x:row r="227" ht="17">
      <x:c r="A227" s="58">
        <x:v>225</x:v>
      </x:c>
      <x:c r="B227" s="58" t="s">
        <x:v>935</x:v>
      </x:c>
      <x:c r="C227" s="18" t="s">
        <x:v>938</x:v>
      </x:c>
      <x:c r="D227" s="18"/>
      <x:c r="E227" s="126">
        <x:v>2647</x:v>
      </x:c>
      <x:c r="F227" s="126" t="e">
        <x:f>IF(E227&lt;参数与口径!$E$6,1,MATCH(E227,等级配置!$C$4:$C$103,1))</x:f>
        <x:v>#NAME?</x:v>
      </x:c>
      <x:c r="G227" s="58" t="e">
        <x:f>INDEX(等级配置!$B$4:$B$103,F227)</x:f>
        <x:v>#NAME?</x:v>
      </x:c>
      <x:c r="H227" s="20" t="e">
        <x:f>IF(E227&lt;参数与口径!$E$6,"存量兼容Lv1","正常")&amp;IF(D227&lt;&gt;"","；当前已婚但存在离婚日期","")</x:f>
        <x:v>#NAME?</x:v>
      </x:c>
    </x:row>
    <x:row r="228" ht="17">
      <x:c r="A228" s="58">
        <x:v>226</x:v>
      </x:c>
      <x:c r="B228" s="58" t="s">
        <x:v>939</x:v>
      </x:c>
      <x:c r="C228" s="18" t="s">
        <x:v>942</x:v>
      </x:c>
      <x:c r="D228" s="18"/>
      <x:c r="E228" s="126">
        <x:v>2618</x:v>
      </x:c>
      <x:c r="F228" s="126" t="e">
        <x:f>IF(E228&lt;参数与口径!$E$6,1,MATCH(E228,等级配置!$C$4:$C$103,1))</x:f>
        <x:v>#NAME?</x:v>
      </x:c>
      <x:c r="G228" s="58" t="e">
        <x:f>INDEX(等级配置!$B$4:$B$103,F228)</x:f>
        <x:v>#NAME?</x:v>
      </x:c>
      <x:c r="H228" s="20" t="e">
        <x:f>IF(E228&lt;参数与口径!$E$6,"存量兼容Lv1","正常")&amp;IF(D228&lt;&gt;"","；当前已婚但存在离婚日期","")</x:f>
        <x:v>#NAME?</x:v>
      </x:c>
    </x:row>
    <x:row r="229" ht="17">
      <x:c r="A229" s="58">
        <x:v>227</x:v>
      </x:c>
      <x:c r="B229" s="58" t="s">
        <x:v>943</x:v>
      </x:c>
      <x:c r="C229" s="18" t="s">
        <x:v>946</x:v>
      </x:c>
      <x:c r="D229" s="18"/>
      <x:c r="E229" s="126">
        <x:v>2580</x:v>
      </x:c>
      <x:c r="F229" s="126" t="e">
        <x:f>IF(E229&lt;参数与口径!$E$6,1,MATCH(E229,等级配置!$C$4:$C$103,1))</x:f>
        <x:v>#NAME?</x:v>
      </x:c>
      <x:c r="G229" s="58" t="e">
        <x:f>INDEX(等级配置!$B$4:$B$103,F229)</x:f>
        <x:v>#NAME?</x:v>
      </x:c>
      <x:c r="H229" s="20" t="e">
        <x:f>IF(E229&lt;参数与口径!$E$6,"存量兼容Lv1","正常")&amp;IF(D229&lt;&gt;"","；当前已婚但存在离婚日期","")</x:f>
        <x:v>#NAME?</x:v>
      </x:c>
    </x:row>
    <x:row r="230" ht="17">
      <x:c r="A230" s="58">
        <x:v>228</x:v>
      </x:c>
      <x:c r="B230" s="58" t="s">
        <x:v>947</x:v>
      </x:c>
      <x:c r="C230" s="18" t="s">
        <x:v>950</x:v>
      </x:c>
      <x:c r="D230" s="18"/>
      <x:c r="E230" s="126">
        <x:v>2484</x:v>
      </x:c>
      <x:c r="F230" s="126" t="e">
        <x:f>IF(E230&lt;参数与口径!$E$6,1,MATCH(E230,等级配置!$C$4:$C$103,1))</x:f>
        <x:v>#NAME?</x:v>
      </x:c>
      <x:c r="G230" s="58" t="e">
        <x:f>INDEX(等级配置!$B$4:$B$103,F230)</x:f>
        <x:v>#NAME?</x:v>
      </x:c>
      <x:c r="H230" s="20" t="e">
        <x:f>IF(E230&lt;参数与口径!$E$6,"存量兼容Lv1","正常")&amp;IF(D230&lt;&gt;"","；当前已婚但存在离婚日期","")</x:f>
        <x:v>#NAME?</x:v>
      </x:c>
    </x:row>
    <x:row r="231" ht="17">
      <x:c r="A231" s="58">
        <x:v>229</x:v>
      </x:c>
      <x:c r="B231" s="58" t="s">
        <x:v>951</x:v>
      </x:c>
      <x:c r="C231" s="18" t="s">
        <x:v>954</x:v>
      </x:c>
      <x:c r="D231" s="18"/>
      <x:c r="E231" s="126">
        <x:v>2237</x:v>
      </x:c>
      <x:c r="F231" s="126" t="e">
        <x:f>IF(E231&lt;参数与口径!$E$6,1,MATCH(E231,等级配置!$C$4:$C$103,1))</x:f>
        <x:v>#NAME?</x:v>
      </x:c>
      <x:c r="G231" s="58" t="e">
        <x:f>INDEX(等级配置!$B$4:$B$103,F231)</x:f>
        <x:v>#NAME?</x:v>
      </x:c>
      <x:c r="H231" s="20" t="e">
        <x:f>IF(E231&lt;参数与口径!$E$6,"存量兼容Lv1","正常")&amp;IF(D231&lt;&gt;"","；当前已婚但存在离婚日期","")</x:f>
        <x:v>#NAME?</x:v>
      </x:c>
    </x:row>
    <x:row r="232" ht="17">
      <x:c r="A232" s="58">
        <x:v>230</x:v>
      </x:c>
      <x:c r="B232" s="58" t="s">
        <x:v>955</x:v>
      </x:c>
      <x:c r="C232" s="18" t="s">
        <x:v>958</x:v>
      </x:c>
      <x:c r="D232" s="18"/>
      <x:c r="E232" s="126">
        <x:v>2236</x:v>
      </x:c>
      <x:c r="F232" s="126" t="e">
        <x:f>IF(E232&lt;参数与口径!$E$6,1,MATCH(E232,等级配置!$C$4:$C$103,1))</x:f>
        <x:v>#NAME?</x:v>
      </x:c>
      <x:c r="G232" s="58" t="e">
        <x:f>INDEX(等级配置!$B$4:$B$103,F232)</x:f>
        <x:v>#NAME?</x:v>
      </x:c>
      <x:c r="H232" s="20" t="e">
        <x:f>IF(E232&lt;参数与口径!$E$6,"存量兼容Lv1","正常")&amp;IF(D232&lt;&gt;"","；当前已婚但存在离婚日期","")</x:f>
        <x:v>#NAME?</x:v>
      </x:c>
    </x:row>
    <x:row r="233" ht="17">
      <x:c r="A233" s="58">
        <x:v>231</x:v>
      </x:c>
      <x:c r="B233" s="58" t="s">
        <x:v>959</x:v>
      </x:c>
      <x:c r="C233" s="18" t="s">
        <x:v>962</x:v>
      </x:c>
      <x:c r="D233" s="18"/>
      <x:c r="E233" s="126">
        <x:v>2233</x:v>
      </x:c>
      <x:c r="F233" s="126" t="e">
        <x:f>IF(E233&lt;参数与口径!$E$6,1,MATCH(E233,等级配置!$C$4:$C$103,1))</x:f>
        <x:v>#NAME?</x:v>
      </x:c>
      <x:c r="G233" s="58" t="e">
        <x:f>INDEX(等级配置!$B$4:$B$103,F233)</x:f>
        <x:v>#NAME?</x:v>
      </x:c>
      <x:c r="H233" s="20" t="e">
        <x:f>IF(E233&lt;参数与口径!$E$6,"存量兼容Lv1","正常")&amp;IF(D233&lt;&gt;"","；当前已婚但存在离婚日期","")</x:f>
        <x:v>#NAME?</x:v>
      </x:c>
    </x:row>
    <x:row r="234" ht="17">
      <x:c r="A234" s="58">
        <x:v>232</x:v>
      </x:c>
      <x:c r="B234" s="58" t="s">
        <x:v>963</x:v>
      </x:c>
      <x:c r="C234" s="18" t="s">
        <x:v>966</x:v>
      </x:c>
      <x:c r="D234" s="18"/>
      <x:c r="E234" s="126">
        <x:v>2167</x:v>
      </x:c>
      <x:c r="F234" s="126" t="e">
        <x:f>IF(E234&lt;参数与口径!$E$6,1,MATCH(E234,等级配置!$C$4:$C$103,1))</x:f>
        <x:v>#NAME?</x:v>
      </x:c>
      <x:c r="G234" s="58" t="e">
        <x:f>INDEX(等级配置!$B$4:$B$103,F234)</x:f>
        <x:v>#NAME?</x:v>
      </x:c>
      <x:c r="H234" s="20" t="e">
        <x:f>IF(E234&lt;参数与口径!$E$6,"存量兼容Lv1","正常")&amp;IF(D234&lt;&gt;"","；当前已婚但存在离婚日期","")</x:f>
        <x:v>#NAME?</x:v>
      </x:c>
    </x:row>
    <x:row r="235" ht="17">
      <x:c r="A235" s="58">
        <x:v>233</x:v>
      </x:c>
      <x:c r="B235" s="58" t="s">
        <x:v>967</x:v>
      </x:c>
      <x:c r="C235" s="18" t="s">
        <x:v>970</x:v>
      </x:c>
      <x:c r="D235" s="18"/>
      <x:c r="E235" s="126">
        <x:v>2154</x:v>
      </x:c>
      <x:c r="F235" s="126" t="e">
        <x:f>IF(E235&lt;参数与口径!$E$6,1,MATCH(E235,等级配置!$C$4:$C$103,1))</x:f>
        <x:v>#NAME?</x:v>
      </x:c>
      <x:c r="G235" s="58" t="e">
        <x:f>INDEX(等级配置!$B$4:$B$103,F235)</x:f>
        <x:v>#NAME?</x:v>
      </x:c>
      <x:c r="H235" s="20" t="e">
        <x:f>IF(E235&lt;参数与口径!$E$6,"存量兼容Lv1","正常")&amp;IF(D235&lt;&gt;"","；当前已婚但存在离婚日期","")</x:f>
        <x:v>#NAME?</x:v>
      </x:c>
    </x:row>
    <x:row r="236" ht="17">
      <x:c r="A236" s="58">
        <x:v>234</x:v>
      </x:c>
      <x:c r="B236" s="58" t="s">
        <x:v>971</x:v>
      </x:c>
      <x:c r="C236" s="18" t="s">
        <x:v>974</x:v>
      </x:c>
      <x:c r="D236" s="18"/>
      <x:c r="E236" s="126">
        <x:v>2152</x:v>
      </x:c>
      <x:c r="F236" s="126" t="e">
        <x:f>IF(E236&lt;参数与口径!$E$6,1,MATCH(E236,等级配置!$C$4:$C$103,1))</x:f>
        <x:v>#NAME?</x:v>
      </x:c>
      <x:c r="G236" s="58" t="e">
        <x:f>INDEX(等级配置!$B$4:$B$103,F236)</x:f>
        <x:v>#NAME?</x:v>
      </x:c>
      <x:c r="H236" s="20" t="e">
        <x:f>IF(E236&lt;参数与口径!$E$6,"存量兼容Lv1","正常")&amp;IF(D236&lt;&gt;"","；当前已婚但存在离婚日期","")</x:f>
        <x:v>#NAME?</x:v>
      </x:c>
    </x:row>
    <x:row r="237" ht="17">
      <x:c r="A237" s="58">
        <x:v>235</x:v>
      </x:c>
      <x:c r="B237" s="58" t="s">
        <x:v>975</x:v>
      </x:c>
      <x:c r="C237" s="18" t="s">
        <x:v>978</x:v>
      </x:c>
      <x:c r="D237" s="18"/>
      <x:c r="E237" s="126">
        <x:v>2086</x:v>
      </x:c>
      <x:c r="F237" s="126" t="e">
        <x:f>IF(E237&lt;参数与口径!$E$6,1,MATCH(E237,等级配置!$C$4:$C$103,1))</x:f>
        <x:v>#NAME?</x:v>
      </x:c>
      <x:c r="G237" s="58" t="e">
        <x:f>INDEX(等级配置!$B$4:$B$103,F237)</x:f>
        <x:v>#NAME?</x:v>
      </x:c>
      <x:c r="H237" s="20" t="e">
        <x:f>IF(E237&lt;参数与口径!$E$6,"存量兼容Lv1","正常")&amp;IF(D237&lt;&gt;"","；当前已婚但存在离婚日期","")</x:f>
        <x:v>#NAME?</x:v>
      </x:c>
    </x:row>
    <x:row r="238" ht="17">
      <x:c r="A238" s="58">
        <x:v>236</x:v>
      </x:c>
      <x:c r="B238" s="58" t="s">
        <x:v>979</x:v>
      </x:c>
      <x:c r="C238" s="18" t="s">
        <x:v>982</x:v>
      </x:c>
      <x:c r="D238" s="18"/>
      <x:c r="E238" s="126">
        <x:v>1703</x:v>
      </x:c>
      <x:c r="F238" s="126" t="e">
        <x:f>IF(E238&lt;参数与口径!$E$6,1,MATCH(E238,等级配置!$C$4:$C$103,1))</x:f>
        <x:v>#NAME?</x:v>
      </x:c>
      <x:c r="G238" s="58" t="e">
        <x:f>INDEX(等级配置!$B$4:$B$103,F238)</x:f>
        <x:v>#NAME?</x:v>
      </x:c>
      <x:c r="H238" s="20" t="e">
        <x:f>IF(E238&lt;参数与口径!$E$6,"存量兼容Lv1","正常")&amp;IF(D238&lt;&gt;"","；当前已婚但存在离婚日期","")</x:f>
        <x:v>#NAME?</x:v>
      </x:c>
    </x:row>
    <x:row r="239" ht="17">
      <x:c r="A239" s="58">
        <x:v>237</x:v>
      </x:c>
      <x:c r="B239" s="58" t="s">
        <x:v>983</x:v>
      </x:c>
      <x:c r="C239" s="18" t="s">
        <x:v>986</x:v>
      </x:c>
      <x:c r="D239" s="18"/>
      <x:c r="E239" s="126">
        <x:v>1497</x:v>
      </x:c>
      <x:c r="F239" s="126" t="e">
        <x:f>IF(E239&lt;参数与口径!$E$6,1,MATCH(E239,等级配置!$C$4:$C$103,1))</x:f>
        <x:v>#NAME?</x:v>
      </x:c>
      <x:c r="G239" s="58" t="e">
        <x:f>INDEX(等级配置!$B$4:$B$103,F239)</x:f>
        <x:v>#NAME?</x:v>
      </x:c>
      <x:c r="H239" s="20" t="e">
        <x:f>IF(E239&lt;参数与口径!$E$6,"存量兼容Lv1","正常")&amp;IF(D239&lt;&gt;"","；当前已婚但存在离婚日期","")</x:f>
        <x:v>#NAME?</x:v>
      </x:c>
    </x:row>
    <x:row r="240" ht="17">
      <x:c r="A240" s="58">
        <x:v>238</x:v>
      </x:c>
      <x:c r="B240" s="58" t="s">
        <x:v>987</x:v>
      </x:c>
      <x:c r="C240" s="18" t="s">
        <x:v>990</x:v>
      </x:c>
      <x:c r="D240" s="18" t="s">
        <x:v>991</x:v>
      </x:c>
      <x:c r="E240" s="126">
        <x:v>1201</x:v>
      </x:c>
      <x:c r="F240" s="126" t="e">
        <x:f>IF(E240&lt;参数与口径!$E$6,1,MATCH(E240,等级配置!$C$4:$C$103,1))</x:f>
        <x:v>#NAME?</x:v>
      </x:c>
      <x:c r="G240" s="58" t="e">
        <x:f>INDEX(等级配置!$B$4:$B$103,F240)</x:f>
        <x:v>#NAME?</x:v>
      </x:c>
      <x:c r="H240" s="20" t="e">
        <x:f>IF(E240&lt;参数与口径!$E$6,"存量兼容Lv1","正常")&amp;IF(D240&lt;&gt;"","；当前已婚但存在离婚日期","")</x:f>
        <x:v>#NAME?</x:v>
      </x:c>
    </x:row>
    <x:row r="241" ht="17">
      <x:c r="A241" s="58">
        <x:v>239</x:v>
      </x:c>
      <x:c r="B241" s="58" t="s">
        <x:v>992</x:v>
      </x:c>
      <x:c r="C241" s="18" t="s">
        <x:v>995</x:v>
      </x:c>
      <x:c r="D241" s="18"/>
      <x:c r="E241" s="126">
        <x:v>1087</x:v>
      </x:c>
      <x:c r="F241" s="126" t="e">
        <x:f>IF(E241&lt;参数与口径!$E$6,1,MATCH(E241,等级配置!$C$4:$C$103,1))</x:f>
        <x:v>#NAME?</x:v>
      </x:c>
      <x:c r="G241" s="58" t="e">
        <x:f>INDEX(等级配置!$B$4:$B$103,F241)</x:f>
        <x:v>#NAME?</x:v>
      </x:c>
      <x:c r="H241" s="20" t="e">
        <x:f>IF(E241&lt;参数与口径!$E$6,"存量兼容Lv1","正常")&amp;IF(D241&lt;&gt;"","；当前已婚但存在离婚日期","")</x:f>
        <x:v>#NAME?</x:v>
      </x:c>
    </x:row>
    <x:row r="242" ht="17">
      <x:c r="A242" s="58">
        <x:v>240</x:v>
      </x:c>
      <x:c r="B242" s="58" t="s">
        <x:v>996</x:v>
      </x:c>
      <x:c r="C242" s="18" t="s">
        <x:v>999</x:v>
      </x:c>
      <x:c r="D242" s="18"/>
      <x:c r="E242" s="126">
        <x:v>985</x:v>
      </x:c>
      <x:c r="F242" s="126" t="e">
        <x:f>IF(E242&lt;参数与口径!$E$6,1,MATCH(E242,等级配置!$C$4:$C$103,1))</x:f>
        <x:v>#NAME?</x:v>
      </x:c>
      <x:c r="G242" s="58" t="e">
        <x:f>INDEX(等级配置!$B$4:$B$103,F242)</x:f>
        <x:v>#NAME?</x:v>
      </x:c>
      <x:c r="H242" s="20" t="e">
        <x:f>IF(E242&lt;参数与口径!$E$6,"存量兼容Lv1","正常")&amp;IF(D242&lt;&gt;"","；当前已婚但存在离婚日期","")</x:f>
        <x:v>#NAME?</x:v>
      </x:c>
    </x:row>
    <x:row r="243" ht="17">
      <x:c r="A243" s="58">
        <x:v>241</x:v>
      </x:c>
      <x:c r="B243" s="58" t="s">
        <x:v>1000</x:v>
      </x:c>
      <x:c r="C243" s="18" t="s">
        <x:v>1003</x:v>
      </x:c>
      <x:c r="D243" s="18"/>
      <x:c r="E243" s="126">
        <x:v>956</x:v>
      </x:c>
      <x:c r="F243" s="126" t="e">
        <x:f>IF(E243&lt;参数与口径!$E$6,1,MATCH(E243,等级配置!$C$4:$C$103,1))</x:f>
        <x:v>#NAME?</x:v>
      </x:c>
      <x:c r="G243" s="58" t="e">
        <x:f>INDEX(等级配置!$B$4:$B$103,F243)</x:f>
        <x:v>#NAME?</x:v>
      </x:c>
      <x:c r="H243" s="20" t="e">
        <x:f>IF(E243&lt;参数与口径!$E$6,"存量兼容Lv1","正常")&amp;IF(D243&lt;&gt;"","；当前已婚但存在离婚日期","")</x:f>
        <x:v>#NAME?</x:v>
      </x:c>
    </x:row>
    <x:row r="244" ht="17">
      <x:c r="A244" s="58">
        <x:v>242</x:v>
      </x:c>
      <x:c r="B244" s="58" t="s">
        <x:v>1004</x:v>
      </x:c>
      <x:c r="C244" s="18" t="s">
        <x:v>1007</x:v>
      </x:c>
      <x:c r="D244" s="18"/>
      <x:c r="E244" s="126">
        <x:v>947</x:v>
      </x:c>
      <x:c r="F244" s="126" t="e">
        <x:f>IF(E244&lt;参数与口径!$E$6,1,MATCH(E244,等级配置!$C$4:$C$103,1))</x:f>
        <x:v>#NAME?</x:v>
      </x:c>
      <x:c r="G244" s="58" t="e">
        <x:f>INDEX(等级配置!$B$4:$B$103,F244)</x:f>
        <x:v>#NAME?</x:v>
      </x:c>
      <x:c r="H244" s="20" t="e">
        <x:f>IF(E244&lt;参数与口径!$E$6,"存量兼容Lv1","正常")&amp;IF(D244&lt;&gt;"","；当前已婚但存在离婚日期","")</x:f>
        <x:v>#NAME?</x:v>
      </x:c>
    </x:row>
    <x:row r="245" ht="17">
      <x:c r="A245" s="58">
        <x:v>243</x:v>
      </x:c>
      <x:c r="B245" s="58" t="s">
        <x:v>1008</x:v>
      </x:c>
      <x:c r="C245" s="18" t="s">
        <x:v>1011</x:v>
      </x:c>
      <x:c r="D245" s="18"/>
      <x:c r="E245" s="126">
        <x:v>588</x:v>
      </x:c>
      <x:c r="F245" s="126" t="e">
        <x:f>IF(E245&lt;参数与口径!$E$6,1,MATCH(E245,等级配置!$C$4:$C$103,1))</x:f>
        <x:v>#NAME?</x:v>
      </x:c>
      <x:c r="G245" s="58" t="e">
        <x:f>INDEX(等级配置!$B$4:$B$103,F245)</x:f>
        <x:v>#NAME?</x:v>
      </x:c>
      <x:c r="H245" s="20" t="e">
        <x:f>IF(E245&lt;参数与口径!$E$6,"存量兼容Lv1","正常")&amp;IF(D245&lt;&gt;"","；当前已婚但存在离婚日期","")</x:f>
        <x:v>#NAME?</x:v>
      </x:c>
    </x:row>
    <x:row r="246" ht="17">
      <x:c r="A246" s="58">
        <x:v>244</x:v>
      </x:c>
      <x:c r="B246" s="58" t="s">
        <x:v>1012</x:v>
      </x:c>
      <x:c r="C246" s="18" t="s">
        <x:v>1015</x:v>
      </x:c>
      <x:c r="D246" s="18"/>
      <x:c r="E246" s="126">
        <x:v>585</x:v>
      </x:c>
      <x:c r="F246" s="126" t="e">
        <x:f>IF(E246&lt;参数与口径!$E$6,1,MATCH(E246,等级配置!$C$4:$C$103,1))</x:f>
        <x:v>#NAME?</x:v>
      </x:c>
      <x:c r="G246" s="58" t="e">
        <x:f>INDEX(等级配置!$B$4:$B$103,F246)</x:f>
        <x:v>#NAME?</x:v>
      </x:c>
      <x:c r="H246" s="20" t="e">
        <x:f>IF(E246&lt;参数与口径!$E$6,"存量兼容Lv1","正常")&amp;IF(D246&lt;&gt;"","；当前已婚但存在离婚日期","")</x:f>
        <x:v>#NAME?</x:v>
      </x:c>
    </x:row>
    <x:row r="247" ht="17">
      <x:c r="A247" s="58">
        <x:v>245</x:v>
      </x:c>
      <x:c r="B247" s="58" t="s">
        <x:v>1016</x:v>
      </x:c>
      <x:c r="C247" s="18" t="s">
        <x:v>1019</x:v>
      </x:c>
      <x:c r="D247" s="18"/>
      <x:c r="E247" s="126">
        <x:v>534</x:v>
      </x:c>
      <x:c r="F247" s="126" t="e">
        <x:f>IF(E247&lt;参数与口径!$E$6,1,MATCH(E247,等级配置!$C$4:$C$103,1))</x:f>
        <x:v>#NAME?</x:v>
      </x:c>
      <x:c r="G247" s="58" t="e">
        <x:f>INDEX(等级配置!$B$4:$B$103,F247)</x:f>
        <x:v>#NAME?</x:v>
      </x:c>
      <x:c r="H247" s="20" t="e">
        <x:f>IF(E247&lt;参数与口径!$E$6,"存量兼容Lv1","正常")&amp;IF(D247&lt;&gt;"","；当前已婚但存在离婚日期","")</x:f>
        <x:v>#NAME?</x:v>
      </x:c>
    </x:row>
    <x:row r="248" ht="17">
      <x:c r="A248" s="58">
        <x:v>246</x:v>
      </x:c>
      <x:c r="B248" s="58" t="s">
        <x:v>1020</x:v>
      </x:c>
      <x:c r="C248" s="18" t="s">
        <x:v>1023</x:v>
      </x:c>
      <x:c r="D248" s="18"/>
      <x:c r="E248" s="126">
        <x:v>0</x:v>
      </x:c>
      <x:c r="F248" s="126" t="e">
        <x:f>IF(E248&lt;参数与口径!$E$6,1,MATCH(E248,等级配置!$C$4:$C$103,1))</x:f>
        <x:v>#NAME?</x:v>
      </x:c>
      <x:c r="G248" s="58" t="e">
        <x:f>INDEX(等级配置!$B$4:$B$103,F248)</x:f>
        <x:v>#NAME?</x:v>
      </x:c>
      <x:c r="H248" s="20" t="e">
        <x:f>IF(E248&lt;参数与口径!$E$6,"存量兼容Lv1","正常")&amp;IF(D248&lt;&gt;"","；当前已婚但存在离婚日期","")</x:f>
        <x:v>#NAME?</x:v>
      </x:c>
    </x:row>
    <x:row r="249" ht="17">
      <x:c r="A249" s="58">
        <x:v>247</x:v>
      </x:c>
      <x:c r="B249" s="58" t="s">
        <x:v>1024</x:v>
      </x:c>
      <x:c r="C249" s="18" t="s">
        <x:v>1027</x:v>
      </x:c>
      <x:c r="D249" s="18"/>
      <x:c r="E249" s="126">
        <x:v>0</x:v>
      </x:c>
      <x:c r="F249" s="126" t="e">
        <x:f>IF(E249&lt;参数与口径!$E$6,1,MATCH(E249,等级配置!$C$4:$C$103,1))</x:f>
        <x:v>#NAME?</x:v>
      </x:c>
      <x:c r="G249" s="58" t="e">
        <x:f>INDEX(等级配置!$B$4:$B$103,F249)</x:f>
        <x:v>#NAME?</x:v>
      </x:c>
      <x:c r="H249" s="20" t="e">
        <x:f>IF(E249&lt;参数与口径!$E$6,"存量兼容Lv1","正常")&amp;IF(D249&lt;&gt;"","；当前已婚但存在离婚日期","")</x:f>
        <x:v>#NAME?</x:v>
      </x:c>
    </x:row>
    <x:row r="250" ht="17">
      <x:c r="A250" s="58">
        <x:v>248</x:v>
      </x:c>
      <x:c r="B250" s="58" t="s">
        <x:v>1028</x:v>
      </x:c>
      <x:c r="C250" s="18" t="s">
        <x:v>1031</x:v>
      </x:c>
      <x:c r="D250" s="18"/>
      <x:c r="E250" s="126">
        <x:v>0</x:v>
      </x:c>
      <x:c r="F250" s="126" t="e">
        <x:f>IF(E250&lt;参数与口径!$E$6,1,MATCH(E250,等级配置!$C$4:$C$103,1))</x:f>
        <x:v>#NAME?</x:v>
      </x:c>
      <x:c r="G250" s="58" t="e">
        <x:f>INDEX(等级配置!$B$4:$B$103,F250)</x:f>
        <x:v>#NAME?</x:v>
      </x:c>
      <x:c r="H250" s="20" t="e">
        <x:f>IF(E250&lt;参数与口径!$E$6,"存量兼容Lv1","正常")&amp;IF(D250&lt;&gt;"","；当前已婚但存在离婚日期","")</x:f>
        <x:v>#NAME?</x:v>
      </x:c>
    </x:row>
    <x:row r="251" ht="17">
      <x:c r="A251" s="58">
        <x:v>249</x:v>
      </x:c>
      <x:c r="B251" s="58" t="s">
        <x:v>1032</x:v>
      </x:c>
      <x:c r="C251" s="18" t="s">
        <x:v>1035</x:v>
      </x:c>
      <x:c r="D251" s="18"/>
      <x:c r="E251" s="126">
        <x:v>0</x:v>
      </x:c>
      <x:c r="F251" s="126" t="e">
        <x:f>IF(E251&lt;参数与口径!$E$6,1,MATCH(E251,等级配置!$C$4:$C$103,1))</x:f>
        <x:v>#NAME?</x:v>
      </x:c>
      <x:c r="G251" s="58" t="e">
        <x:f>INDEX(等级配置!$B$4:$B$103,F251)</x:f>
        <x:v>#NAME?</x:v>
      </x:c>
      <x:c r="H251" s="20" t="e">
        <x:f>IF(E251&lt;参数与口径!$E$6,"存量兼容Lv1","正常")&amp;IF(D251&lt;&gt;"","；当前已婚但存在离婚日期","")</x:f>
        <x:v>#NAME?</x:v>
      </x:c>
    </x:row>
    <x:row r="252" ht="17">
      <x:c r="A252" s="58">
        <x:v>250</x:v>
      </x:c>
      <x:c r="B252" s="58" t="s">
        <x:v>1036</x:v>
      </x:c>
      <x:c r="C252" s="18" t="s">
        <x:v>1039</x:v>
      </x:c>
      <x:c r="D252" s="18"/>
      <x:c r="E252" s="126">
        <x:v>0</x:v>
      </x:c>
      <x:c r="F252" s="126" t="e">
        <x:f>IF(E252&lt;参数与口径!$E$6,1,MATCH(E252,等级配置!$C$4:$C$103,1))</x:f>
        <x:v>#NAME?</x:v>
      </x:c>
      <x:c r="G252" s="58" t="e">
        <x:f>INDEX(等级配置!$B$4:$B$103,F252)</x:f>
        <x:v>#NAME?</x:v>
      </x:c>
      <x:c r="H252" s="20" t="e">
        <x:f>IF(E252&lt;参数与口径!$E$6,"存量兼容Lv1","正常")&amp;IF(D252&lt;&gt;"","；当前已婚但存在离婚日期","")</x:f>
        <x:v>#NAME?</x:v>
      </x:c>
    </x:row>
    <x:row r="253" ht="17">
      <x:c r="A253" s="58">
        <x:v>251</x:v>
      </x:c>
      <x:c r="B253" s="58" t="s">
        <x:v>1040</x:v>
      </x:c>
      <x:c r="C253" s="18" t="s">
        <x:v>1043</x:v>
      </x:c>
      <x:c r="D253" s="18"/>
      <x:c r="E253" s="126">
        <x:v>0</x:v>
      </x:c>
      <x:c r="F253" s="126" t="e">
        <x:f>IF(E253&lt;参数与口径!$E$6,1,MATCH(E253,等级配置!$C$4:$C$103,1))</x:f>
        <x:v>#NAME?</x:v>
      </x:c>
      <x:c r="G253" s="58" t="e">
        <x:f>INDEX(等级配置!$B$4:$B$103,F253)</x:f>
        <x:v>#NAME?</x:v>
      </x:c>
      <x:c r="H253" s="20" t="e">
        <x:f>IF(E253&lt;参数与口径!$E$6,"存量兼容Lv1","正常")&amp;IF(D253&lt;&gt;"","；当前已婚但存在离婚日期","")</x:f>
        <x:v>#NAME?</x:v>
      </x:c>
    </x:row>
    <x:row r="254" ht="17">
      <x:c r="A254" s="58">
        <x:v>252</x:v>
      </x:c>
      <x:c r="B254" s="58" t="s">
        <x:v>1044</x:v>
      </x:c>
      <x:c r="C254" s="18" t="s">
        <x:v>1047</x:v>
      </x:c>
      <x:c r="D254" s="18"/>
      <x:c r="E254" s="126">
        <x:v>0</x:v>
      </x:c>
      <x:c r="F254" s="126" t="e">
        <x:f>IF(E254&lt;参数与口径!$E$6,1,MATCH(E254,等级配置!$C$4:$C$103,1))</x:f>
        <x:v>#NAME?</x:v>
      </x:c>
      <x:c r="G254" s="58" t="e">
        <x:f>INDEX(等级配置!$B$4:$B$103,F254)</x:f>
        <x:v>#NAME?</x:v>
      </x:c>
      <x:c r="H254" s="20" t="e">
        <x:f>IF(E254&lt;参数与口径!$E$6,"存量兼容Lv1","正常")&amp;IF(D254&lt;&gt;"","；当前已婚但存在离婚日期","")</x:f>
        <x:v>#NAME?</x:v>
      </x:c>
    </x:row>
    <x:row r="255" ht="17">
      <x:c r="A255" s="58">
        <x:v>253</x:v>
      </x:c>
      <x:c r="B255" s="58" t="s">
        <x:v>1048</x:v>
      </x:c>
      <x:c r="C255" s="18" t="s">
        <x:v>1051</x:v>
      </x:c>
      <x:c r="D255" s="18"/>
      <x:c r="E255" s="126">
        <x:v>0</x:v>
      </x:c>
      <x:c r="F255" s="126" t="e">
        <x:f>IF(E255&lt;参数与口径!$E$6,1,MATCH(E255,等级配置!$C$4:$C$103,1))</x:f>
        <x:v>#NAME?</x:v>
      </x:c>
      <x:c r="G255" s="58" t="e">
        <x:f>INDEX(等级配置!$B$4:$B$103,F255)</x:f>
        <x:v>#NAME?</x:v>
      </x:c>
      <x:c r="H255" s="20" t="e">
        <x:f>IF(E255&lt;参数与口径!$E$6,"存量兼容Lv1","正常")&amp;IF(D255&lt;&gt;"","；当前已婚但存在离婚日期","")</x:f>
        <x:v>#NAME?</x:v>
      </x:c>
    </x:row>
    <x:row r="256" ht="17">
      <x:c r="A256" s="58">
        <x:v>254</x:v>
      </x:c>
      <x:c r="B256" s="58" t="s">
        <x:v>1052</x:v>
      </x:c>
      <x:c r="C256" s="18" t="s">
        <x:v>1055</x:v>
      </x:c>
      <x:c r="D256" s="18"/>
      <x:c r="E256" s="126">
        <x:v>0</x:v>
      </x:c>
      <x:c r="F256" s="126" t="e">
        <x:f>IF(E256&lt;参数与口径!$E$6,1,MATCH(E256,等级配置!$C$4:$C$103,1))</x:f>
        <x:v>#NAME?</x:v>
      </x:c>
      <x:c r="G256" s="58" t="e">
        <x:f>INDEX(等级配置!$B$4:$B$103,F256)</x:f>
        <x:v>#NAME?</x:v>
      </x:c>
      <x:c r="H256" s="20" t="e">
        <x:f>IF(E256&lt;参数与口径!$E$6,"存量兼容Lv1","正常")&amp;IF(D256&lt;&gt;"","；当前已婚但存在离婚日期","")</x:f>
        <x:v>#NAME?</x:v>
      </x:c>
    </x:row>
    <x:row r="257" ht="17">
      <x:c r="A257" s="58">
        <x:v>255</x:v>
      </x:c>
      <x:c r="B257" s="58" t="s">
        <x:v>1056</x:v>
      </x:c>
      <x:c r="C257" s="18" t="s">
        <x:v>1059</x:v>
      </x:c>
      <x:c r="D257" s="18"/>
      <x:c r="E257" s="126">
        <x:v>0</x:v>
      </x:c>
      <x:c r="F257" s="126" t="e">
        <x:f>IF(E257&lt;参数与口径!$E$6,1,MATCH(E257,等级配置!$C$4:$C$103,1))</x:f>
        <x:v>#NAME?</x:v>
      </x:c>
      <x:c r="G257" s="58" t="e">
        <x:f>INDEX(等级配置!$B$4:$B$103,F257)</x:f>
        <x:v>#NAME?</x:v>
      </x:c>
      <x:c r="H257" s="20" t="e">
        <x:f>IF(E257&lt;参数与口径!$E$6,"存量兼容Lv1","正常")&amp;IF(D257&lt;&gt;"","；当前已婚但存在离婚日期","")</x:f>
        <x:v>#NAME?</x:v>
      </x:c>
    </x:row>
    <x:row r="258" ht="17">
      <x:c r="A258" s="58">
        <x:v>256</x:v>
      </x:c>
      <x:c r="B258" s="58" t="s">
        <x:v>1060</x:v>
      </x:c>
      <x:c r="C258" s="18" t="s">
        <x:v>1063</x:v>
      </x:c>
      <x:c r="D258" s="18"/>
      <x:c r="E258" s="126">
        <x:v>0</x:v>
      </x:c>
      <x:c r="F258" s="126" t="e">
        <x:f>IF(E258&lt;参数与口径!$E$6,1,MATCH(E258,等级配置!$C$4:$C$103,1))</x:f>
        <x:v>#NAME?</x:v>
      </x:c>
      <x:c r="G258" s="58" t="e">
        <x:f>INDEX(等级配置!$B$4:$B$103,F258)</x:f>
        <x:v>#NAME?</x:v>
      </x:c>
      <x:c r="H258" s="20" t="e">
        <x:f>IF(E258&lt;参数与口径!$E$6,"存量兼容Lv1","正常")&amp;IF(D258&lt;&gt;"","；当前已婚但存在离婚日期","")</x:f>
        <x:v>#NAME?</x:v>
      </x:c>
    </x:row>
    <x:row r="259" ht="17">
      <x:c r="A259" s="58">
        <x:v>257</x:v>
      </x:c>
      <x:c r="B259" s="58" t="s">
        <x:v>1064</x:v>
      </x:c>
      <x:c r="C259" s="18" t="s">
        <x:v>1067</x:v>
      </x:c>
      <x:c r="D259" s="18"/>
      <x:c r="E259" s="126">
        <x:v>0</x:v>
      </x:c>
      <x:c r="F259" s="126" t="e">
        <x:f>IF(E259&lt;参数与口径!$E$6,1,MATCH(E259,等级配置!$C$4:$C$103,1))</x:f>
        <x:v>#NAME?</x:v>
      </x:c>
      <x:c r="G259" s="58" t="e">
        <x:f>INDEX(等级配置!$B$4:$B$103,F259)</x:f>
        <x:v>#NAME?</x:v>
      </x:c>
      <x:c r="H259" s="20" t="e">
        <x:f>IF(E259&lt;参数与口径!$E$6,"存量兼容Lv1","正常")&amp;IF(D259&lt;&gt;"","；当前已婚但存在离婚日期","")</x:f>
        <x:v>#NAME?</x:v>
      </x:c>
    </x:row>
    <x:row r="260" ht="17">
      <x:c r="A260" s="58">
        <x:v>258</x:v>
      </x:c>
      <x:c r="B260" s="58" t="s">
        <x:v>1068</x:v>
      </x:c>
      <x:c r="C260" s="18" t="s">
        <x:v>1071</x:v>
      </x:c>
      <x:c r="D260" s="18"/>
      <x:c r="E260" s="126">
        <x:v>0</x:v>
      </x:c>
      <x:c r="F260" s="126" t="e">
        <x:f>IF(E260&lt;参数与口径!$E$6,1,MATCH(E260,等级配置!$C$4:$C$103,1))</x:f>
        <x:v>#NAME?</x:v>
      </x:c>
      <x:c r="G260" s="58" t="e">
        <x:f>INDEX(等级配置!$B$4:$B$103,F260)</x:f>
        <x:v>#NAME?</x:v>
      </x:c>
      <x:c r="H260" s="20" t="e">
        <x:f>IF(E260&lt;参数与口径!$E$6,"存量兼容Lv1","正常")&amp;IF(D260&lt;&gt;"","；当前已婚但存在离婚日期","")</x:f>
        <x:v>#NAME?</x:v>
      </x:c>
    </x:row>
    <x:row r="261" ht="17">
      <x:c r="A261" s="58">
        <x:v>259</x:v>
      </x:c>
      <x:c r="B261" s="58" t="s">
        <x:v>1072</x:v>
      </x:c>
      <x:c r="C261" s="18" t="s">
        <x:v>1075</x:v>
      </x:c>
      <x:c r="D261" s="18"/>
      <x:c r="E261" s="126">
        <x:v>0</x:v>
      </x:c>
      <x:c r="F261" s="126" t="e">
        <x:f>IF(E261&lt;参数与口径!$E$6,1,MATCH(E261,等级配置!$C$4:$C$103,1))</x:f>
        <x:v>#NAME?</x:v>
      </x:c>
      <x:c r="G261" s="58" t="e">
        <x:f>INDEX(等级配置!$B$4:$B$103,F261)</x:f>
        <x:v>#NAME?</x:v>
      </x:c>
      <x:c r="H261" s="20" t="e">
        <x:f>IF(E261&lt;参数与口径!$E$6,"存量兼容Lv1","正常")&amp;IF(D261&lt;&gt;"","；当前已婚但存在离婚日期","")</x:f>
        <x:v>#NAME?</x:v>
      </x:c>
    </x:row>
    <x:row r="262" ht="17">
      <x:c r="A262" s="58">
        <x:v>260</x:v>
      </x:c>
      <x:c r="B262" s="58" t="s">
        <x:v>1076</x:v>
      </x:c>
      <x:c r="C262" s="18" t="s">
        <x:v>1079</x:v>
      </x:c>
      <x:c r="D262" s="18"/>
      <x:c r="E262" s="126">
        <x:v>0</x:v>
      </x:c>
      <x:c r="F262" s="126" t="e">
        <x:f>IF(E262&lt;参数与口径!$E$6,1,MATCH(E262,等级配置!$C$4:$C$103,1))</x:f>
        <x:v>#NAME?</x:v>
      </x:c>
      <x:c r="G262" s="58" t="e">
        <x:f>INDEX(等级配置!$B$4:$B$103,F262)</x:f>
        <x:v>#NAME?</x:v>
      </x:c>
      <x:c r="H262" s="20" t="e">
        <x:f>IF(E262&lt;参数与口径!$E$6,"存量兼容Lv1","正常")&amp;IF(D262&lt;&gt;"","；当前已婚但存在离婚日期","")</x:f>
        <x:v>#NAME?</x:v>
      </x:c>
    </x:row>
    <x:row r="263" ht="17">
      <x:c r="A263" s="58">
        <x:v>261</x:v>
      </x:c>
      <x:c r="B263" s="58" t="s">
        <x:v>1080</x:v>
      </x:c>
      <x:c r="C263" s="18" t="s">
        <x:v>1083</x:v>
      </x:c>
      <x:c r="D263" s="18"/>
      <x:c r="E263" s="126">
        <x:v>0</x:v>
      </x:c>
      <x:c r="F263" s="126" t="e">
        <x:f>IF(E263&lt;参数与口径!$E$6,1,MATCH(E263,等级配置!$C$4:$C$103,1))</x:f>
        <x:v>#NAME?</x:v>
      </x:c>
      <x:c r="G263" s="58" t="e">
        <x:f>INDEX(等级配置!$B$4:$B$103,F263)</x:f>
        <x:v>#NAME?</x:v>
      </x:c>
      <x:c r="H263" s="20" t="e">
        <x:f>IF(E263&lt;参数与口径!$E$6,"存量兼容Lv1","正常")&amp;IF(D263&lt;&gt;"","；当前已婚但存在离婚日期","")</x:f>
        <x:v>#NAME?</x:v>
      </x:c>
    </x:row>
    <x:row r="264" ht="17">
      <x:c r="A264" s="58">
        <x:v>262</x:v>
      </x:c>
      <x:c r="B264" s="58" t="s">
        <x:v>1084</x:v>
      </x:c>
      <x:c r="C264" s="18" t="s">
        <x:v>1087</x:v>
      </x:c>
      <x:c r="D264" s="18"/>
      <x:c r="E264" s="126">
        <x:v>0</x:v>
      </x:c>
      <x:c r="F264" s="126" t="e">
        <x:f>IF(E264&lt;参数与口径!$E$6,1,MATCH(E264,等级配置!$C$4:$C$103,1))</x:f>
        <x:v>#NAME?</x:v>
      </x:c>
      <x:c r="G264" s="58" t="e">
        <x:f>INDEX(等级配置!$B$4:$B$103,F264)</x:f>
        <x:v>#NAME?</x:v>
      </x:c>
      <x:c r="H264" s="20" t="e">
        <x:f>IF(E264&lt;参数与口径!$E$6,"存量兼容Lv1","正常")&amp;IF(D264&lt;&gt;"","；当前已婚但存在离婚日期","")</x:f>
        <x:v>#NAME?</x:v>
      </x:c>
    </x:row>
    <x:row r="265" ht="17">
      <x:c r="A265" s="58">
        <x:v>263</x:v>
      </x:c>
      <x:c r="B265" s="58" t="s">
        <x:v>1088</x:v>
      </x:c>
      <x:c r="C265" s="18" t="s">
        <x:v>1091</x:v>
      </x:c>
      <x:c r="D265" s="18"/>
      <x:c r="E265" s="126">
        <x:v>0</x:v>
      </x:c>
      <x:c r="F265" s="126" t="e">
        <x:f>IF(E265&lt;参数与口径!$E$6,1,MATCH(E265,等级配置!$C$4:$C$103,1))</x:f>
        <x:v>#NAME?</x:v>
      </x:c>
      <x:c r="G265" s="58" t="e">
        <x:f>INDEX(等级配置!$B$4:$B$103,F265)</x:f>
        <x:v>#NAME?</x:v>
      </x:c>
      <x:c r="H265" s="20" t="e">
        <x:f>IF(E265&lt;参数与口径!$E$6,"存量兼容Lv1","正常")&amp;IF(D265&lt;&gt;"","；当前已婚但存在离婚日期","")</x:f>
        <x:v>#NAME?</x:v>
      </x:c>
    </x:row>
    <x:row r="266" ht="17">
      <x:c r="A266" s="58">
        <x:v>264</x:v>
      </x:c>
      <x:c r="B266" s="58" t="s">
        <x:v>1092</x:v>
      </x:c>
      <x:c r="C266" s="18" t="s">
        <x:v>1095</x:v>
      </x:c>
      <x:c r="D266" s="18"/>
      <x:c r="E266" s="126">
        <x:v>0</x:v>
      </x:c>
      <x:c r="F266" s="126" t="e">
        <x:f>IF(E266&lt;参数与口径!$E$6,1,MATCH(E266,等级配置!$C$4:$C$103,1))</x:f>
        <x:v>#NAME?</x:v>
      </x:c>
      <x:c r="G266" s="58" t="e">
        <x:f>INDEX(等级配置!$B$4:$B$103,F266)</x:f>
        <x:v>#NAME?</x:v>
      </x:c>
      <x:c r="H266" s="20" t="e">
        <x:f>IF(E266&lt;参数与口径!$E$6,"存量兼容Lv1","正常")&amp;IF(D266&lt;&gt;"","；当前已婚但存在离婚日期","")</x:f>
        <x:v>#NAME?</x:v>
      </x:c>
    </x:row>
    <x:row r="267" ht="17">
      <x:c r="A267" s="58">
        <x:v>265</x:v>
      </x:c>
      <x:c r="B267" s="58" t="s">
        <x:v>1096</x:v>
      </x:c>
      <x:c r="C267" s="18" t="s">
        <x:v>1099</x:v>
      </x:c>
      <x:c r="D267" s="18"/>
      <x:c r="E267" s="126">
        <x:v>0</x:v>
      </x:c>
      <x:c r="F267" s="126" t="e">
        <x:f>IF(E267&lt;参数与口径!$E$6,1,MATCH(E267,等级配置!$C$4:$C$103,1))</x:f>
        <x:v>#NAME?</x:v>
      </x:c>
      <x:c r="G267" s="58" t="e">
        <x:f>INDEX(等级配置!$B$4:$B$103,F267)</x:f>
        <x:v>#NAME?</x:v>
      </x:c>
      <x:c r="H267" s="20" t="e">
        <x:f>IF(E267&lt;参数与口径!$E$6,"存量兼容Lv1","正常")&amp;IF(D267&lt;&gt;"","；当前已婚但存在离婚日期","")</x:f>
        <x:v>#NAME?</x:v>
      </x:c>
    </x:row>
    <x:row r="268" ht="17">
      <x:c r="A268" s="58">
        <x:v>266</x:v>
      </x:c>
      <x:c r="B268" s="58" t="s">
        <x:v>1100</x:v>
      </x:c>
      <x:c r="C268" s="18" t="s">
        <x:v>1103</x:v>
      </x:c>
      <x:c r="D268" s="18"/>
      <x:c r="E268" s="126">
        <x:v>0</x:v>
      </x:c>
      <x:c r="F268" s="126" t="e">
        <x:f>IF(E268&lt;参数与口径!$E$6,1,MATCH(E268,等级配置!$C$4:$C$103,1))</x:f>
        <x:v>#NAME?</x:v>
      </x:c>
      <x:c r="G268" s="58" t="e">
        <x:f>INDEX(等级配置!$B$4:$B$103,F268)</x:f>
        <x:v>#NAME?</x:v>
      </x:c>
      <x:c r="H268" s="20" t="e">
        <x:f>IF(E268&lt;参数与口径!$E$6,"存量兼容Lv1","正常")&amp;IF(D268&lt;&gt;"","；当前已婚但存在离婚日期","")</x:f>
        <x:v>#NAME?</x:v>
      </x:c>
    </x:row>
    <x:row r="269" ht="17">
      <x:c r="A269" s="58">
        <x:v>267</x:v>
      </x:c>
      <x:c r="B269" s="58" t="s">
        <x:v>1104</x:v>
      </x:c>
      <x:c r="C269" s="18" t="s">
        <x:v>1107</x:v>
      </x:c>
      <x:c r="D269" s="18"/>
      <x:c r="E269" s="126">
        <x:v>0</x:v>
      </x:c>
      <x:c r="F269" s="126" t="e">
        <x:f>IF(E269&lt;参数与口径!$E$6,1,MATCH(E269,等级配置!$C$4:$C$103,1))</x:f>
        <x:v>#NAME?</x:v>
      </x:c>
      <x:c r="G269" s="58" t="e">
        <x:f>INDEX(等级配置!$B$4:$B$103,F269)</x:f>
        <x:v>#NAME?</x:v>
      </x:c>
      <x:c r="H269" s="20" t="e">
        <x:f>IF(E269&lt;参数与口径!$E$6,"存量兼容Lv1","正常")&amp;IF(D269&lt;&gt;"","；当前已婚但存在离婚日期","")</x:f>
        <x:v>#NAME?</x:v>
      </x:c>
    </x:row>
    <x:row r="270" ht="17">
      <x:c r="A270" s="58">
        <x:v>268</x:v>
      </x:c>
      <x:c r="B270" s="58" t="s">
        <x:v>1108</x:v>
      </x:c>
      <x:c r="C270" s="18" t="s">
        <x:v>1111</x:v>
      </x:c>
      <x:c r="D270" s="18"/>
      <x:c r="E270" s="126">
        <x:v>0</x:v>
      </x:c>
      <x:c r="F270" s="126" t="e">
        <x:f>IF(E270&lt;参数与口径!$E$6,1,MATCH(E270,等级配置!$C$4:$C$103,1))</x:f>
        <x:v>#NAME?</x:v>
      </x:c>
      <x:c r="G270" s="58" t="e">
        <x:f>INDEX(等级配置!$B$4:$B$103,F270)</x:f>
        <x:v>#NAME?</x:v>
      </x:c>
      <x:c r="H270" s="20" t="e">
        <x:f>IF(E270&lt;参数与口径!$E$6,"存量兼容Lv1","正常")&amp;IF(D270&lt;&gt;"","；当前已婚但存在离婚日期","")</x:f>
        <x:v>#NAME?</x:v>
      </x:c>
    </x:row>
    <x:row r="271" ht="17">
      <x:c r="A271" s="58">
        <x:v>269</x:v>
      </x:c>
      <x:c r="B271" s="58" t="s">
        <x:v>1112</x:v>
      </x:c>
      <x:c r="C271" s="18" t="s">
        <x:v>1115</x:v>
      </x:c>
      <x:c r="D271" s="18"/>
      <x:c r="E271" s="126">
        <x:v>0</x:v>
      </x:c>
      <x:c r="F271" s="126" t="e">
        <x:f>IF(E271&lt;参数与口径!$E$6,1,MATCH(E271,等级配置!$C$4:$C$103,1))</x:f>
        <x:v>#NAME?</x:v>
      </x:c>
      <x:c r="G271" s="58" t="e">
        <x:f>INDEX(等级配置!$B$4:$B$103,F271)</x:f>
        <x:v>#NAME?</x:v>
      </x:c>
      <x:c r="H271" s="20" t="e">
        <x:f>IF(E271&lt;参数与口径!$E$6,"存量兼容Lv1","正常")&amp;IF(D271&lt;&gt;"","；当前已婚但存在离婚日期","")</x:f>
        <x:v>#NAME?</x:v>
      </x:c>
    </x:row>
    <x:row r="272" ht="17">
      <x:c r="A272" s="58">
        <x:v>270</x:v>
      </x:c>
      <x:c r="B272" s="58" t="s">
        <x:v>1116</x:v>
      </x:c>
      <x:c r="C272" s="18" t="s">
        <x:v>1119</x:v>
      </x:c>
      <x:c r="D272" s="18"/>
      <x:c r="E272" s="126">
        <x:v>0</x:v>
      </x:c>
      <x:c r="F272" s="126" t="e">
        <x:f>IF(E272&lt;参数与口径!$E$6,1,MATCH(E272,等级配置!$C$4:$C$103,1))</x:f>
        <x:v>#NAME?</x:v>
      </x:c>
      <x:c r="G272" s="58" t="e">
        <x:f>INDEX(等级配置!$B$4:$B$103,F272)</x:f>
        <x:v>#NAME?</x:v>
      </x:c>
      <x:c r="H272" s="20" t="e">
        <x:f>IF(E272&lt;参数与口径!$E$6,"存量兼容Lv1","正常")&amp;IF(D272&lt;&gt;"","；当前已婚但存在离婚日期","")</x:f>
        <x:v>#NAME?</x:v>
      </x:c>
    </x:row>
    <x:row r="273" ht="17">
      <x:c r="A273" s="58">
        <x:v>271</x:v>
      </x:c>
      <x:c r="B273" s="58" t="s">
        <x:v>1120</x:v>
      </x:c>
      <x:c r="C273" s="18" t="s">
        <x:v>1123</x:v>
      </x:c>
      <x:c r="D273" s="18"/>
      <x:c r="E273" s="126">
        <x:v>0</x:v>
      </x:c>
      <x:c r="F273" s="126" t="e">
        <x:f>IF(E273&lt;参数与口径!$E$6,1,MATCH(E273,等级配置!$C$4:$C$103,1))</x:f>
        <x:v>#NAME?</x:v>
      </x:c>
      <x:c r="G273" s="58" t="e">
        <x:f>INDEX(等级配置!$B$4:$B$103,F273)</x:f>
        <x:v>#NAME?</x:v>
      </x:c>
      <x:c r="H273" s="20" t="e">
        <x:f>IF(E273&lt;参数与口径!$E$6,"存量兼容Lv1","正常")&amp;IF(D273&lt;&gt;"","；当前已婚但存在离婚日期","")</x:f>
        <x:v>#NAME?</x:v>
      </x:c>
    </x:row>
    <x:row r="274" ht="17">
      <x:c r="A274" s="58">
        <x:v>272</x:v>
      </x:c>
      <x:c r="B274" s="58" t="s">
        <x:v>1124</x:v>
      </x:c>
      <x:c r="C274" s="18" t="s">
        <x:v>1127</x:v>
      </x:c>
      <x:c r="D274" s="18"/>
      <x:c r="E274" s="126">
        <x:v>0</x:v>
      </x:c>
      <x:c r="F274" s="126" t="e">
        <x:f>IF(E274&lt;参数与口径!$E$6,1,MATCH(E274,等级配置!$C$4:$C$103,1))</x:f>
        <x:v>#NAME?</x:v>
      </x:c>
      <x:c r="G274" s="58" t="e">
        <x:f>INDEX(等级配置!$B$4:$B$103,F274)</x:f>
        <x:v>#NAME?</x:v>
      </x:c>
      <x:c r="H274" s="20" t="e">
        <x:f>IF(E274&lt;参数与口径!$E$6,"存量兼容Lv1","正常")&amp;IF(D274&lt;&gt;"","；当前已婚但存在离婚日期","")</x:f>
        <x:v>#NAME?</x:v>
      </x:c>
    </x:row>
    <x:row r="275" ht="17">
      <x:c r="A275" s="58">
        <x:v>273</x:v>
      </x:c>
      <x:c r="B275" s="58" t="s">
        <x:v>1128</x:v>
      </x:c>
      <x:c r="C275" s="18" t="s">
        <x:v>1131</x:v>
      </x:c>
      <x:c r="D275" s="18"/>
      <x:c r="E275" s="126">
        <x:v>0</x:v>
      </x:c>
      <x:c r="F275" s="126" t="e">
        <x:f>IF(E275&lt;参数与口径!$E$6,1,MATCH(E275,等级配置!$C$4:$C$103,1))</x:f>
        <x:v>#NAME?</x:v>
      </x:c>
      <x:c r="G275" s="58" t="e">
        <x:f>INDEX(等级配置!$B$4:$B$103,F275)</x:f>
        <x:v>#NAME?</x:v>
      </x:c>
      <x:c r="H275" s="20" t="e">
        <x:f>IF(E275&lt;参数与口径!$E$6,"存量兼容Lv1","正常")&amp;IF(D275&lt;&gt;"","；当前已婚但存在离婚日期","")</x:f>
        <x:v>#NAME?</x:v>
      </x:c>
    </x:row>
    <x:row r="276" ht="17">
      <x:c r="A276" s="58">
        <x:v>274</x:v>
      </x:c>
      <x:c r="B276" s="58" t="s">
        <x:v>1132</x:v>
      </x:c>
      <x:c r="C276" s="18" t="s">
        <x:v>1135</x:v>
      </x:c>
      <x:c r="D276" s="18"/>
      <x:c r="E276" s="126">
        <x:v>0</x:v>
      </x:c>
      <x:c r="F276" s="126" t="e">
        <x:f>IF(E276&lt;参数与口径!$E$6,1,MATCH(E276,等级配置!$C$4:$C$103,1))</x:f>
        <x:v>#NAME?</x:v>
      </x:c>
      <x:c r="G276" s="58" t="e">
        <x:f>INDEX(等级配置!$B$4:$B$103,F276)</x:f>
        <x:v>#NAME?</x:v>
      </x:c>
      <x:c r="H276" s="20" t="e">
        <x:f>IF(E276&lt;参数与口径!$E$6,"存量兼容Lv1","正常")&amp;IF(D276&lt;&gt;"","；当前已婚但存在离婚日期","")</x:f>
        <x:v>#NAME?</x:v>
      </x:c>
    </x:row>
    <x:row r="277" ht="17">
      <x:c r="A277" s="58">
        <x:v>275</x:v>
      </x:c>
      <x:c r="B277" s="58" t="s">
        <x:v>1136</x:v>
      </x:c>
      <x:c r="C277" s="18" t="s">
        <x:v>1139</x:v>
      </x:c>
      <x:c r="D277" s="18"/>
      <x:c r="E277" s="126">
        <x:v>0</x:v>
      </x:c>
      <x:c r="F277" s="126" t="e">
        <x:f>IF(E277&lt;参数与口径!$E$6,1,MATCH(E277,等级配置!$C$4:$C$103,1))</x:f>
        <x:v>#NAME?</x:v>
      </x:c>
      <x:c r="G277" s="58" t="e">
        <x:f>INDEX(等级配置!$B$4:$B$103,F277)</x:f>
        <x:v>#NAME?</x:v>
      </x:c>
      <x:c r="H277" s="20" t="e">
        <x:f>IF(E277&lt;参数与口径!$E$6,"存量兼容Lv1","正常")&amp;IF(D277&lt;&gt;"","；当前已婚但存在离婚日期","")</x:f>
        <x:v>#NAME?</x:v>
      </x:c>
    </x:row>
    <x:row r="278" ht="17">
      <x:c r="A278" s="58">
        <x:v>276</x:v>
      </x:c>
      <x:c r="B278" s="58" t="s">
        <x:v>1140</x:v>
      </x:c>
      <x:c r="C278" s="18" t="s">
        <x:v>1143</x:v>
      </x:c>
      <x:c r="D278" s="18"/>
      <x:c r="E278" s="126">
        <x:v>0</x:v>
      </x:c>
      <x:c r="F278" s="126" t="e">
        <x:f>IF(E278&lt;参数与口径!$E$6,1,MATCH(E278,等级配置!$C$4:$C$103,1))</x:f>
        <x:v>#NAME?</x:v>
      </x:c>
      <x:c r="G278" s="58" t="e">
        <x:f>INDEX(等级配置!$B$4:$B$103,F278)</x:f>
        <x:v>#NAME?</x:v>
      </x:c>
      <x:c r="H278" s="20" t="e">
        <x:f>IF(E278&lt;参数与口径!$E$6,"存量兼容Lv1","正常")&amp;IF(D278&lt;&gt;"","；当前已婚但存在离婚日期","")</x:f>
        <x:v>#NAME?</x:v>
      </x:c>
    </x:row>
    <x:row r="279" ht="17">
      <x:c r="A279" s="58">
        <x:v>277</x:v>
      </x:c>
      <x:c r="B279" s="58" t="s">
        <x:v>1144</x:v>
      </x:c>
      <x:c r="C279" s="18" t="s">
        <x:v>1147</x:v>
      </x:c>
      <x:c r="D279" s="18"/>
      <x:c r="E279" s="126">
        <x:v>0</x:v>
      </x:c>
      <x:c r="F279" s="126" t="e">
        <x:f>IF(E279&lt;参数与口径!$E$6,1,MATCH(E279,等级配置!$C$4:$C$103,1))</x:f>
        <x:v>#NAME?</x:v>
      </x:c>
      <x:c r="G279" s="58" t="e">
        <x:f>INDEX(等级配置!$B$4:$B$103,F279)</x:f>
        <x:v>#NAME?</x:v>
      </x:c>
      <x:c r="H279" s="20" t="e">
        <x:f>IF(E279&lt;参数与口径!$E$6,"存量兼容Lv1","正常")&amp;IF(D279&lt;&gt;"","；当前已婚但存在离婚日期","")</x:f>
        <x:v>#NAME?</x:v>
      </x:c>
    </x:row>
    <x:row r="280" ht="17">
      <x:c r="A280" s="58">
        <x:v>278</x:v>
      </x:c>
      <x:c r="B280" s="58" t="s">
        <x:v>1148</x:v>
      </x:c>
      <x:c r="C280" s="18" t="s">
        <x:v>1151</x:v>
      </x:c>
      <x:c r="D280" s="18"/>
      <x:c r="E280" s="126">
        <x:v>0</x:v>
      </x:c>
      <x:c r="F280" s="126" t="e">
        <x:f>IF(E280&lt;参数与口径!$E$6,1,MATCH(E280,等级配置!$C$4:$C$103,1))</x:f>
        <x:v>#NAME?</x:v>
      </x:c>
      <x:c r="G280" s="58" t="e">
        <x:f>INDEX(等级配置!$B$4:$B$103,F280)</x:f>
        <x:v>#NAME?</x:v>
      </x:c>
      <x:c r="H280" s="20" t="e">
        <x:f>IF(E280&lt;参数与口径!$E$6,"存量兼容Lv1","正常")&amp;IF(D280&lt;&gt;"","；当前已婚但存在离婚日期","")</x:f>
        <x:v>#NAME?</x:v>
      </x:c>
    </x:row>
    <x:row r="281" ht="17">
      <x:c r="A281" s="58">
        <x:v>279</x:v>
      </x:c>
      <x:c r="B281" s="58" t="s">
        <x:v>1152</x:v>
      </x:c>
      <x:c r="C281" s="18" t="s">
        <x:v>1155</x:v>
      </x:c>
      <x:c r="D281" s="18"/>
      <x:c r="E281" s="126">
        <x:v>0</x:v>
      </x:c>
      <x:c r="F281" s="126" t="e">
        <x:f>IF(E281&lt;参数与口径!$E$6,1,MATCH(E281,等级配置!$C$4:$C$103,1))</x:f>
        <x:v>#NAME?</x:v>
      </x:c>
      <x:c r="G281" s="58" t="e">
        <x:f>INDEX(等级配置!$B$4:$B$103,F281)</x:f>
        <x:v>#NAME?</x:v>
      </x:c>
      <x:c r="H281" s="20" t="e">
        <x:f>IF(E281&lt;参数与口径!$E$6,"存量兼容Lv1","正常")&amp;IF(D281&lt;&gt;"","；当前已婚但存在离婚日期","")</x:f>
        <x:v>#NAME?</x:v>
      </x:c>
    </x:row>
    <x:row r="282" ht="17">
      <x:c r="A282" s="58">
        <x:v>280</x:v>
      </x:c>
      <x:c r="B282" s="58" t="s">
        <x:v>1156</x:v>
      </x:c>
      <x:c r="C282" s="18" t="s">
        <x:v>1159</x:v>
      </x:c>
      <x:c r="D282" s="18"/>
      <x:c r="E282" s="126">
        <x:v>0</x:v>
      </x:c>
      <x:c r="F282" s="126" t="e">
        <x:f>IF(E282&lt;参数与口径!$E$6,1,MATCH(E282,等级配置!$C$4:$C$103,1))</x:f>
        <x:v>#NAME?</x:v>
      </x:c>
      <x:c r="G282" s="58" t="e">
        <x:f>INDEX(等级配置!$B$4:$B$103,F282)</x:f>
        <x:v>#NAME?</x:v>
      </x:c>
      <x:c r="H282" s="20" t="e">
        <x:f>IF(E282&lt;参数与口径!$E$6,"存量兼容Lv1","正常")&amp;IF(D282&lt;&gt;"","；当前已婚但存在离婚日期","")</x:f>
        <x:v>#NAME?</x:v>
      </x:c>
    </x:row>
    <x:row r="283" ht="17">
      <x:c r="A283" s="58">
        <x:v>281</x:v>
      </x:c>
      <x:c r="B283" s="58" t="s">
        <x:v>1160</x:v>
      </x:c>
      <x:c r="C283" s="18" t="s">
        <x:v>1163</x:v>
      </x:c>
      <x:c r="D283" s="18"/>
      <x:c r="E283" s="126">
        <x:v>0</x:v>
      </x:c>
      <x:c r="F283" s="126" t="e">
        <x:f>IF(E283&lt;参数与口径!$E$6,1,MATCH(E283,等级配置!$C$4:$C$103,1))</x:f>
        <x:v>#NAME?</x:v>
      </x:c>
      <x:c r="G283" s="58" t="e">
        <x:f>INDEX(等级配置!$B$4:$B$103,F283)</x:f>
        <x:v>#NAME?</x:v>
      </x:c>
      <x:c r="H283" s="20" t="e">
        <x:f>IF(E283&lt;参数与口径!$E$6,"存量兼容Lv1","正常")&amp;IF(D283&lt;&gt;"","；当前已婚但存在离婚日期","")</x:f>
        <x:v>#NAME?</x:v>
      </x:c>
    </x:row>
    <x:row r="284" ht="17">
      <x:c r="A284" s="58">
        <x:v>282</x:v>
      </x:c>
      <x:c r="B284" s="58" t="s">
        <x:v>1164</x:v>
      </x:c>
      <x:c r="C284" s="18" t="s">
        <x:v>1167</x:v>
      </x:c>
      <x:c r="D284" s="18"/>
      <x:c r="E284" s="126">
        <x:v>0</x:v>
      </x:c>
      <x:c r="F284" s="126" t="e">
        <x:f>IF(E284&lt;参数与口径!$E$6,1,MATCH(E284,等级配置!$C$4:$C$103,1))</x:f>
        <x:v>#NAME?</x:v>
      </x:c>
      <x:c r="G284" s="58" t="e">
        <x:f>INDEX(等级配置!$B$4:$B$103,F284)</x:f>
        <x:v>#NAME?</x:v>
      </x:c>
      <x:c r="H284" s="20" t="e">
        <x:f>IF(E284&lt;参数与口径!$E$6,"存量兼容Lv1","正常")&amp;IF(D284&lt;&gt;"","；当前已婚但存在离婚日期","")</x:f>
        <x:v>#NAME?</x:v>
      </x:c>
    </x:row>
    <x:row r="285" ht="17">
      <x:c r="A285" s="58">
        <x:v>283</x:v>
      </x:c>
      <x:c r="B285" s="58" t="s">
        <x:v>1168</x:v>
      </x:c>
      <x:c r="C285" s="18" t="s">
        <x:v>1171</x:v>
      </x:c>
      <x:c r="D285" s="18"/>
      <x:c r="E285" s="126">
        <x:v>0</x:v>
      </x:c>
      <x:c r="F285" s="126" t="e">
        <x:f>IF(E285&lt;参数与口径!$E$6,1,MATCH(E285,等级配置!$C$4:$C$103,1))</x:f>
        <x:v>#NAME?</x:v>
      </x:c>
      <x:c r="G285" s="58" t="e">
        <x:f>INDEX(等级配置!$B$4:$B$103,F285)</x:f>
        <x:v>#NAME?</x:v>
      </x:c>
      <x:c r="H285" s="20" t="e">
        <x:f>IF(E285&lt;参数与口径!$E$6,"存量兼容Lv1","正常")&amp;IF(D285&lt;&gt;"","；当前已婚但存在离婚日期","")</x:f>
        <x:v>#NAME?</x:v>
      </x:c>
    </x:row>
    <x:row r="286" ht="17">
      <x:c r="A286" s="58">
        <x:v>284</x:v>
      </x:c>
      <x:c r="B286" s="58" t="s">
        <x:v>1172</x:v>
      </x:c>
      <x:c r="C286" s="18" t="s">
        <x:v>1175</x:v>
      </x:c>
      <x:c r="D286" s="18"/>
      <x:c r="E286" s="126">
        <x:v>0</x:v>
      </x:c>
      <x:c r="F286" s="126" t="e">
        <x:f>IF(E286&lt;参数与口径!$E$6,1,MATCH(E286,等级配置!$C$4:$C$103,1))</x:f>
        <x:v>#NAME?</x:v>
      </x:c>
      <x:c r="G286" s="58" t="e">
        <x:f>INDEX(等级配置!$B$4:$B$103,F286)</x:f>
        <x:v>#NAME?</x:v>
      </x:c>
      <x:c r="H286" s="20" t="e">
        <x:f>IF(E286&lt;参数与口径!$E$6,"存量兼容Lv1","正常")&amp;IF(D286&lt;&gt;"","；当前已婚但存在离婚日期","")</x:f>
        <x:v>#NAME?</x:v>
      </x:c>
    </x:row>
    <x:row r="287" ht="17">
      <x:c r="A287" s="58">
        <x:v>285</x:v>
      </x:c>
      <x:c r="B287" s="58" t="s">
        <x:v>1176</x:v>
      </x:c>
      <x:c r="C287" s="18" t="s">
        <x:v>1179</x:v>
      </x:c>
      <x:c r="D287" s="18"/>
      <x:c r="E287" s="126">
        <x:v>0</x:v>
      </x:c>
      <x:c r="F287" s="126" t="e">
        <x:f>IF(E287&lt;参数与口径!$E$6,1,MATCH(E287,等级配置!$C$4:$C$103,1))</x:f>
        <x:v>#NAME?</x:v>
      </x:c>
      <x:c r="G287" s="58" t="e">
        <x:f>INDEX(等级配置!$B$4:$B$103,F287)</x:f>
        <x:v>#NAME?</x:v>
      </x:c>
      <x:c r="H287" s="20" t="e">
        <x:f>IF(E287&lt;参数与口径!$E$6,"存量兼容Lv1","正常")&amp;IF(D287&lt;&gt;"","；当前已婚但存在离婚日期","")</x:f>
        <x:v>#NAME?</x:v>
      </x:c>
    </x:row>
    <x:row r="288" ht="17">
      <x:c r="A288" s="58">
        <x:v>286</x:v>
      </x:c>
      <x:c r="B288" s="58" t="s">
        <x:v>1180</x:v>
      </x:c>
      <x:c r="C288" s="18" t="s">
        <x:v>1183</x:v>
      </x:c>
      <x:c r="D288" s="18"/>
      <x:c r="E288" s="126">
        <x:v>0</x:v>
      </x:c>
      <x:c r="F288" s="126" t="e">
        <x:f>IF(E288&lt;参数与口径!$E$6,1,MATCH(E288,等级配置!$C$4:$C$103,1))</x:f>
        <x:v>#NAME?</x:v>
      </x:c>
      <x:c r="G288" s="58" t="e">
        <x:f>INDEX(等级配置!$B$4:$B$103,F288)</x:f>
        <x:v>#NAME?</x:v>
      </x:c>
      <x:c r="H288" s="20" t="e">
        <x:f>IF(E288&lt;参数与口径!$E$6,"存量兼容Lv1","正常")&amp;IF(D288&lt;&gt;"","；当前已婚但存在离婚日期","")</x:f>
        <x:v>#NAME?</x:v>
      </x:c>
    </x:row>
    <x:row r="289" ht="17">
      <x:c r="A289" s="58">
        <x:v>287</x:v>
      </x:c>
      <x:c r="B289" s="58" t="s">
        <x:v>1184</x:v>
      </x:c>
      <x:c r="C289" s="18" t="s">
        <x:v>1187</x:v>
      </x:c>
      <x:c r="D289" s="18"/>
      <x:c r="E289" s="126">
        <x:v>0</x:v>
      </x:c>
      <x:c r="F289" s="126" t="e">
        <x:f>IF(E289&lt;参数与口径!$E$6,1,MATCH(E289,等级配置!$C$4:$C$103,1))</x:f>
        <x:v>#NAME?</x:v>
      </x:c>
      <x:c r="G289" s="58" t="e">
        <x:f>INDEX(等级配置!$B$4:$B$103,F289)</x:f>
        <x:v>#NAME?</x:v>
      </x:c>
      <x:c r="H289" s="20" t="e">
        <x:f>IF(E289&lt;参数与口径!$E$6,"存量兼容Lv1","正常")&amp;IF(D289&lt;&gt;"","；当前已婚但存在离婚日期","")</x:f>
        <x:v>#NAME?</x:v>
      </x:c>
    </x:row>
    <x:row r="290" ht="17">
      <x:c r="A290" s="58">
        <x:v>288</x:v>
      </x:c>
      <x:c r="B290" s="58" t="s">
        <x:v>1188</x:v>
      </x:c>
      <x:c r="C290" s="18" t="s">
        <x:v>1191</x:v>
      </x:c>
      <x:c r="D290" s="18"/>
      <x:c r="E290" s="126">
        <x:v>0</x:v>
      </x:c>
      <x:c r="F290" s="126" t="e">
        <x:f>IF(E290&lt;参数与口径!$E$6,1,MATCH(E290,等级配置!$C$4:$C$103,1))</x:f>
        <x:v>#NAME?</x:v>
      </x:c>
      <x:c r="G290" s="58" t="e">
        <x:f>INDEX(等级配置!$B$4:$B$103,F290)</x:f>
        <x:v>#NAME?</x:v>
      </x:c>
      <x:c r="H290" s="20" t="e">
        <x:f>IF(E290&lt;参数与口径!$E$6,"存量兼容Lv1","正常")&amp;IF(D290&lt;&gt;"","；当前已婚但存在离婚日期","")</x:f>
        <x:v>#NAME?</x:v>
      </x:c>
    </x:row>
    <x:row r="291" ht="17">
      <x:c r="A291" s="58">
        <x:v>289</x:v>
      </x:c>
      <x:c r="B291" s="58" t="s">
        <x:v>1192</x:v>
      </x:c>
      <x:c r="C291" s="18" t="s">
        <x:v>1195</x:v>
      </x:c>
      <x:c r="D291" s="18"/>
      <x:c r="E291" s="126">
        <x:v>0</x:v>
      </x:c>
      <x:c r="F291" s="126" t="e">
        <x:f>IF(E291&lt;参数与口径!$E$6,1,MATCH(E291,等级配置!$C$4:$C$103,1))</x:f>
        <x:v>#NAME?</x:v>
      </x:c>
      <x:c r="G291" s="58" t="e">
        <x:f>INDEX(等级配置!$B$4:$B$103,F291)</x:f>
        <x:v>#NAME?</x:v>
      </x:c>
      <x:c r="H291" s="20" t="e">
        <x:f>IF(E291&lt;参数与口径!$E$6,"存量兼容Lv1","正常")&amp;IF(D291&lt;&gt;"","；当前已婚但存在离婚日期","")</x:f>
        <x:v>#NAME?</x:v>
      </x:c>
    </x:row>
    <x:row r="292" ht="17">
      <x:c r="A292" s="58">
        <x:v>290</x:v>
      </x:c>
      <x:c r="B292" s="58" t="s">
        <x:v>1196</x:v>
      </x:c>
      <x:c r="C292" s="18" t="s">
        <x:v>1199</x:v>
      </x:c>
      <x:c r="D292" s="18"/>
      <x:c r="E292" s="126">
        <x:v>0</x:v>
      </x:c>
      <x:c r="F292" s="126" t="e">
        <x:f>IF(E292&lt;参数与口径!$E$6,1,MATCH(E292,等级配置!$C$4:$C$103,1))</x:f>
        <x:v>#NAME?</x:v>
      </x:c>
      <x:c r="G292" s="58" t="e">
        <x:f>INDEX(等级配置!$B$4:$B$103,F292)</x:f>
        <x:v>#NAME?</x:v>
      </x:c>
      <x:c r="H292" s="20" t="e">
        <x:f>IF(E292&lt;参数与口径!$E$6,"存量兼容Lv1","正常")&amp;IF(D292&lt;&gt;"","；当前已婚但存在离婚日期","")</x:f>
        <x:v>#NAME?</x:v>
      </x:c>
    </x:row>
    <x:row r="293" ht="17">
      <x:c r="A293" s="58">
        <x:v>291</x:v>
      </x:c>
      <x:c r="B293" s="58" t="s">
        <x:v>1200</x:v>
      </x:c>
      <x:c r="C293" s="18" t="s">
        <x:v>1203</x:v>
      </x:c>
      <x:c r="D293" s="18"/>
      <x:c r="E293" s="126">
        <x:v>0</x:v>
      </x:c>
      <x:c r="F293" s="126" t="e">
        <x:f>IF(E293&lt;参数与口径!$E$6,1,MATCH(E293,等级配置!$C$4:$C$103,1))</x:f>
        <x:v>#NAME?</x:v>
      </x:c>
      <x:c r="G293" s="58" t="e">
        <x:f>INDEX(等级配置!$B$4:$B$103,F293)</x:f>
        <x:v>#NAME?</x:v>
      </x:c>
      <x:c r="H293" s="20" t="e">
        <x:f>IF(E293&lt;参数与口径!$E$6,"存量兼容Lv1","正常")&amp;IF(D293&lt;&gt;"","；当前已婚但存在离婚日期","")</x:f>
        <x:v>#NAME?</x:v>
      </x:c>
    </x:row>
    <x:row r="294" ht="17">
      <x:c r="A294" s="58">
        <x:v>292</x:v>
      </x:c>
      <x:c r="B294" s="58" t="s">
        <x:v>1204</x:v>
      </x:c>
      <x:c r="C294" s="18" t="s">
        <x:v>1207</x:v>
      </x:c>
      <x:c r="D294" s="18"/>
      <x:c r="E294" s="126">
        <x:v>0</x:v>
      </x:c>
      <x:c r="F294" s="126" t="e">
        <x:f>IF(E294&lt;参数与口径!$E$6,1,MATCH(E294,等级配置!$C$4:$C$103,1))</x:f>
        <x:v>#NAME?</x:v>
      </x:c>
      <x:c r="G294" s="58" t="e">
        <x:f>INDEX(等级配置!$B$4:$B$103,F294)</x:f>
        <x:v>#NAME?</x:v>
      </x:c>
      <x:c r="H294" s="20" t="e">
        <x:f>IF(E294&lt;参数与口径!$E$6,"存量兼容Lv1","正常")&amp;IF(D294&lt;&gt;"","；当前已婚但存在离婚日期","")</x:f>
        <x:v>#NAME?</x:v>
      </x:c>
    </x:row>
    <x:row r="295" ht="17">
      <x:c r="A295" s="58">
        <x:v>293</x:v>
      </x:c>
      <x:c r="B295" s="58" t="s">
        <x:v>1208</x:v>
      </x:c>
      <x:c r="C295" s="18" t="s">
        <x:v>1211</x:v>
      </x:c>
      <x:c r="D295" s="18"/>
      <x:c r="E295" s="126">
        <x:v>0</x:v>
      </x:c>
      <x:c r="F295" s="126" t="e">
        <x:f>IF(E295&lt;参数与口径!$E$6,1,MATCH(E295,等级配置!$C$4:$C$103,1))</x:f>
        <x:v>#NAME?</x:v>
      </x:c>
      <x:c r="G295" s="58" t="e">
        <x:f>INDEX(等级配置!$B$4:$B$103,F295)</x:f>
        <x:v>#NAME?</x:v>
      </x:c>
      <x:c r="H295" s="20" t="e">
        <x:f>IF(E295&lt;参数与口径!$E$6,"存量兼容Lv1","正常")&amp;IF(D295&lt;&gt;"","；当前已婚但存在离婚日期","")</x:f>
        <x:v>#NAME?</x:v>
      </x:c>
    </x:row>
    <x:row r="296" ht="17">
      <x:c r="A296" s="58">
        <x:v>294</x:v>
      </x:c>
      <x:c r="B296" s="58" t="s">
        <x:v>1212</x:v>
      </x:c>
      <x:c r="C296" s="18" t="s">
        <x:v>1215</x:v>
      </x:c>
      <x:c r="D296" s="18"/>
      <x:c r="E296" s="126">
        <x:v>0</x:v>
      </x:c>
      <x:c r="F296" s="126" t="e">
        <x:f>IF(E296&lt;参数与口径!$E$6,1,MATCH(E296,等级配置!$C$4:$C$103,1))</x:f>
        <x:v>#NAME?</x:v>
      </x:c>
      <x:c r="G296" s="58" t="e">
        <x:f>INDEX(等级配置!$B$4:$B$103,F296)</x:f>
        <x:v>#NAME?</x:v>
      </x:c>
      <x:c r="H296" s="20" t="e">
        <x:f>IF(E296&lt;参数与口径!$E$6,"存量兼容Lv1","正常")&amp;IF(D296&lt;&gt;"","；当前已婚但存在离婚日期","")</x:f>
        <x:v>#NAME?</x:v>
      </x:c>
    </x:row>
    <x:row r="297" ht="17">
      <x:c r="A297" s="58">
        <x:v>295</x:v>
      </x:c>
      <x:c r="B297" s="58" t="s">
        <x:v>1216</x:v>
      </x:c>
      <x:c r="C297" s="18" t="s">
        <x:v>1219</x:v>
      </x:c>
      <x:c r="D297" s="18"/>
      <x:c r="E297" s="126">
        <x:v>0</x:v>
      </x:c>
      <x:c r="F297" s="126" t="e">
        <x:f>IF(E297&lt;参数与口径!$E$6,1,MATCH(E297,等级配置!$C$4:$C$103,1))</x:f>
        <x:v>#NAME?</x:v>
      </x:c>
      <x:c r="G297" s="58" t="e">
        <x:f>INDEX(等级配置!$B$4:$B$103,F297)</x:f>
        <x:v>#NAME?</x:v>
      </x:c>
      <x:c r="H297" s="20" t="e">
        <x:f>IF(E297&lt;参数与口径!$E$6,"存量兼容Lv1","正常")&amp;IF(D297&lt;&gt;"","；当前已婚但存在离婚日期","")</x:f>
        <x:v>#NAME?</x:v>
      </x:c>
    </x:row>
    <x:row r="298" ht="17">
      <x:c r="A298" s="58">
        <x:v>296</x:v>
      </x:c>
      <x:c r="B298" s="58" t="s">
        <x:v>1220</x:v>
      </x:c>
      <x:c r="C298" s="18" t="s">
        <x:v>1223</x:v>
      </x:c>
      <x:c r="D298" s="18"/>
      <x:c r="E298" s="126">
        <x:v>0</x:v>
      </x:c>
      <x:c r="F298" s="126" t="e">
        <x:f>IF(E298&lt;参数与口径!$E$6,1,MATCH(E298,等级配置!$C$4:$C$103,1))</x:f>
        <x:v>#NAME?</x:v>
      </x:c>
      <x:c r="G298" s="58" t="e">
        <x:f>INDEX(等级配置!$B$4:$B$103,F298)</x:f>
        <x:v>#NAME?</x:v>
      </x:c>
      <x:c r="H298" s="20" t="e">
        <x:f>IF(E298&lt;参数与口径!$E$6,"存量兼容Lv1","正常")&amp;IF(D298&lt;&gt;"","；当前已婚但存在离婚日期","")</x:f>
        <x:v>#NAME?</x:v>
      </x:c>
    </x:row>
    <x:row r="299" ht="17">
      <x:c r="A299" s="58">
        <x:v>297</x:v>
      </x:c>
      <x:c r="B299" s="58" t="s">
        <x:v>1224</x:v>
      </x:c>
      <x:c r="C299" s="18" t="s">
        <x:v>1227</x:v>
      </x:c>
      <x:c r="D299" s="18"/>
      <x:c r="E299" s="126">
        <x:v>0</x:v>
      </x:c>
      <x:c r="F299" s="126" t="e">
        <x:f>IF(E299&lt;参数与口径!$E$6,1,MATCH(E299,等级配置!$C$4:$C$103,1))</x:f>
        <x:v>#NAME?</x:v>
      </x:c>
      <x:c r="G299" s="58" t="e">
        <x:f>INDEX(等级配置!$B$4:$B$103,F299)</x:f>
        <x:v>#NAME?</x:v>
      </x:c>
      <x:c r="H299" s="20" t="e">
        <x:f>IF(E299&lt;参数与口径!$E$6,"存量兼容Lv1","正常")&amp;IF(D299&lt;&gt;"","；当前已婚但存在离婚日期","")</x:f>
        <x:v>#NAME?</x:v>
      </x:c>
    </x:row>
    <x:row r="300" ht="17">
      <x:c r="A300" s="58">
        <x:v>298</x:v>
      </x:c>
      <x:c r="B300" s="58" t="s">
        <x:v>1228</x:v>
      </x:c>
      <x:c r="C300" s="18" t="s">
        <x:v>1231</x:v>
      </x:c>
      <x:c r="D300" s="18"/>
      <x:c r="E300" s="126">
        <x:v>0</x:v>
      </x:c>
      <x:c r="F300" s="126" t="e">
        <x:f>IF(E300&lt;参数与口径!$E$6,1,MATCH(E300,等级配置!$C$4:$C$103,1))</x:f>
        <x:v>#NAME?</x:v>
      </x:c>
      <x:c r="G300" s="58" t="e">
        <x:f>INDEX(等级配置!$B$4:$B$103,F300)</x:f>
        <x:v>#NAME?</x:v>
      </x:c>
      <x:c r="H300" s="20" t="e">
        <x:f>IF(E300&lt;参数与口径!$E$6,"存量兼容Lv1","正常")&amp;IF(D300&lt;&gt;"","；当前已婚但存在离婚日期","")</x:f>
        <x:v>#NAME?</x:v>
      </x:c>
    </x:row>
    <x:row r="301" ht="17">
      <x:c r="A301" s="58">
        <x:v>299</x:v>
      </x:c>
      <x:c r="B301" s="58" t="s">
        <x:v>1232</x:v>
      </x:c>
      <x:c r="C301" s="18" t="s">
        <x:v>1235</x:v>
      </x:c>
      <x:c r="D301" s="18"/>
      <x:c r="E301" s="126">
        <x:v>0</x:v>
      </x:c>
      <x:c r="F301" s="126" t="e">
        <x:f>IF(E301&lt;参数与口径!$E$6,1,MATCH(E301,等级配置!$C$4:$C$103,1))</x:f>
        <x:v>#NAME?</x:v>
      </x:c>
      <x:c r="G301" s="58" t="e">
        <x:f>INDEX(等级配置!$B$4:$B$103,F301)</x:f>
        <x:v>#NAME?</x:v>
      </x:c>
      <x:c r="H301" s="20" t="e">
        <x:f>IF(E301&lt;参数与口径!$E$6,"存量兼容Lv1","正常")&amp;IF(D301&lt;&gt;"","；当前已婚但存在离婚日期","")</x:f>
        <x:v>#NAME?</x:v>
      </x:c>
    </x:row>
    <x:row r="302" ht="17">
      <x:c r="A302" s="58">
        <x:v>300</x:v>
      </x:c>
      <x:c r="B302" s="58" t="s">
        <x:v>1236</x:v>
      </x:c>
      <x:c r="C302" s="18" t="s">
        <x:v>1239</x:v>
      </x:c>
      <x:c r="D302" s="18"/>
      <x:c r="E302" s="126">
        <x:v>0</x:v>
      </x:c>
      <x:c r="F302" s="126" t="e">
        <x:f>IF(E302&lt;参数与口径!$E$6,1,MATCH(E302,等级配置!$C$4:$C$103,1))</x:f>
        <x:v>#NAME?</x:v>
      </x:c>
      <x:c r="G302" s="58" t="e">
        <x:f>INDEX(等级配置!$B$4:$B$103,F302)</x:f>
        <x:v>#NAME?</x:v>
      </x:c>
      <x:c r="H302" s="20" t="e">
        <x:f>IF(E302&lt;参数与口径!$E$6,"存量兼容Lv1","正常")&amp;IF(D302&lt;&gt;"","；当前已婚但存在离婚日期","")</x:f>
        <x:v>#NAME?</x:v>
      </x:c>
    </x:row>
    <x:row r="303" ht="17">
      <x:c r="A303" s="58">
        <x:v>301</x:v>
      </x:c>
      <x:c r="B303" s="58" t="s">
        <x:v>1240</x:v>
      </x:c>
      <x:c r="C303" s="18" t="s">
        <x:v>1243</x:v>
      </x:c>
      <x:c r="D303" s="18"/>
      <x:c r="E303" s="126">
        <x:v>0</x:v>
      </x:c>
      <x:c r="F303" s="126" t="e">
        <x:f>IF(E303&lt;参数与口径!$E$6,1,MATCH(E303,等级配置!$C$4:$C$103,1))</x:f>
        <x:v>#NAME?</x:v>
      </x:c>
      <x:c r="G303" s="58" t="e">
        <x:f>INDEX(等级配置!$B$4:$B$103,F303)</x:f>
        <x:v>#NAME?</x:v>
      </x:c>
      <x:c r="H303" s="20" t="e">
        <x:f>IF(E303&lt;参数与口径!$E$6,"存量兼容Lv1","正常")&amp;IF(D303&lt;&gt;"","；当前已婚但存在离婚日期","")</x:f>
        <x:v>#NAME?</x:v>
      </x:c>
    </x:row>
    <x:row r="304" ht="17">
      <x:c r="A304" s="58">
        <x:v>302</x:v>
      </x:c>
      <x:c r="B304" s="58" t="s">
        <x:v>1244</x:v>
      </x:c>
      <x:c r="C304" s="18" t="s">
        <x:v>1247</x:v>
      </x:c>
      <x:c r="D304" s="18"/>
      <x:c r="E304" s="126">
        <x:v>0</x:v>
      </x:c>
      <x:c r="F304" s="126" t="e">
        <x:f>IF(E304&lt;参数与口径!$E$6,1,MATCH(E304,等级配置!$C$4:$C$103,1))</x:f>
        <x:v>#NAME?</x:v>
      </x:c>
      <x:c r="G304" s="58" t="e">
        <x:f>INDEX(等级配置!$B$4:$B$103,F304)</x:f>
        <x:v>#NAME?</x:v>
      </x:c>
      <x:c r="H304" s="20" t="e">
        <x:f>IF(E304&lt;参数与口径!$E$6,"存量兼容Lv1","正常")&amp;IF(D304&lt;&gt;"","；当前已婚但存在离婚日期","")</x:f>
        <x:v>#NAME?</x:v>
      </x:c>
    </x:row>
    <x:row r="305" ht="17">
      <x:c r="A305" s="58">
        <x:v>303</x:v>
      </x:c>
      <x:c r="B305" s="58" t="s">
        <x:v>1248</x:v>
      </x:c>
      <x:c r="C305" s="18" t="s">
        <x:v>1251</x:v>
      </x:c>
      <x:c r="D305" s="18"/>
      <x:c r="E305" s="126">
        <x:v>0</x:v>
      </x:c>
      <x:c r="F305" s="126" t="e">
        <x:f>IF(E305&lt;参数与口径!$E$6,1,MATCH(E305,等级配置!$C$4:$C$103,1))</x:f>
        <x:v>#NAME?</x:v>
      </x:c>
      <x:c r="G305" s="58" t="e">
        <x:f>INDEX(等级配置!$B$4:$B$103,F305)</x:f>
        <x:v>#NAME?</x:v>
      </x:c>
      <x:c r="H305" s="20" t="e">
        <x:f>IF(E305&lt;参数与口径!$E$6,"存量兼容Lv1","正常")&amp;IF(D305&lt;&gt;"","；当前已婚但存在离婚日期","")</x:f>
        <x:v>#NAME?</x:v>
      </x:c>
    </x:row>
    <x:row r="306" ht="17">
      <x:c r="A306" s="58">
        <x:v>304</x:v>
      </x:c>
      <x:c r="B306" s="58" t="s">
        <x:v>1252</x:v>
      </x:c>
      <x:c r="C306" s="18" t="s">
        <x:v>1255</x:v>
      </x:c>
      <x:c r="D306" s="18"/>
      <x:c r="E306" s="126">
        <x:v>0</x:v>
      </x:c>
      <x:c r="F306" s="126" t="e">
        <x:f>IF(E306&lt;参数与口径!$E$6,1,MATCH(E306,等级配置!$C$4:$C$103,1))</x:f>
        <x:v>#NAME?</x:v>
      </x:c>
      <x:c r="G306" s="58" t="e">
        <x:f>INDEX(等级配置!$B$4:$B$103,F306)</x:f>
        <x:v>#NAME?</x:v>
      </x:c>
      <x:c r="H306" s="20" t="e">
        <x:f>IF(E306&lt;参数与口径!$E$6,"存量兼容Lv1","正常")&amp;IF(D306&lt;&gt;"","；当前已婚但存在离婚日期","")</x:f>
        <x:v>#NAME?</x:v>
      </x:c>
    </x:row>
    <x:row r="307" ht="17">
      <x:c r="A307" s="58">
        <x:v>305</x:v>
      </x:c>
      <x:c r="B307" s="58" t="s">
        <x:v>1256</x:v>
      </x:c>
      <x:c r="C307" s="18" t="s">
        <x:v>1259</x:v>
      </x:c>
      <x:c r="D307" s="18"/>
      <x:c r="E307" s="126">
        <x:v>0</x:v>
      </x:c>
      <x:c r="F307" s="126" t="e">
        <x:f>IF(E307&lt;参数与口径!$E$6,1,MATCH(E307,等级配置!$C$4:$C$103,1))</x:f>
        <x:v>#NAME?</x:v>
      </x:c>
      <x:c r="G307" s="58" t="e">
        <x:f>INDEX(等级配置!$B$4:$B$103,F307)</x:f>
        <x:v>#NAME?</x:v>
      </x:c>
      <x:c r="H307" s="20" t="e">
        <x:f>IF(E307&lt;参数与口径!$E$6,"存量兼容Lv1","正常")&amp;IF(D307&lt;&gt;"","；当前已婚但存在离婚日期","")</x:f>
        <x:v>#NAME?</x:v>
      </x:c>
    </x:row>
    <x:row r="308" ht="17">
      <x:c r="A308" s="58">
        <x:v>306</x:v>
      </x:c>
      <x:c r="B308" s="58" t="s">
        <x:v>1260</x:v>
      </x:c>
      <x:c r="C308" s="18" t="s">
        <x:v>1263</x:v>
      </x:c>
      <x:c r="D308" s="18"/>
      <x:c r="E308" s="126">
        <x:v>0</x:v>
      </x:c>
      <x:c r="F308" s="126" t="e">
        <x:f>IF(E308&lt;参数与口径!$E$6,1,MATCH(E308,等级配置!$C$4:$C$103,1))</x:f>
        <x:v>#NAME?</x:v>
      </x:c>
      <x:c r="G308" s="58" t="e">
        <x:f>INDEX(等级配置!$B$4:$B$103,F308)</x:f>
        <x:v>#NAME?</x:v>
      </x:c>
      <x:c r="H308" s="20" t="e">
        <x:f>IF(E308&lt;参数与口径!$E$6,"存量兼容Lv1","正常")&amp;IF(D308&lt;&gt;"","；当前已婚但存在离婚日期","")</x:f>
        <x:v>#NAME?</x:v>
      </x:c>
    </x:row>
    <x:row r="309" ht="17">
      <x:c r="A309" s="58">
        <x:v>307</x:v>
      </x:c>
      <x:c r="B309" s="58" t="s">
        <x:v>1264</x:v>
      </x:c>
      <x:c r="C309" s="18" t="s">
        <x:v>1267</x:v>
      </x:c>
      <x:c r="D309" s="18"/>
      <x:c r="E309" s="126">
        <x:v>0</x:v>
      </x:c>
      <x:c r="F309" s="126" t="e">
        <x:f>IF(E309&lt;参数与口径!$E$6,1,MATCH(E309,等级配置!$C$4:$C$103,1))</x:f>
        <x:v>#NAME?</x:v>
      </x:c>
      <x:c r="G309" s="58" t="e">
        <x:f>INDEX(等级配置!$B$4:$B$103,F309)</x:f>
        <x:v>#NAME?</x:v>
      </x:c>
      <x:c r="H309" s="20" t="e">
        <x:f>IF(E309&lt;参数与口径!$E$6,"存量兼容Lv1","正常")&amp;IF(D309&lt;&gt;"","；当前已婚但存在离婚日期","")</x:f>
        <x:v>#NAME?</x:v>
      </x:c>
    </x:row>
    <x:row r="310" ht="17">
      <x:c r="A310" s="58">
        <x:v>308</x:v>
      </x:c>
      <x:c r="B310" s="58" t="s">
        <x:v>1268</x:v>
      </x:c>
      <x:c r="C310" s="18" t="s">
        <x:v>1271</x:v>
      </x:c>
      <x:c r="D310" s="18"/>
      <x:c r="E310" s="126">
        <x:v>0</x:v>
      </x:c>
      <x:c r="F310" s="126" t="e">
        <x:f>IF(E310&lt;参数与口径!$E$6,1,MATCH(E310,等级配置!$C$4:$C$103,1))</x:f>
        <x:v>#NAME?</x:v>
      </x:c>
      <x:c r="G310" s="58" t="e">
        <x:f>INDEX(等级配置!$B$4:$B$103,F310)</x:f>
        <x:v>#NAME?</x:v>
      </x:c>
      <x:c r="H310" s="20" t="e">
        <x:f>IF(E310&lt;参数与口径!$E$6,"存量兼容Lv1","正常")&amp;IF(D310&lt;&gt;"","；当前已婚但存在离婚日期","")</x:f>
        <x:v>#NAME?</x:v>
      </x:c>
    </x:row>
    <x:row r="311" ht="17">
      <x:c r="A311" s="58">
        <x:v>309</x:v>
      </x:c>
      <x:c r="B311" s="58" t="s">
        <x:v>1272</x:v>
      </x:c>
      <x:c r="C311" s="18" t="s">
        <x:v>1275</x:v>
      </x:c>
      <x:c r="D311" s="18"/>
      <x:c r="E311" s="126">
        <x:v>0</x:v>
      </x:c>
      <x:c r="F311" s="126" t="e">
        <x:f>IF(E311&lt;参数与口径!$E$6,1,MATCH(E311,等级配置!$C$4:$C$103,1))</x:f>
        <x:v>#NAME?</x:v>
      </x:c>
      <x:c r="G311" s="58" t="e">
        <x:f>INDEX(等级配置!$B$4:$B$103,F311)</x:f>
        <x:v>#NAME?</x:v>
      </x:c>
      <x:c r="H311" s="20" t="e">
        <x:f>IF(E311&lt;参数与口径!$E$6,"存量兼容Lv1","正常")&amp;IF(D311&lt;&gt;"","；当前已婚但存在离婚日期","")</x:f>
        <x:v>#NAME?</x:v>
      </x:c>
    </x:row>
    <x:row r="312" ht="17">
      <x:c r="A312" s="58">
        <x:v>310</x:v>
      </x:c>
      <x:c r="B312" s="58" t="s">
        <x:v>1276</x:v>
      </x:c>
      <x:c r="C312" s="18" t="s">
        <x:v>1279</x:v>
      </x:c>
      <x:c r="D312" s="18"/>
      <x:c r="E312" s="126">
        <x:v>0</x:v>
      </x:c>
      <x:c r="F312" s="126" t="e">
        <x:f>IF(E312&lt;参数与口径!$E$6,1,MATCH(E312,等级配置!$C$4:$C$103,1))</x:f>
        <x:v>#NAME?</x:v>
      </x:c>
      <x:c r="G312" s="58" t="e">
        <x:f>INDEX(等级配置!$B$4:$B$103,F312)</x:f>
        <x:v>#NAME?</x:v>
      </x:c>
      <x:c r="H312" s="20" t="e">
        <x:f>IF(E312&lt;参数与口径!$E$6,"存量兼容Lv1","正常")&amp;IF(D312&lt;&gt;"","；当前已婚但存在离婚日期","")</x:f>
        <x:v>#NAME?</x:v>
      </x:c>
    </x:row>
    <x:row r="313" ht="17">
      <x:c r="A313" s="58">
        <x:v>311</x:v>
      </x:c>
      <x:c r="B313" s="58" t="s">
        <x:v>1280</x:v>
      </x:c>
      <x:c r="C313" s="18" t="s">
        <x:v>1283</x:v>
      </x:c>
      <x:c r="D313" s="18"/>
      <x:c r="E313" s="126">
        <x:v>0</x:v>
      </x:c>
      <x:c r="F313" s="126" t="e">
        <x:f>IF(E313&lt;参数与口径!$E$6,1,MATCH(E313,等级配置!$C$4:$C$103,1))</x:f>
        <x:v>#NAME?</x:v>
      </x:c>
      <x:c r="G313" s="58" t="e">
        <x:f>INDEX(等级配置!$B$4:$B$103,F313)</x:f>
        <x:v>#NAME?</x:v>
      </x:c>
      <x:c r="H313" s="20" t="e">
        <x:f>IF(E313&lt;参数与口径!$E$6,"存量兼容Lv1","正常")&amp;IF(D313&lt;&gt;"","；当前已婚但存在离婚日期","")</x:f>
        <x:v>#NAME?</x:v>
      </x:c>
    </x:row>
    <x:row r="314" ht="17">
      <x:c r="A314" s="58">
        <x:v>312</x:v>
      </x:c>
      <x:c r="B314" s="58" t="s">
        <x:v>1284</x:v>
      </x:c>
      <x:c r="C314" s="18" t="s">
        <x:v>1287</x:v>
      </x:c>
      <x:c r="D314" s="18"/>
      <x:c r="E314" s="126">
        <x:v>0</x:v>
      </x:c>
      <x:c r="F314" s="126" t="e">
        <x:f>IF(E314&lt;参数与口径!$E$6,1,MATCH(E314,等级配置!$C$4:$C$103,1))</x:f>
        <x:v>#NAME?</x:v>
      </x:c>
      <x:c r="G314" s="58" t="e">
        <x:f>INDEX(等级配置!$B$4:$B$103,F314)</x:f>
        <x:v>#NAME?</x:v>
      </x:c>
      <x:c r="H314" s="20" t="e">
        <x:f>IF(E314&lt;参数与口径!$E$6,"存量兼容Lv1","正常")&amp;IF(D314&lt;&gt;"","；当前已婚但存在离婚日期","")</x:f>
        <x:v>#NAME?</x:v>
      </x:c>
    </x:row>
    <x:row r="315" ht="17">
      <x:c r="A315" s="59">
        <x:v>313</x:v>
      </x:c>
      <x:c r="B315" s="59" t="s">
        <x:v>1288</x:v>
      </x:c>
      <x:c r="C315" s="21" t="s">
        <x:v>1291</x:v>
      </x:c>
      <x:c r="D315" s="21"/>
      <x:c r="E315" s="127">
        <x:v>0</x:v>
      </x:c>
      <x:c r="F315" s="127" t="e">
        <x:f>IF(E315&lt;参数与口径!$E$6,1,MATCH(E315,等级配置!$C$4:$C$103,1))</x:f>
        <x:v>#NAME?</x:v>
      </x:c>
      <x:c r="G315" s="59" t="e">
        <x:f>INDEX(等级配置!$B$4:$B$103,F315)</x:f>
        <x:v>#NAME?</x:v>
      </x:c>
      <x:c r="H315" s="22" t="e">
        <x:f>IF(E315&lt;参数与口径!$E$6,"存量兼容Lv1","正常")&amp;IF(D315&lt;&gt;"","；当前已婚但存在离婚日期","")</x:f>
        <x:v>#NAME?</x:v>
      </x:c>
    </x:row>
  </x:sheetData>
  <x:mergeCells>
    <x:mergeCell ref="A1:H1"/>
    <x:mergeCell ref="A2:H2"/>
  </x:mergeCells>
  <x:conditionalFormatting sqref="H4:H315">
    <x:cfRule type="containsText" dxfId="6" priority="1" operator="between" text="低于3500">
      <x:formula>NOT(ISERROR(SEARCH("低于3500",H4)))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18" customWidth="1"/>
    <x:col min="3" max="3" width="29" customWidth="1"/>
    <x:col min="4" max="4" width="3" customWidth="1"/>
    <x:col min="5" max="7" width="20" customWidth="1"/>
    <x:col min="8" max="8" width="33" customWidth="1"/>
  </x:cols>
  <x:sheetData>
    <x:row r="1" ht="29" customHeight="1">
      <x:c r="A1" s="1" t="s">
        <x:v>3584</x:v>
      </x:c>
      <x:c r="B1" s="1" t="s">
        <x:v>3584</x:v>
      </x:c>
      <x:c r="C1" s="1" t="s">
        <x:v>3584</x:v>
      </x:c>
      <x:c r="D1" s="1" t="s">
        <x:v>3584</x:v>
      </x:c>
      <x:c r="E1" s="1" t="s">
        <x:v>3584</x:v>
      </x:c>
      <x:c r="F1" s="1" t="s">
        <x:v>3584</x:v>
      </x:c>
      <x:c r="G1" s="1" t="s">
        <x:v>3584</x:v>
      </x:c>
      <x:c r="H1" s="1" t="s">
        <x:v>3584</x:v>
      </x:c>
    </x:row>
    <x:row r="2" ht="38" customHeight="1">
      <x:c r="A2" s="2" t="s">
        <x:v>3585</x:v>
      </x:c>
      <x:c r="B2" s="2" t="s">
        <x:v>3585</x:v>
      </x:c>
      <x:c r="C2" s="2" t="s">
        <x:v>3585</x:v>
      </x:c>
      <x:c r="D2" s="2" t="s">
        <x:v>3585</x:v>
      </x:c>
      <x:c r="E2" s="2" t="s">
        <x:v>3585</x:v>
      </x:c>
      <x:c r="F2" s="2" t="s">
        <x:v>3585</x:v>
      </x:c>
      <x:c r="G2" s="2" t="s">
        <x:v>3585</x:v>
      </x:c>
      <x:c r="H2" s="2" t="s">
        <x:v>3585</x:v>
      </x:c>
    </x:row>
    <x:row r="4" ht="28" customHeight="1">
      <x:c r="A4" s="46" t="s">
        <x:v>3586</x:v>
      </x:c>
      <x:c r="B4" s="46" t="s">
        <x:v>3587</x:v>
      </x:c>
      <x:c r="C4" s="46" t="s">
        <x:v>3588</x:v>
      </x:c>
      <x:c r="E4" s="3" t="s">
        <x:v>3534</x:v>
      </x:c>
      <x:c r="F4" s="3" t="s">
        <x:v>3535</x:v>
      </x:c>
      <x:c r="G4" s="3" t="s">
        <x:v>3489</x:v>
      </x:c>
      <x:c r="H4" s="3" t="s">
        <x:v>3589</x:v>
      </x:c>
    </x:row>
    <x:row r="5">
      <x:c r="A5" s="122">
        <x:v>0</x:v>
      </x:c>
      <x:c r="B5" s="16" t="e">
        <x:f>_xlfn.PERCENTILE.INC(当前CP样本!$E$4:$E$315,A5)</x:f>
        <x:v>#NAME?</x:v>
      </x:c>
      <x:c r="C5" s="15" t="s">
        <x:v>3590</x:v>
      </x:c>
      <x:c r="E5" s="15" t="s">
        <x:v>3539</x:v>
      </x:c>
      <x:c r="F5" s="15" t="s">
        <x:v>3540</x:v>
      </x:c>
      <x:c r="G5" s="16" t="e">
        <x:f>COUNTIFS(当前CP样本!$F$4:$F$315,"&gt;=1",当前CP样本!$F$4:$F$315,"&lt;=20")</x:f>
        <x:v>#NAME?</x:v>
      </x:c>
      <x:c r="H5" s="92" t="e">
        <x:f>G5/参数与口径!$B$5</x:f>
        <x:v>#NAME?</x:v>
      </x:c>
    </x:row>
    <x:row r="6">
      <x:c r="A6" s="123">
        <x:v>0.1</x:v>
      </x:c>
      <x:c r="B6" s="19" t="e">
        <x:f>_xlfn.PERCENTILE.INC(当前CP样本!$E$4:$E$315,A6)</x:f>
        <x:v>#NAME?</x:v>
      </x:c>
      <x:c r="C6" s="18" t="s">
        <x:v>3591</x:v>
      </x:c>
      <x:c r="E6" s="18" t="s">
        <x:v>3543</x:v>
      </x:c>
      <x:c r="F6" s="18" t="s">
        <x:v>3544</x:v>
      </x:c>
      <x:c r="G6" s="19" t="e">
        <x:f>COUNTIFS(当前CP样本!$F$4:$F$315,"&gt;=21",当前CP样本!$F$4:$F$315,"&lt;=40")</x:f>
        <x:v>#NAME?</x:v>
      </x:c>
      <x:c r="H6" s="96" t="e">
        <x:f>G6/参数与口径!$B$5</x:f>
        <x:v>#NAME?</x:v>
      </x:c>
    </x:row>
    <x:row r="7">
      <x:c r="A7" s="123">
        <x:v>0.25</x:v>
      </x:c>
      <x:c r="B7" s="19" t="e">
        <x:f>_xlfn.PERCENTILE.INC(当前CP样本!$E$4:$E$315,A7)</x:f>
        <x:v>#NAME?</x:v>
      </x:c>
      <x:c r="C7" s="18" t="s">
        <x:v>3592</x:v>
      </x:c>
      <x:c r="E7" s="18" t="s">
        <x:v>3547</x:v>
      </x:c>
      <x:c r="F7" s="18" t="s">
        <x:v>3548</x:v>
      </x:c>
      <x:c r="G7" s="19" t="e">
        <x:f>COUNTIFS(当前CP样本!$F$4:$F$315,"&gt;=41",当前CP样本!$F$4:$F$315,"&lt;=60")</x:f>
        <x:v>#NAME?</x:v>
      </x:c>
      <x:c r="H7" s="96" t="e">
        <x:f>G7/参数与口径!$B$5</x:f>
        <x:v>#NAME?</x:v>
      </x:c>
    </x:row>
    <x:row r="8">
      <x:c r="A8" s="123">
        <x:v>0.5</x:v>
      </x:c>
      <x:c r="B8" s="19" t="e">
        <x:f>_xlfn.PERCENTILE.INC(当前CP样本!$E$4:$E$315,A8)</x:f>
        <x:v>#NAME?</x:v>
      </x:c>
      <x:c r="C8" s="18" t="s">
        <x:v>3593</x:v>
      </x:c>
      <x:c r="E8" s="18" t="s">
        <x:v>3551</x:v>
      </x:c>
      <x:c r="F8" s="18" t="s">
        <x:v>3552</x:v>
      </x:c>
      <x:c r="G8" s="19" t="e">
        <x:f>COUNTIFS(当前CP样本!$F$4:$F$315,"&gt;=61",当前CP样本!$F$4:$F$315,"&lt;=80")</x:f>
        <x:v>#NAME?</x:v>
      </x:c>
      <x:c r="H8" s="96" t="e">
        <x:f>G8/参数与口径!$B$5</x:f>
        <x:v>#NAME?</x:v>
      </x:c>
    </x:row>
    <x:row r="9">
      <x:c r="A9" s="123">
        <x:v>0.75</x:v>
      </x:c>
      <x:c r="B9" s="19" t="e">
        <x:f>_xlfn.PERCENTILE.INC(当前CP样本!$E$4:$E$315,A9)</x:f>
        <x:v>#NAME?</x:v>
      </x:c>
      <x:c r="C9" s="18" t="s">
        <x:v>3594</x:v>
      </x:c>
      <x:c r="E9" s="21" t="s">
        <x:v>3555</x:v>
      </x:c>
      <x:c r="F9" s="21" t="s">
        <x:v>3556</x:v>
      </x:c>
      <x:c r="G9" s="42" t="e">
        <x:f>COUNTIFS(当前CP样本!$F$4:$F$315,"&gt;=81",当前CP样本!$F$4:$F$315,"&lt;=100")</x:f>
        <x:v>#NAME?</x:v>
      </x:c>
      <x:c r="H9" s="100" t="e">
        <x:f>G9/参数与口径!$B$5</x:f>
        <x:v>#NAME?</x:v>
      </x:c>
    </x:row>
    <x:row r="10">
      <x:c r="A10" s="123">
        <x:v>0.9</x:v>
      </x:c>
      <x:c r="B10" s="19" t="e">
        <x:f>_xlfn.PERCENTILE.INC(当前CP样本!$E$4:$E$315,A10)</x:f>
        <x:v>#NAME?</x:v>
      </x:c>
      <x:c r="C10" s="18" t="s">
        <x:v>3595</x:v>
      </x:c>
    </x:row>
    <x:row r="11" ht="28" customHeight="1">
      <x:c r="A11" s="123">
        <x:v>0.95</x:v>
      </x:c>
      <x:c r="B11" s="19" t="e">
        <x:f>_xlfn.PERCENTILE.INC(当前CP样本!$E$4:$E$315,A11)</x:f>
        <x:v>#NAME?</x:v>
      </x:c>
      <x:c r="C11" s="18" t="s">
        <x:v>3596</x:v>
      </x:c>
    </x:row>
    <x:row r="12" ht="24" customHeight="1">
      <x:c r="A12" s="123">
        <x:v>0.99</x:v>
      </x:c>
      <x:c r="B12" s="19" t="e">
        <x:f>_xlfn.PERCENTILE.INC(当前CP样本!$E$4:$E$315,A12)</x:f>
        <x:v>#NAME?</x:v>
      </x:c>
      <x:c r="C12" s="18" t="s">
        <x:v>3597</x:v>
      </x:c>
    </x:row>
    <x:row r="13">
      <x:c r="A13" s="124">
        <x:v>1</x:v>
      </x:c>
      <x:c r="B13" s="42" t="e">
        <x:f>_xlfn.PERCENTILE.INC(当前CP样本!$E$4:$E$315,A13)</x:f>
        <x:v>#NAME?</x:v>
      </x:c>
      <x:c r="C13" s="21" t="s">
        <x:v>3598</x:v>
      </x:c>
    </x:row>
    <x:row r="16" ht="28" customHeight="1">
      <x:c r="A16" s="104" t="s">
        <x:v>3599</x:v>
      </x:c>
      <x:c r="B16" s="104" t="s">
        <x:v>3489</x:v>
      </x:c>
      <x:c r="C16" s="104" t="s">
        <x:v>3589</x:v>
      </x:c>
      <x:c r="E16" s="14" t="s">
        <x:v>3600</x:v>
      </x:c>
      <x:c r="F16" s="14" t="s">
        <x:v>3497</x:v>
      </x:c>
      <x:c r="G16" s="14" t="s">
        <x:v>3601</x:v>
      </x:c>
      <x:c r="H16" s="14" t="s">
        <x:v>3602</x:v>
      </x:c>
    </x:row>
    <x:row r="17" ht="17">
      <x:c r="A17" s="15" t="s">
        <x:v>3603</x:v>
      </x:c>
      <x:c r="B17" s="16" t="e">
        <x:f>COUNTIF(当前CP样本!$E$4:$E$315,0)</x:f>
        <x:v>#NAME?</x:v>
      </x:c>
      <x:c r="C17" s="92" t="e">
        <x:f>B17/参数与口径!$B$5</x:f>
        <x:v>#NAME?</x:v>
      </x:c>
      <x:c r="E17" s="15" t="s">
        <x:v>3604</x:v>
      </x:c>
      <x:c r="F17" s="16">
        <x:v>15705862</x:v>
      </x:c>
      <x:c r="G17" s="15" t="e">
        <x:f>当前CP样本!F4&amp;" / "&amp;当前CP样本!G4</x:f>
        <x:v>#NAME?</x:v>
      </x:c>
      <x:c r="H17" s="17" t="s">
        <x:v>3605</x:v>
      </x:c>
    </x:row>
    <x:row r="18" ht="17">
      <x:c r="A18" s="18" t="s">
        <x:v>3606</x:v>
      </x:c>
      <x:c r="B18" s="19" t="e">
        <x:f>COUNTIFS(当前CP样本!$E$4:$E$315,"&gt;=1",当前CP样本!$E$4:$E$315,"&lt;=999")</x:f>
        <x:v>#NAME?</x:v>
      </x:c>
      <x:c r="C18" s="96" t="e">
        <x:f>B18/参数与口径!$B$5</x:f>
        <x:v>#NAME?</x:v>
      </x:c>
      <x:c r="E18" s="18" t="s">
        <x:v>3607</x:v>
      </x:c>
      <x:c r="F18" s="19">
        <x:v>3550012</x:v>
      </x:c>
      <x:c r="G18" s="18" t="e">
        <x:f>当前CP样本!F5&amp;" / "&amp;当前CP样本!G5</x:f>
        <x:v>#NAME?</x:v>
      </x:c>
      <x:c r="H18" s="20" t="s">
        <x:v>3608</x:v>
      </x:c>
    </x:row>
    <x:row r="19" ht="17">
      <x:c r="A19" s="18" t="s">
        <x:v>3609</x:v>
      </x:c>
      <x:c r="B19" s="19" t="e">
        <x:f>COUNTIFS(当前CP样本!$E$4:$E$315,"&gt;=1000",当前CP样本!$E$4:$E$315,"&lt;=1999")</x:f>
        <x:v>#NAME?</x:v>
      </x:c>
      <x:c r="C19" s="96" t="e">
        <x:f>B19/参数与口径!$B$5</x:f>
        <x:v>#NAME?</x:v>
      </x:c>
      <x:c r="E19" s="18" t="s">
        <x:v>3610</x:v>
      </x:c>
      <x:c r="F19" s="19" t="e">
        <x:f>参数与口径!E14</x:f>
        <x:v>#NAME?</x:v>
      </x:c>
      <x:c r="G19" s="18" t="s">
        <x:v>3611</x:v>
      </x:c>
      <x:c r="H19" s="20" t="s">
        <x:v>3612</x:v>
      </x:c>
    </x:row>
    <x:row r="20" ht="17">
      <x:c r="A20" s="18" t="s">
        <x:v>3613</x:v>
      </x:c>
      <x:c r="B20" s="19" t="e">
        <x:f>COUNTIFS(当前CP样本!$E$4:$E$315,"&gt;=2000",当前CP样本!$E$4:$E$315,"&lt;=9999")</x:f>
        <x:v>#NAME?</x:v>
      </x:c>
      <x:c r="C20" s="96" t="e">
        <x:f>B20/参数与口径!$B$5</x:f>
        <x:v>#NAME?</x:v>
      </x:c>
      <x:c r="E20" s="18" t="s">
        <x:v>3614</x:v>
      </x:c>
      <x:c r="F20" s="19" t="e">
        <x:f>参数与口径!E15</x:f>
        <x:v>#NAME?</x:v>
      </x:c>
      <x:c r="G20" s="18" t="s">
        <x:v>3492</x:v>
      </x:c>
      <x:c r="H20" s="20" t="s">
        <x:v>3615</x:v>
      </x:c>
    </x:row>
    <x:row r="21" ht="17">
      <x:c r="A21" s="18" t="s">
        <x:v>3616</x:v>
      </x:c>
      <x:c r="B21" s="19" t="e">
        <x:f>COUNTIFS(当前CP样本!$E$4:$E$315,"&gt;=10000",当前CP样本!$E$4:$E$315,"&lt;=99999")</x:f>
        <x:v>#NAME?</x:v>
      </x:c>
      <x:c r="C21" s="96" t="e">
        <x:f>B21/参数与口径!$B$5</x:f>
        <x:v>#NAME?</x:v>
      </x:c>
      <x:c r="E21" s="21" t="s">
        <x:v>3617</x:v>
      </x:c>
      <x:c r="F21" s="42" t="e">
        <x:f>COUNTIF(当前CP样本!$F$4:$F$315,100)</x:f>
        <x:v>#NAME?</x:v>
      </x:c>
      <x:c r="G21" s="21" t="s">
        <x:v>3492</x:v>
      </x:c>
      <x:c r="H21" s="22" t="s">
        <x:v>3618</x:v>
      </x:c>
    </x:row>
    <x:row r="22">
      <x:c r="A22" s="18" t="s">
        <x:v>3619</x:v>
      </x:c>
      <x:c r="B22" s="19" t="e">
        <x:f>COUNTIFS(当前CP样本!$E$4:$E$315,"&gt;=100000",当前CP样本!$E$4:$E$315,"&lt;=999999")</x:f>
        <x:v>#NAME?</x:v>
      </x:c>
      <x:c r="C22" s="96" t="e">
        <x:f>B22/参数与口径!$B$5</x:f>
        <x:v>#NAME?</x:v>
      </x:c>
    </x:row>
    <x:row r="23">
      <x:c r="A23" s="18" t="s">
        <x:v>3620</x:v>
      </x:c>
      <x:c r="B23" s="19" t="e">
        <x:f>COUNTIFS(当前CP样本!$E$4:$E$315,"&gt;=1000000",当前CP样本!$E$4:$E$315,"&lt;=4999999")</x:f>
        <x:v>#NAME?</x:v>
      </x:c>
      <x:c r="C23" s="96" t="e">
        <x:f>B23/参数与口径!$B$5</x:f>
        <x:v>#NAME?</x:v>
      </x:c>
    </x:row>
    <x:row r="24">
      <x:c r="A24" s="18" t="s">
        <x:v>3621</x:v>
      </x:c>
      <x:c r="B24" s="19" t="e">
        <x:f>COUNTIFS(当前CP样本!$E$4:$E$315,"&gt;=5000000",当前CP样本!$E$4:$E$315,"&lt;=9999999")</x:f>
        <x:v>#NAME?</x:v>
      </x:c>
      <x:c r="C24" s="96" t="e">
        <x:f>B24/参数与口径!$B$5</x:f>
        <x:v>#NAME?</x:v>
      </x:c>
    </x:row>
    <x:row r="25">
      <x:c r="A25" s="21" t="s">
        <x:v>3622</x:v>
      </x:c>
      <x:c r="B25" s="42" t="e">
        <x:f>COUNTIF(当前CP样本!$E$4:$E$315,"&gt;=10000000")</x:f>
        <x:v>#NAME?</x:v>
      </x:c>
      <x:c r="C25" s="100" t="e">
        <x:f>B25/参数与口径!$B$5</x:f>
        <x:v>#NAME?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5" customWidth="1"/>
    <x:col min="2" max="2" width="22" customWidth="1"/>
    <x:col min="3" max="5" width="18" customWidth="1"/>
    <x:col min="6" max="6" width="3" customWidth="1"/>
    <x:col min="7" max="7" width="23" customWidth="1"/>
    <x:col min="8" max="9" width="18" customWidth="1"/>
    <x:col min="10" max="10" width="35" customWidth="1"/>
    <x:col min="11" max="14" width="11" customWidth="1"/>
  </x:cols>
  <x:sheetData>
    <x:row r="1" ht="29" customHeight="1">
      <x:c r="A1" s="1" t="str">
        <x:v>CP等级与关系礼物综合建议｜Lv100 / 每20级阶段版 v3.7</x:v>
      </x:c>
      <x:c r="B1" s="1"/>
      <x:c r="C1" s="1"/>
      <x:c r="D1" s="1"/>
      <x:c r="E1" s="1"/>
      <x:c r="F1" s="1"/>
      <x:c r="G1" s="1"/>
      <x:c r="H1" s="1"/>
      <x:c r="I1" s="1"/>
      <x:c r="J1" s="1"/>
      <x:c r="K1" s="81"/>
      <x:c r="L1" s="81"/>
      <x:c r="M1" s="81"/>
      <x:c r="N1" s="81"/>
    </x:row>
    <x:row r="2" ht="38" customHeight="1">
      <x:c r="A2" s="2" t="str">
        <x:v>求婚门槛与Lv1为2,000；Bond Tab含1个BOND通用礼物与3个CP专属礼物。日/周任务适用于CP、闺蜜、挚友、兄弟并按relationship_id独立统计；CP同房只认CP房，其他关系统计任意同一房间。</x:v>
      </x:c>
      <x:c r="B2" s="2"/>
      <x:c r="C2" s="2"/>
      <x:c r="D2" s="2"/>
      <x:c r="E2" s="2"/>
      <x:c r="F2" s="2"/>
      <x:c r="G2" s="2"/>
      <x:c r="H2" s="2"/>
      <x:c r="I2" s="2"/>
      <x:c r="J2" s="2"/>
      <x:c r="K2" s="82"/>
      <x:c r="L2" s="82"/>
      <x:c r="M2" s="82"/>
      <x:c r="N2" s="82"/>
    </x:row>
    <x:row r="3">
      <x:c r="K3" s="83"/>
      <x:c r="L3" s="83"/>
      <x:c r="M3" s="83"/>
      <x:c r="N3" s="83"/>
    </x:row>
    <x:row r="4">
      <x:c r="A4" s="84" t="s">
        <x:v>3623</x:v>
      </x:c>
      <x:c r="B4" s="84"/>
      <x:c r="C4" s="84" t="s">
        <x:v>3624</x:v>
      </x:c>
      <x:c r="D4" s="84"/>
      <x:c r="E4" s="84" t="s">
        <x:v>3625</x:v>
      </x:c>
      <x:c r="F4" s="84"/>
      <x:c r="G4" s="84" t="s">
        <x:v>3626</x:v>
      </x:c>
      <x:c r="H4" s="84"/>
      <x:c r="I4" s="84" t="s">
        <x:v>3627</x:v>
      </x:c>
      <x:c r="J4" s="84"/>
      <x:c r="K4" s="85"/>
      <x:c r="L4" s="86"/>
      <x:c r="M4" s="83"/>
      <x:c r="N4" s="83"/>
    </x:row>
    <x:row r="5">
      <x:c r="A5" s="87" t="e">
        <x:f>参数与口径!B5</x:f>
        <x:v>#NAME?</x:v>
      </x:c>
      <x:c r="B5" s="87"/>
      <x:c r="C5" s="87" t="e">
        <x:f>参数与口径!E13</x:f>
        <x:v>#NAME?</x:v>
      </x:c>
      <x:c r="D5" s="87"/>
      <x:c r="E5" s="87" t="e">
        <x:f>当前CP样本!G4</x:f>
        <x:v>#NAME?</x:v>
      </x:c>
      <x:c r="F5" s="87"/>
      <x:c r="G5" s="87" t="e">
        <x:f>参数与口径!E15</x:f>
        <x:v>#NAME?</x:v>
      </x:c>
      <x:c r="H5" s="87"/>
      <x:c r="I5" s="87" t="e">
        <x:f>等级配置!C103</x:f>
        <x:v>#NAME?</x:v>
      </x:c>
      <x:c r="J5" s="87"/>
      <x:c r="K5" s="88"/>
      <x:c r="L5" s="89"/>
      <x:c r="M5" s="83"/>
      <x:c r="N5" s="83"/>
    </x:row>
    <x:row r="6">
      <x:c r="K6" s="90"/>
      <x:c r="L6" s="91"/>
      <x:c r="M6" s="83"/>
      <x:c r="N6" s="83"/>
    </x:row>
    <x:row r="7">
      <x:c r="K7" s="83"/>
      <x:c r="L7" s="83"/>
      <x:c r="M7" s="83"/>
      <x:c r="N7" s="83"/>
    </x:row>
    <x:row r="8" ht="28" customHeight="1">
      <x:c r="A8" s="3" t="s">
        <x:v>3534</x:v>
      </x:c>
      <x:c r="B8" s="3" t="s">
        <x:v>3535</x:v>
      </x:c>
      <x:c r="C8" s="3" t="s">
        <x:v>3489</x:v>
      </x:c>
      <x:c r="D8" s="3" t="s">
        <x:v>3589</x:v>
      </x:c>
      <x:c r="F8" s="46" t="s">
        <x:v>3628</x:v>
      </x:c>
      <x:c r="G8" s="46" t="s">
        <x:v>3628</x:v>
      </x:c>
      <x:c r="H8" s="46" t="s">
        <x:v>3628</x:v>
      </x:c>
      <x:c r="I8" s="46" t="s">
        <x:v>3628</x:v>
      </x:c>
      <x:c r="J8" s="46" t="s">
        <x:v>3628</x:v>
      </x:c>
      <x:c r="K8" s="83"/>
      <x:c r="L8" s="83"/>
      <x:c r="M8" s="83"/>
      <x:c r="N8" s="83"/>
    </x:row>
    <x:row r="9" ht="31" customHeight="1">
      <x:c r="A9" s="15" t="e">
        <x:f>分布分析!E5</x:f>
        <x:v>#NAME?</x:v>
      </x:c>
      <x:c r="B9" s="15" t="e">
        <x:f>分布分析!F5</x:f>
        <x:v>#NAME?</x:v>
      </x:c>
      <x:c r="C9" s="16" t="e">
        <x:f>分布分析!G5</x:f>
        <x:v>#NAME?</x:v>
      </x:c>
      <x:c r="D9" s="92" t="e">
        <x:f>分布分析!H5</x:f>
        <x:v>#NAME?</x:v>
      </x:c>
      <x:c r="F9" s="93" t="s">
        <x:v>3629</x:v>
      </x:c>
      <x:c r="G9" s="94"/>
      <x:c r="H9" s="94"/>
      <x:c r="I9" s="94"/>
      <x:c r="J9" s="95"/>
      <x:c r="K9" s="83"/>
      <x:c r="L9" s="83"/>
      <x:c r="M9" s="83"/>
      <x:c r="N9" s="83"/>
    </x:row>
    <x:row r="10" ht="31" customHeight="1">
      <x:c r="A10" s="18" t="e">
        <x:f>分布分析!E6</x:f>
        <x:v>#NAME?</x:v>
      </x:c>
      <x:c r="B10" s="18" t="e">
        <x:f>分布分析!F6</x:f>
        <x:v>#NAME?</x:v>
      </x:c>
      <x:c r="C10" s="19" t="e">
        <x:f>分布分析!G6</x:f>
        <x:v>#NAME?</x:v>
      </x:c>
      <x:c r="D10" s="96" t="e">
        <x:f>分布分析!H6</x:f>
        <x:v>#NAME?</x:v>
      </x:c>
      <x:c r="F10" s="97" t="s">
        <x:v>3630</x:v>
      </x:c>
      <x:c r="G10" s="98"/>
      <x:c r="H10" s="98"/>
      <x:c r="I10" s="98"/>
      <x:c r="J10" s="99"/>
      <x:c r="K10" s="83"/>
      <x:c r="L10" s="83"/>
      <x:c r="M10" s="83"/>
      <x:c r="N10" s="83"/>
    </x:row>
    <x:row r="11" ht="31" customHeight="1">
      <x:c r="A11" s="18" t="e">
        <x:f>分布分析!E7</x:f>
        <x:v>#NAME?</x:v>
      </x:c>
      <x:c r="B11" s="18" t="e">
        <x:f>分布分析!F7</x:f>
        <x:v>#NAME?</x:v>
      </x:c>
      <x:c r="C11" s="19" t="e">
        <x:f>分布分析!G7</x:f>
        <x:v>#NAME?</x:v>
      </x:c>
      <x:c r="D11" s="96" t="e">
        <x:f>分布分析!H7</x:f>
        <x:v>#NAME?</x:v>
      </x:c>
      <x:c r="F11" s="97" t="s">
        <x:v>3631</x:v>
      </x:c>
      <x:c r="G11" s="98"/>
      <x:c r="H11" s="98"/>
      <x:c r="I11" s="98"/>
      <x:c r="J11" s="99"/>
      <x:c r="K11" s="83"/>
      <x:c r="L11" s="83"/>
      <x:c r="M11" s="83"/>
      <x:c r="N11" s="83"/>
    </x:row>
    <x:row r="12" ht="31" customHeight="1">
      <x:c r="A12" s="18" t="e">
        <x:f>分布分析!E8</x:f>
        <x:v>#NAME?</x:v>
      </x:c>
      <x:c r="B12" s="18" t="e">
        <x:f>分布分析!F8</x:f>
        <x:v>#NAME?</x:v>
      </x:c>
      <x:c r="C12" s="19" t="e">
        <x:f>分布分析!G8</x:f>
        <x:v>#NAME?</x:v>
      </x:c>
      <x:c r="D12" s="96" t="e">
        <x:f>分布分析!H8</x:f>
        <x:v>#NAME?</x:v>
      </x:c>
      <x:c r="F12" s="97" t="str">
        <x:v>4. Bond Tab配置1个BOND通用礼物与3个CP专属礼物；CP礼物按Lv1/Lv10/Lv20解锁。</x:v>
      </x:c>
      <x:c r="G12" s="98"/>
      <x:c r="H12" s="98"/>
      <x:c r="I12" s="98"/>
      <x:c r="J12" s="99"/>
      <x:c r="K12" s="83"/>
      <x:c r="L12" s="83"/>
      <x:c r="M12" s="83"/>
      <x:c r="N12" s="83"/>
    </x:row>
    <x:row r="13" ht="31" customHeight="1">
      <x:c r="A13" s="21" t="e">
        <x:f>分布分析!E9</x:f>
        <x:v>#NAME?</x:v>
      </x:c>
      <x:c r="B13" s="21" t="e">
        <x:f>分布分析!F9</x:f>
        <x:v>#NAME?</x:v>
      </x:c>
      <x:c r="C13" s="42" t="e">
        <x:f>分布分析!G9</x:f>
        <x:v>#NAME?</x:v>
      </x:c>
      <x:c r="D13" s="100" t="e">
        <x:f>分布分析!H9</x:f>
        <x:v>#NAME?</x:v>
      </x:c>
      <x:c r="F13" s="97" t="s">
        <x:v>3632</x:v>
      </x:c>
      <x:c r="G13" s="98"/>
      <x:c r="H13" s="98"/>
      <x:c r="I13" s="98"/>
      <x:c r="J13" s="99"/>
      <x:c r="K13" s="83"/>
      <x:c r="L13" s="83"/>
      <x:c r="M13" s="83"/>
      <x:c r="N13" s="83"/>
    </x:row>
    <x:row r="14" ht="31" customHeight="1">
      <x:c r="F14" s="101" t="str">
        <x:v>6. 四类正式关系共用日/周任务；每段关系40/日、80/周，领取后入账。CP同房只认CP房，其他关系统计任意同一房间。</x:v>
      </x:c>
      <x:c r="G14" s="102"/>
      <x:c r="H14" s="102"/>
      <x:c r="I14" s="102"/>
      <x:c r="J14" s="103"/>
      <x:c r="K14" s="83"/>
      <x:c r="L14" s="83"/>
      <x:c r="M14" s="83"/>
      <x:c r="N14" s="83"/>
    </x:row>
    <x:row r="15">
      <x:c r="K15" s="83"/>
      <x:c r="L15" s="83"/>
      <x:c r="M15" s="83"/>
      <x:c r="N15" s="83"/>
    </x:row>
    <x:row r="16" ht="28" customHeight="1">
      <x:c r="K16" s="83"/>
      <x:c r="L16" s="83"/>
      <x:c r="M16" s="83"/>
      <x:c r="N16" s="83"/>
    </x:row>
    <x:row r="17" ht="28" customHeight="1">
      <x:c r="G17" s="104" t="str">
        <x:v>BOND/CP礼物与结算摘要</x:v>
      </x:c>
      <x:c r="H17" s="104"/>
      <x:c r="I17" s="104"/>
      <x:c r="J17" s="104"/>
      <x:c r="K17" s="83"/>
      <x:c r="L17" s="83"/>
      <x:c r="M17" s="83"/>
      <x:c r="N17" s="83"/>
    </x:row>
    <x:row r="18" ht="30" customHeight="1">
      <x:c r="G18" s="104" t="s">
        <x:v>3633</x:v>
      </x:c>
      <x:c r="H18" s="105" t="s">
        <x:v>3634</x:v>
      </x:c>
      <x:c r="I18" s="104" t="s">
        <x:v>3497</x:v>
      </x:c>
      <x:c r="J18" s="104" t="s">
        <x:v>3635</x:v>
      </x:c>
      <x:c r="K18" s="83"/>
      <x:c r="L18" s="83"/>
      <x:c r="M18" s="83"/>
      <x:c r="N18" s="83"/>
    </x:row>
    <x:row r="19" ht="28" customHeight="1">
      <x:c r="G19" s="297" t="str">
        <x:v>BOND_GIFT_01</x:v>
      </x:c>
      <x:c r="H19" s="311" t="n">
        <x:v>18888</x:v>
      </x:c>
      <x:c r="I19" s="311" t="n">
        <x:v>350</x:v>
      </x:c>
      <x:c r="J19" s="297" t="str">
        <x:v>有效正式关系；支持多选拆子单</x:v>
      </x:c>
      <x:c r="K19" s="297"/>
      <x:c r="L19" s="297"/>
      <x:c r="M19" s="297"/>
      <x:c r="N19" s="297"/>
    </x:row>
    <x:row r="20" ht="28" customHeight="1">
      <x:c r="G20" s="301" t="str">
        <x:v>CP_GIFT_01</x:v>
      </x:c>
      <x:c r="H20" s="312" t="n">
        <x:v>29999</x:v>
      </x:c>
      <x:c r="I20" s="312" t="n">
        <x:v>600</x:v>
      </x:c>
      <x:c r="J20" s="301" t="str">
        <x:v>有效CP；Lv1+</x:v>
      </x:c>
      <x:c r="K20" s="301"/>
      <x:c r="L20" s="301"/>
      <x:c r="M20" s="301"/>
      <x:c r="N20" s="301"/>
    </x:row>
    <x:row r="21" ht="28" customHeight="1">
      <x:c r="A21" s="14" t="s">
        <x:v>3636</x:v>
      </x:c>
      <x:c r="B21" s="14" t="s">
        <x:v>3562</x:v>
      </x:c>
      <x:c r="C21" s="14" t="s">
        <x:v>3637</x:v>
      </x:c>
      <x:c r="D21" s="14" t="s">
        <x:v>3638</x:v>
      </x:c>
      <x:c r="E21" s="14" t="s">
        <x:v>3534</x:v>
      </x:c>
      <x:c r="G21" s="301" t="str">
        <x:v>CP_GIFT_02</x:v>
      </x:c>
      <x:c r="H21" s="312" t="n">
        <x:v>69999</x:v>
      </x:c>
      <x:c r="I21" s="312" t="n">
        <x:v>1750</x:v>
      </x:c>
      <x:c r="J21" s="301" t="str">
        <x:v>有效CP；Lv10+</x:v>
      </x:c>
      <x:c r="K21" s="301"/>
      <x:c r="L21" s="301"/>
      <x:c r="M21" s="301"/>
      <x:c r="N21" s="301"/>
    </x:row>
    <x:row r="22" ht="28" customHeight="1">
      <x:c r="A22" s="15" t="s">
        <x:v>3639</x:v>
      </x:c>
      <x:c r="B22" s="16" t="e">
        <x:f>等级配置!C4</x:f>
        <x:v>#NAME?</x:v>
      </x:c>
      <x:c r="C22" s="16" t="e">
        <x:f>等级配置!D4</x:f>
        <x:v>#NAME?</x:v>
      </x:c>
      <x:c r="D22" s="16" t="e">
        <x:f>等级配置!H4</x:f>
        <x:v>#NAME?</x:v>
      </x:c>
      <x:c r="E22" s="15" t="e">
        <x:f>等级配置!B4</x:f>
        <x:v>#NAME?</x:v>
      </x:c>
      <x:c r="G22" s="301" t="str">
        <x:v>CP_GIFT_03</x:v>
      </x:c>
      <x:c r="H22" s="312" t="n">
        <x:v>199999</x:v>
      </x:c>
      <x:c r="I22" s="312" t="n">
        <x:v>6000</x:v>
      </x:c>
      <x:c r="J22" s="301" t="str">
        <x:v>有效CP；Lv20+</x:v>
      </x:c>
      <x:c r="K22" s="301"/>
      <x:c r="L22" s="301"/>
      <x:c r="M22" s="301"/>
      <x:c r="N22" s="301"/>
    </x:row>
    <x:row r="23" ht="28" customHeight="1">
      <x:c r="A23" s="18" t="s">
        <x:v>3640</x:v>
      </x:c>
      <x:c r="B23" s="19" t="e">
        <x:f>等级配置!C23</x:f>
        <x:v>#NAME?</x:v>
      </x:c>
      <x:c r="C23" s="19" t="e">
        <x:f>等级配置!D23</x:f>
        <x:v>#NAME?</x:v>
      </x:c>
      <x:c r="D23" s="19" t="e">
        <x:f>等级配置!H23</x:f>
        <x:v>#NAME?</x:v>
      </x:c>
      <x:c r="E23" s="18" t="e">
        <x:f>等级配置!B23</x:f>
        <x:v>#NAME?</x:v>
      </x:c>
      <x:c r="G23" s="301" t="str">
        <x:v>普通/幸运礼物</x:v>
      </x:c>
      <x:c r="H23" s="312"/>
      <x:c r="I23" s="312"/>
      <x:c r="J23" s="301" t="str">
        <x:v>按现网/100与floor(/1000)自动入账</x:v>
      </x:c>
      <x:c r="K23" s="301"/>
      <x:c r="L23" s="301"/>
      <x:c r="M23" s="301"/>
      <x:c r="N23" s="301"/>
    </x:row>
    <x:row r="24" ht="28" customHeight="1">
      <x:c r="A24" s="18" t="s">
        <x:v>3641</x:v>
      </x:c>
      <x:c r="B24" s="19" t="e">
        <x:f>等级配置!C24</x:f>
        <x:v>#NAME?</x:v>
      </x:c>
      <x:c r="C24" s="19" t="e">
        <x:f>等级配置!D24</x:f>
        <x:v>#NAME?</x:v>
      </x:c>
      <x:c r="D24" s="19" t="e">
        <x:f>等级配置!H24</x:f>
        <x:v>#NAME?</x:v>
      </x:c>
      <x:c r="E24" s="18" t="e">
        <x:f>等级配置!B24</x:f>
        <x:v>#NAME?</x:v>
      </x:c>
      <x:c r="G24" s="304" t="str">
        <x:v>全关系日/周任务</x:v>
      </x:c>
      <x:c r="H24" s="313"/>
      <x:c r="I24" s="313"/>
      <x:c r="J24" s="304" t="str">
        <x:v>40/关系/日、80/关系/周；领取后入账</x:v>
      </x:c>
      <x:c r="K24" s="304"/>
      <x:c r="L24" s="304"/>
      <x:c r="M24" s="304"/>
      <x:c r="N24" s="304"/>
    </x:row>
    <x:row r="25" ht="28" customHeight="1">
      <x:c r="A25" s="18" t="s">
        <x:v>3642</x:v>
      </x:c>
      <x:c r="B25" s="19" t="e">
        <x:f>等级配置!C43</x:f>
        <x:v>#NAME?</x:v>
      </x:c>
      <x:c r="C25" s="19" t="e">
        <x:f>等级配置!D43</x:f>
        <x:v>#NAME?</x:v>
      </x:c>
      <x:c r="D25" s="19" t="e">
        <x:f>等级配置!H43</x:f>
        <x:v>#NAME?</x:v>
      </x:c>
      <x:c r="E25" s="18" t="e">
        <x:f>等级配置!B43</x:f>
        <x:v>#NAME?</x:v>
      </x:c>
      <x:c r="G25" s="104" t="s">
        <x:v>3643</x:v>
      </x:c>
      <x:c r="H25" s="104"/>
      <x:c r="I25" s="104"/>
      <x:c r="J25" s="104"/>
      <x:c r="K25" s="83"/>
      <x:c r="L25" s="83"/>
      <x:c r="M25" s="83"/>
      <x:c r="N25" s="83"/>
    </x:row>
    <x:row r="26" ht="32" customHeight="1">
      <x:c r="A26" s="18" t="s">
        <x:v>3644</x:v>
      </x:c>
      <x:c r="B26" s="19" t="e">
        <x:f>等级配置!C44</x:f>
        <x:v>#NAME?</x:v>
      </x:c>
      <x:c r="C26" s="19" t="e">
        <x:f>等级配置!D44</x:f>
        <x:v>#NAME?</x:v>
      </x:c>
      <x:c r="D26" s="19" t="e">
        <x:f>等级配置!H44</x:f>
        <x:v>#NAME?</x:v>
      </x:c>
      <x:c r="E26" s="18" t="e">
        <x:f>等级配置!B44</x:f>
        <x:v>#NAME?</x:v>
      </x:c>
      <x:c r="G26" s="106" t="str">
        <x:v>1. 普通、幸运、BOND、CP礼物分别落source_type与订单/子单快照。</x:v>
      </x:c>
      <x:c r="H26" s="107"/>
      <x:c r="I26" s="107"/>
      <x:c r="J26" s="108"/>
      <x:c r="K26" s="83"/>
      <x:c r="L26" s="83"/>
      <x:c r="M26" s="83"/>
      <x:c r="N26" s="83"/>
    </x:row>
    <x:row r="27" ht="32" customHeight="1">
      <x:c r="A27" s="18" t="s">
        <x:v>3645</x:v>
      </x:c>
      <x:c r="B27" s="19" t="e">
        <x:f>等级配置!C63</x:f>
        <x:v>#NAME?</x:v>
      </x:c>
      <x:c r="C27" s="19" t="e">
        <x:f>等级配置!D63</x:f>
        <x:v>#NAME?</x:v>
      </x:c>
      <x:c r="D27" s="19" t="e">
        <x:f>等级配置!H63</x:f>
        <x:v>#NAME?</x:v>
      </x:c>
      <x:c r="E27" s="18" t="e">
        <x:f>等级配置!B63</x:f>
        <x:v>#NAME?</x:v>
      </x:c>
      <x:c r="G27" s="109" t="str">
        <x:v>2. BOND多选先逐个预校验，支付后按每个关系子单独立加值、任务、退款与补偿。</x:v>
      </x:c>
      <x:c r="H27" s="110"/>
      <x:c r="I27" s="110"/>
      <x:c r="J27" s="111"/>
      <x:c r="K27" s="83"/>
      <x:c r="L27" s="83"/>
      <x:c r="M27" s="83"/>
      <x:c r="N27" s="83"/>
    </x:row>
    <x:row r="28" ht="32" customHeight="1">
      <x:c r="A28" s="18" t="s">
        <x:v>3646</x:v>
      </x:c>
      <x:c r="B28" s="19" t="e">
        <x:f>等级配置!C64</x:f>
        <x:v>#NAME?</x:v>
      </x:c>
      <x:c r="C28" s="19" t="e">
        <x:f>等级配置!D64</x:f>
        <x:v>#NAME?</x:v>
      </x:c>
      <x:c r="D28" s="19" t="e">
        <x:f>等级配置!H64</x:f>
        <x:v>#NAME?</x:v>
      </x:c>
      <x:c r="E28" s="18" t="e">
        <x:f>等级配置!B64</x:f>
        <x:v>#NAME?</x:v>
      </x:c>
      <x:c r="G28" s="109" t="str">
        <x:v>3. CP礼物固定值不由19999/59999/199999实时乘倍率计算。</x:v>
      </x:c>
      <x:c r="H28" s="110"/>
      <x:c r="I28" s="110"/>
      <x:c r="J28" s="111"/>
      <x:c r="K28" s="112"/>
      <x:c r="L28" s="112"/>
      <x:c r="M28" s="112"/>
      <x:c r="N28" s="112"/>
    </x:row>
    <x:row r="29" ht="32" customHeight="1">
      <x:c r="A29" s="18" t="s">
        <x:v>3647</x:v>
      </x:c>
      <x:c r="B29" s="19" t="e">
        <x:f>等级配置!C75</x:f>
        <x:v>#NAME?</x:v>
      </x:c>
      <x:c r="C29" s="19" t="e">
        <x:f>等级配置!D75</x:f>
        <x:v>#NAME?</x:v>
      </x:c>
      <x:c r="D29" s="19" t="e">
        <x:f>等级配置!H75</x:f>
        <x:v>#NAME?</x:v>
      </x:c>
      <x:c r="E29" s="18" t="e">
        <x:f>等级配置!B75</x:f>
        <x:v>#NAME?</x:v>
      </x:c>
      <x:c r="G29" s="109" t="str">
        <x:v>4. 任务按relationship_id独立统计与领取；同一同房/同麦事件可推进多段关系，但时长不分摊、不重复累计。</x:v>
      </x:c>
      <x:c r="H29" s="110"/>
      <x:c r="I29" s="110"/>
      <x:c r="J29" s="111"/>
      <x:c r="K29" s="113"/>
      <x:c r="L29" s="113"/>
      <x:c r="M29" s="113"/>
      <x:c r="N29" s="114"/>
    </x:row>
    <x:row r="30" ht="32" customHeight="1">
      <x:c r="A30" s="18" t="s">
        <x:v>3648</x:v>
      </x:c>
      <x:c r="B30" s="19" t="e">
        <x:f>等级配置!C83</x:f>
        <x:v>#NAME?</x:v>
      </x:c>
      <x:c r="C30" s="19" t="e">
        <x:f>等级配置!D83</x:f>
        <x:v>#NAME?</x:v>
      </x:c>
      <x:c r="D30" s="19" t="e">
        <x:f>等级配置!H83</x:f>
        <x:v>#NAME?</x:v>
      </x:c>
      <x:c r="E30" s="18" t="e">
        <x:f>等级配置!B83</x:f>
        <x:v>#NAME?</x:v>
      </x:c>
      <x:c r="G30" s="115" t="str">
        <x:v>5. UTC+3自然日、22:00衰减判断与任务周期必须一致。</x:v>
      </x:c>
      <x:c r="H30" s="116"/>
      <x:c r="I30" s="116"/>
      <x:c r="J30" s="117"/>
      <x:c r="K30" s="118"/>
      <x:c r="L30" s="118"/>
      <x:c r="M30" s="118"/>
      <x:c r="N30" s="119"/>
    </x:row>
    <x:row r="31" ht="34" customHeight="1">
      <x:c r="A31" s="18" t="s">
        <x:v>3649</x:v>
      </x:c>
      <x:c r="B31" s="19" t="e">
        <x:f>等级配置!C84</x:f>
        <x:v>#NAME?</x:v>
      </x:c>
      <x:c r="C31" s="19" t="e">
        <x:f>等级配置!D84</x:f>
        <x:v>#NAME?</x:v>
      </x:c>
      <x:c r="D31" s="19" t="e">
        <x:f>等级配置!H84</x:f>
        <x:v>#NAME?</x:v>
      </x:c>
      <x:c r="E31" s="18" t="e">
        <x:f>等级配置!B84</x:f>
        <x:v>#NAME?</x:v>
      </x:c>
      <x:c r="K31" s="118"/>
      <x:c r="L31" s="118"/>
      <x:c r="M31" s="118"/>
      <x:c r="N31" s="119"/>
    </x:row>
    <x:row r="32" ht="34" customHeight="1">
      <x:c r="A32" s="21" t="s">
        <x:v>3650</x:v>
      </x:c>
      <x:c r="B32" s="42" t="e">
        <x:f>等级配置!C103</x:f>
        <x:v>#NAME?</x:v>
      </x:c>
      <x:c r="C32" s="42" t="e">
        <x:f>等级配置!D103</x:f>
        <x:v>#NAME?</x:v>
      </x:c>
      <x:c r="D32" s="42" t="e">
        <x:f>等级配置!H103</x:f>
        <x:v>#NAME?</x:v>
      </x:c>
      <x:c r="E32" s="21" t="e">
        <x:f>等级配置!B103</x:f>
        <x:v>#NAME?</x:v>
      </x:c>
      <x:c r="K32" s="120"/>
      <x:c r="L32" s="120"/>
      <x:c r="M32" s="120"/>
      <x:c r="N32" s="121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5"/>
    <x:mergeCell ref="C5:D5"/>
    <x:mergeCell ref="E5:F5"/>
    <x:mergeCell ref="G5:H5"/>
    <x:mergeCell ref="I5:J5"/>
    <x:mergeCell ref="F8:J8"/>
    <x:mergeCell ref="F9:J9"/>
    <x:mergeCell ref="F10:J10"/>
    <x:mergeCell ref="F11:J11"/>
    <x:mergeCell ref="F12:J12"/>
    <x:mergeCell ref="F13:J13"/>
    <x:mergeCell ref="F14:J14"/>
    <x:mergeCell ref="G25:J25"/>
    <x:mergeCell ref="G26:J26"/>
    <x:mergeCell ref="G27:J27"/>
    <x:mergeCell ref="G28:J28"/>
    <x:mergeCell ref="G29:J29"/>
    <x:mergeCell ref="G30:J30"/>
    <x:mergeCell ref="F12:N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0" customWidth="1"/>
    <x:col min="2" max="9" width="16" customWidth="1"/>
    <x:col min="10" max="10" width="11" customWidth="1"/>
    <x:col min="11" max="12" width="21" customWidth="1"/>
    <x:col min="13" max="13" width="36" customWidth="1"/>
  </x:cols>
  <x:sheetData>
    <x:row r="1" ht="30" customHeight="1">
      <x:c r="A1" s="1" t="s">
        <x:v>3651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56" t="s">
        <x:v>3561</x:v>
      </x:c>
      <x:c r="B2" s="56" t="s">
        <x:v>3652</x:v>
      </x:c>
      <x:c r="C2" s="56"/>
      <x:c r="D2" s="56" t="s">
        <x:v>3653</x:v>
      </x:c>
      <x:c r="E2" s="56"/>
      <x:c r="F2" s="56" t="s">
        <x:v>3654</x:v>
      </x:c>
      <x:c r="G2" s="56"/>
      <x:c r="H2" s="56" t="s">
        <x:v>3655</x:v>
      </x:c>
      <x:c r="I2" s="56"/>
      <x:c r="J2" s="46" t="s">
        <x:v>3656</x:v>
      </x:c>
      <x:c r="K2" s="46"/>
      <x:c r="L2" s="46"/>
      <x:c r="M2" s="46"/>
    </x:row>
    <x:row r="3" ht="34" customHeight="1">
      <x:c r="A3" s="56"/>
      <x:c r="B3" s="56" t="s">
        <x:v>3657</x:v>
      </x:c>
      <x:c r="C3" s="56" t="s">
        <x:v>3658</x:v>
      </x:c>
      <x:c r="D3" s="56" t="s">
        <x:v>3657</x:v>
      </x:c>
      <x:c r="E3" s="56" t="s">
        <x:v>3658</x:v>
      </x:c>
      <x:c r="F3" s="56" t="s">
        <x:v>3657</x:v>
      </x:c>
      <x:c r="G3" s="56" t="s">
        <x:v>3658</x:v>
      </x:c>
      <x:c r="H3" s="56" t="s">
        <x:v>3657</x:v>
      </x:c>
      <x:c r="I3" s="56" t="s">
        <x:v>3658</x:v>
      </x:c>
      <x:c r="J3" s="46" t="s">
        <x:v>3659</x:v>
      </x:c>
      <x:c r="K3" s="46" t="s">
        <x:v>3562</x:v>
      </x:c>
      <x:c r="L3" s="46" t="s">
        <x:v>3660</x:v>
      </x:c>
      <x:c r="M3" s="46" t="s">
        <x:v>3661</x:v>
      </x:c>
    </x:row>
    <x:row r="4" ht="22" customHeight="1">
      <x:c r="A4" s="57">
        <x:v>1</x:v>
      </x:c>
      <x:c r="B4" s="16">
        <x:v>0</x:v>
      </x:c>
      <x:c r="C4" s="16">
        <x:v>0</x:v>
      </x:c>
      <x:c r="D4" s="16">
        <x:v>0</x:v>
      </x:c>
      <x:c r="E4" s="16">
        <x:v>0</x:v>
      </x:c>
      <x:c r="F4" s="16">
        <x:v>0</x:v>
      </x:c>
      <x:c r="G4" s="16">
        <x:v>0</x:v>
      </x:c>
      <x:c r="H4" s="16">
        <x:v>0</x:v>
      </x:c>
      <x:c r="I4" s="16">
        <x:v>0</x:v>
      </x:c>
      <x:c r="J4" s="60">
        <x:v>1</x:v>
      </x:c>
      <x:c r="K4" s="61">
        <x:v>2000</x:v>
      </x:c>
      <x:c r="L4" s="62" t="n">
        <x:f t="shared" ref="L4:L67" si="0">E4</x:f>
        <x:v>0</x:v>
      </x:c>
      <x:c r="M4" s="63" t="s">
        <x:v>3662</x:v>
      </x:c>
    </x:row>
    <x:row r="5" ht="22" customHeight="1">
      <x:c r="A5" s="58">
        <x:v>2</x:v>
      </x:c>
      <x:c r="B5" s="19">
        <x:v>60</x:v>
      </x:c>
      <x:c r="C5" s="19">
        <x:v>60000</x:v>
      </x:c>
      <x:c r="D5" s="19">
        <x:v>250</x:v>
      </x:c>
      <x:c r="E5" s="19">
        <x:v>250</x:v>
      </x:c>
      <x:c r="F5" s="19">
        <x:v>3000</x:v>
      </x:c>
      <x:c r="G5" s="19">
        <x:v>3000</x:v>
      </x:c>
      <x:c r="H5" s="19">
        <x:v>1000</x:v>
      </x:c>
      <x:c r="I5" s="19">
        <x:v>1000</x:v>
      </x:c>
      <x:c r="J5" s="64">
        <x:v>2</x:v>
      </x:c>
      <x:c r="K5" s="65">
        <x:v>5000</x:v>
      </x:c>
      <x:c r="L5" s="66">
        <x:f t="shared" si="0"/>
        <x:v>250</x:v>
      </x:c>
      <x:c r="M5" s="67" t="s">
        <x:v>3662</x:v>
      </x:c>
    </x:row>
    <x:row r="6" ht="22" customHeight="1">
      <x:c r="A6" s="58">
        <x:v>3</x:v>
      </x:c>
      <x:c r="B6" s="19">
        <x:v>240</x:v>
      </x:c>
      <x:c r="C6" s="19">
        <x:v>240000</x:v>
      </x:c>
      <x:c r="D6" s="19">
        <x:v>500</x:v>
      </x:c>
      <x:c r="E6" s="19">
        <x:v>750</x:v>
      </x:c>
      <x:c r="F6" s="19">
        <x:v>6000</x:v>
      </x:c>
      <x:c r="G6" s="19">
        <x:v>9000</x:v>
      </x:c>
      <x:c r="H6" s="19">
        <x:v>2000</x:v>
      </x:c>
      <x:c r="I6" s="19">
        <x:v>3000</x:v>
      </x:c>
      <x:c r="J6" s="64">
        <x:v>3</x:v>
      </x:c>
      <x:c r="K6" s="65">
        <x:v>12000</x:v>
      </x:c>
      <x:c r="L6" s="66">
        <x:f t="shared" si="0"/>
        <x:v>750</x:v>
      </x:c>
      <x:c r="M6" s="67" t="s">
        <x:v>3662</x:v>
      </x:c>
    </x:row>
    <x:row r="7" ht="22" customHeight="1">
      <x:c r="A7" s="58">
        <x:v>4</x:v>
      </x:c>
      <x:c r="B7" s="19">
        <x:v>600</x:v>
      </x:c>
      <x:c r="C7" s="19">
        <x:v>600000</x:v>
      </x:c>
      <x:c r="D7" s="19">
        <x:v>800</x:v>
      </x:c>
      <x:c r="E7" s="19">
        <x:v>1550</x:v>
      </x:c>
      <x:c r="F7" s="19">
        <x:v>9000</x:v>
      </x:c>
      <x:c r="G7" s="19">
        <x:v>18000</x:v>
      </x:c>
      <x:c r="H7" s="19">
        <x:v>3000</x:v>
      </x:c>
      <x:c r="I7" s="19">
        <x:v>6000</x:v>
      </x:c>
      <x:c r="J7" s="64">
        <x:v>4</x:v>
      </x:c>
      <x:c r="K7" s="65">
        <x:v>24000</x:v>
      </x:c>
      <x:c r="L7" s="66">
        <x:f t="shared" si="0"/>
        <x:v>1550</x:v>
      </x:c>
      <x:c r="M7" s="67" t="s">
        <x:v>3662</x:v>
      </x:c>
    </x:row>
    <x:row r="8" ht="22" customHeight="1">
      <x:c r="A8" s="58">
        <x:v>5</x:v>
      </x:c>
      <x:c r="B8" s="19">
        <x:v>1200</x:v>
      </x:c>
      <x:c r="C8" s="19">
        <x:v>1200000</x:v>
      </x:c>
      <x:c r="D8" s="19">
        <x:v>1000</x:v>
      </x:c>
      <x:c r="E8" s="19">
        <x:v>2550</x:v>
      </x:c>
      <x:c r="F8" s="19">
        <x:v>12000</x:v>
      </x:c>
      <x:c r="G8" s="19">
        <x:v>30000</x:v>
      </x:c>
      <x:c r="H8" s="19">
        <x:v>4000</x:v>
      </x:c>
      <x:c r="I8" s="19">
        <x:v>10000</x:v>
      </x:c>
      <x:c r="J8" s="64">
        <x:v>5</x:v>
      </x:c>
      <x:c r="K8" s="65" t="e">
        <x:f>ROUND((参数与口径!$E$16+E8*参数与口径!$E$9)/IF(A8&lt;=20,参数与口径!$E$10,IF(A8&lt;=80,参数与口径!$E$11,参数与口径!$E$12)),0)*IF(A8&lt;=20,参数与口径!$E$10,IF(A8&lt;=80,参数与口径!$E$11,参数与口径!$E$12))</x:f>
        <x:v>#NAME?</x:v>
      </x:c>
      <x:c r="L8" s="66">
        <x:f t="shared" si="0"/>
        <x:v>2550</x:v>
      </x:c>
      <x:c r="M8" s="67" t="s">
        <x:v>3663</x:v>
      </x:c>
    </x:row>
    <x:row r="9" ht="22" customHeight="1">
      <x:c r="A9" s="58">
        <x:v>6</x:v>
      </x:c>
      <x:c r="B9" s="19">
        <x:v>2100</x:v>
      </x:c>
      <x:c r="C9" s="19">
        <x:v>2100000</x:v>
      </x:c>
      <x:c r="D9" s="19">
        <x:v>1250</x:v>
      </x:c>
      <x:c r="E9" s="19">
        <x:v>3800</x:v>
      </x:c>
      <x:c r="F9" s="19">
        <x:v>15000</x:v>
      </x:c>
      <x:c r="G9" s="19">
        <x:v>45000</x:v>
      </x:c>
      <x:c r="H9" s="19">
        <x:v>5000</x:v>
      </x:c>
      <x:c r="I9" s="19">
        <x:v>15000</x:v>
      </x:c>
      <x:c r="J9" s="64">
        <x:v>6</x:v>
      </x:c>
      <x:c r="K9" s="65" t="e">
        <x:f>ROUND((参数与口径!$E$16+E9*参数与口径!$E$9)/IF(A9&lt;=20,参数与口径!$E$10,IF(A9&lt;=80,参数与口径!$E$11,参数与口径!$E$12)),0)*IF(A9&lt;=20,参数与口径!$E$10,IF(A9&lt;=80,参数与口径!$E$11,参数与口径!$E$12))</x:f>
        <x:v>#NAME?</x:v>
      </x:c>
      <x:c r="L9" s="66">
        <x:f t="shared" si="0"/>
        <x:v>3800</x:v>
      </x:c>
      <x:c r="M9" s="67" t="s">
        <x:v>3664</x:v>
      </x:c>
    </x:row>
    <x:row r="10" ht="22" customHeight="1">
      <x:c r="A10" s="58">
        <x:v>7</x:v>
      </x:c>
      <x:c r="B10" s="19">
        <x:v>3360</x:v>
      </x:c>
      <x:c r="C10" s="19">
        <x:v>3360000</x:v>
      </x:c>
      <x:c r="D10" s="19">
        <x:v>1620</x:v>
      </x:c>
      <x:c r="E10" s="19">
        <x:v>5420</x:v>
      </x:c>
      <x:c r="F10" s="19">
        <x:v>18000</x:v>
      </x:c>
      <x:c r="G10" s="19">
        <x:v>63000</x:v>
      </x:c>
      <x:c r="H10" s="19">
        <x:v>6000</x:v>
      </x:c>
      <x:c r="I10" s="19">
        <x:v>21000</x:v>
      </x:c>
      <x:c r="J10" s="64">
        <x:v>7</x:v>
      </x:c>
      <x:c r="K10" s="65" t="e">
        <x:f>ROUND((参数与口径!$E$16+E10*参数与口径!$E$9)/IF(A10&lt;=20,参数与口径!$E$10,IF(A10&lt;=80,参数与口径!$E$11,参数与口径!$E$12)),0)*IF(A10&lt;=20,参数与口径!$E$10,IF(A10&lt;=80,参数与口径!$E$11,参数与口径!$E$12))</x:f>
        <x:v>#NAME?</x:v>
      </x:c>
      <x:c r="L10" s="66">
        <x:f t="shared" si="0"/>
        <x:v>5420</x:v>
      </x:c>
      <x:c r="M10" s="67" t="s">
        <x:v>3664</x:v>
      </x:c>
    </x:row>
    <x:row r="11" ht="22" customHeight="1">
      <x:c r="A11" s="58">
        <x:v>8</x:v>
      </x:c>
      <x:c r="B11" s="19">
        <x:v>5040</x:v>
      </x:c>
      <x:c r="C11" s="19">
        <x:v>5040000</x:v>
      </x:c>
      <x:c r="D11" s="19">
        <x:v>1890</x:v>
      </x:c>
      <x:c r="E11" s="19">
        <x:v>7310</x:v>
      </x:c>
      <x:c r="F11" s="19">
        <x:v>21000</x:v>
      </x:c>
      <x:c r="G11" s="19">
        <x:v>84000</x:v>
      </x:c>
      <x:c r="H11" s="19">
        <x:v>7000</x:v>
      </x:c>
      <x:c r="I11" s="19">
        <x:v>28000</x:v>
      </x:c>
      <x:c r="J11" s="64">
        <x:v>8</x:v>
      </x:c>
      <x:c r="K11" s="65" t="e">
        <x:f>ROUND((参数与口径!$E$16+E11*参数与口径!$E$9)/IF(A11&lt;=20,参数与口径!$E$10,IF(A11&lt;=80,参数与口径!$E$11,参数与口径!$E$12)),0)*IF(A11&lt;=20,参数与口径!$E$10,IF(A11&lt;=80,参数与口径!$E$11,参数与口径!$E$12))</x:f>
        <x:v>#NAME?</x:v>
      </x:c>
      <x:c r="L11" s="66">
        <x:f t="shared" si="0"/>
        <x:v>7310</x:v>
      </x:c>
      <x:c r="M11" s="67" t="s">
        <x:v>3664</x:v>
      </x:c>
    </x:row>
    <x:row r="12" ht="22" customHeight="1">
      <x:c r="A12" s="58">
        <x:v>9</x:v>
      </x:c>
      <x:c r="B12" s="19">
        <x:v>7200</x:v>
      </x:c>
      <x:c r="C12" s="19">
        <x:v>7200000</x:v>
      </x:c>
      <x:c r="D12" s="19">
        <x:v>2160</x:v>
      </x:c>
      <x:c r="E12" s="19">
        <x:v>9470</x:v>
      </x:c>
      <x:c r="F12" s="19">
        <x:v>24000</x:v>
      </x:c>
      <x:c r="G12" s="19">
        <x:v>108000</x:v>
      </x:c>
      <x:c r="H12" s="19">
        <x:v>8000</x:v>
      </x:c>
      <x:c r="I12" s="19">
        <x:v>36000</x:v>
      </x:c>
      <x:c r="J12" s="64">
        <x:v>9</x:v>
      </x:c>
      <x:c r="K12" s="65" t="e">
        <x:f>ROUND((参数与口径!$E$16+E12*参数与口径!$E$9)/IF(A12&lt;=20,参数与口径!$E$10,IF(A12&lt;=80,参数与口径!$E$11,参数与口径!$E$12)),0)*IF(A12&lt;=20,参数与口径!$E$10,IF(A12&lt;=80,参数与口径!$E$11,参数与口径!$E$12))</x:f>
        <x:v>#NAME?</x:v>
      </x:c>
      <x:c r="L12" s="66">
        <x:f t="shared" si="0"/>
        <x:v>9470</x:v>
      </x:c>
      <x:c r="M12" s="67" t="s">
        <x:v>3664</x:v>
      </x:c>
    </x:row>
    <x:row r="13" ht="22" customHeight="1">
      <x:c r="A13" s="58">
        <x:v>10</x:v>
      </x:c>
      <x:c r="B13" s="19">
        <x:v>9900</x:v>
      </x:c>
      <x:c r="C13" s="19">
        <x:v>9900000</x:v>
      </x:c>
      <x:c r="D13" s="19">
        <x:v>2430</x:v>
      </x:c>
      <x:c r="E13" s="19">
        <x:v>11900</x:v>
      </x:c>
      <x:c r="F13" s="19">
        <x:v>27000</x:v>
      </x:c>
      <x:c r="G13" s="19">
        <x:v>135000</x:v>
      </x:c>
      <x:c r="H13" s="19">
        <x:v>9000</x:v>
      </x:c>
      <x:c r="I13" s="19">
        <x:v>45000</x:v>
      </x:c>
      <x:c r="J13" s="64">
        <x:v>10</x:v>
      </x:c>
      <x:c r="K13" s="65" t="e">
        <x:f>ROUND((参数与口径!$E$16+E13*参数与口径!$E$9)/IF(A13&lt;=20,参数与口径!$E$10,IF(A13&lt;=80,参数与口径!$E$11,参数与口径!$E$12)),0)*IF(A13&lt;=20,参数与口径!$E$10,IF(A13&lt;=80,参数与口径!$E$11,参数与口径!$E$12))</x:f>
        <x:v>#NAME?</x:v>
      </x:c>
      <x:c r="L13" s="66">
        <x:f t="shared" si="0"/>
        <x:v>11900</x:v>
      </x:c>
      <x:c r="M13" s="67" t="s">
        <x:v>3664</x:v>
      </x:c>
    </x:row>
    <x:row r="14" ht="22" customHeight="1">
      <x:c r="A14" s="58">
        <x:v>11</x:v>
      </x:c>
      <x:c r="B14" s="19">
        <x:v>13200</x:v>
      </x:c>
      <x:c r="C14" s="19">
        <x:v>13200000</x:v>
      </x:c>
      <x:c r="D14" s="19">
        <x:v>2700</x:v>
      </x:c>
      <x:c r="E14" s="19">
        <x:v>14600</x:v>
      </x:c>
      <x:c r="F14" s="19">
        <x:v>30000</x:v>
      </x:c>
      <x:c r="G14" s="19">
        <x:v>165000</x:v>
      </x:c>
      <x:c r="H14" s="19">
        <x:v>10000</x:v>
      </x:c>
      <x:c r="I14" s="19">
        <x:v>55000</x:v>
      </x:c>
      <x:c r="J14" s="64">
        <x:v>11</x:v>
      </x:c>
      <x:c r="K14" s="65" t="e">
        <x:f>ROUND((参数与口径!$E$16+E14*参数与口径!$E$9)/IF(A14&lt;=20,参数与口径!$E$10,IF(A14&lt;=80,参数与口径!$E$11,参数与口径!$E$12)),0)*IF(A14&lt;=20,参数与口径!$E$10,IF(A14&lt;=80,参数与口径!$E$11,参数与口径!$E$12))</x:f>
        <x:v>#NAME?</x:v>
      </x:c>
      <x:c r="L14" s="66">
        <x:f t="shared" si="0"/>
        <x:v>14600</x:v>
      </x:c>
      <x:c r="M14" s="67" t="s">
        <x:v>3664</x:v>
      </x:c>
    </x:row>
    <x:row r="15" ht="22" customHeight="1">
      <x:c r="A15" s="58">
        <x:v>12</x:v>
      </x:c>
      <x:c r="B15" s="19">
        <x:v>17820</x:v>
      </x:c>
      <x:c r="C15" s="19">
        <x:v>17820000</x:v>
      </x:c>
      <x:c r="D15" s="19">
        <x:v>3300</x:v>
      </x:c>
      <x:c r="E15" s="19">
        <x:v>17900</x:v>
      </x:c>
      <x:c r="F15" s="19">
        <x:v>66000</x:v>
      </x:c>
      <x:c r="G15" s="19">
        <x:v>231000</x:v>
      </x:c>
      <x:c r="H15" s="19">
        <x:v>22000</x:v>
      </x:c>
      <x:c r="I15" s="19">
        <x:v>77000</x:v>
      </x:c>
      <x:c r="J15" s="64">
        <x:v>12</x:v>
      </x:c>
      <x:c r="K15" s="65" t="e">
        <x:f>ROUND((参数与口径!$E$16+E15*参数与口径!$E$9)/IF(A15&lt;=20,参数与口径!$E$10,IF(A15&lt;=80,参数与口径!$E$11,参数与口径!$E$12)),0)*IF(A15&lt;=20,参数与口径!$E$10,IF(A15&lt;=80,参数与口径!$E$11,参数与口径!$E$12))</x:f>
        <x:v>#NAME?</x:v>
      </x:c>
      <x:c r="L15" s="66">
        <x:f t="shared" si="0"/>
        <x:v>17900</x:v>
      </x:c>
      <x:c r="M15" s="67" t="s">
        <x:v>3664</x:v>
      </x:c>
    </x:row>
    <x:row r="16" ht="22" customHeight="1">
      <x:c r="A16" s="58">
        <x:v>13</x:v>
      </x:c>
      <x:c r="B16" s="19">
        <x:v>23880</x:v>
      </x:c>
      <x:c r="C16" s="19">
        <x:v>23880000</x:v>
      </x:c>
      <x:c r="D16" s="19">
        <x:v>3600</x:v>
      </x:c>
      <x:c r="E16" s="19">
        <x:v>21500</x:v>
      </x:c>
      <x:c r="F16" s="19">
        <x:v>72000</x:v>
      </x:c>
      <x:c r="G16" s="19">
        <x:v>303000</x:v>
      </x:c>
      <x:c r="H16" s="19">
        <x:v>24000</x:v>
      </x:c>
      <x:c r="I16" s="19">
        <x:v>101000</x:v>
      </x:c>
      <x:c r="J16" s="64">
        <x:v>13</x:v>
      </x:c>
      <x:c r="K16" s="65" t="e">
        <x:f>ROUND((参数与口径!$E$16+E16*参数与口径!$E$9)/IF(A16&lt;=20,参数与口径!$E$10,IF(A16&lt;=80,参数与口径!$E$11,参数与口径!$E$12)),0)*IF(A16&lt;=20,参数与口径!$E$10,IF(A16&lt;=80,参数与口径!$E$11,参数与口径!$E$12))</x:f>
        <x:v>#NAME?</x:v>
      </x:c>
      <x:c r="L16" s="66">
        <x:f t="shared" si="0"/>
        <x:v>21500</x:v>
      </x:c>
      <x:c r="M16" s="67" t="s">
        <x:v>3664</x:v>
      </x:c>
    </x:row>
    <x:row r="17" ht="22" customHeight="1">
      <x:c r="A17" s="58">
        <x:v>14</x:v>
      </x:c>
      <x:c r="B17" s="19">
        <x:v>31500</x:v>
      </x:c>
      <x:c r="C17" s="19">
        <x:v>31500000</x:v>
      </x:c>
      <x:c r="D17" s="19">
        <x:v>3900</x:v>
      </x:c>
      <x:c r="E17" s="19">
        <x:v>25400</x:v>
      </x:c>
      <x:c r="F17" s="19">
        <x:v>78000</x:v>
      </x:c>
      <x:c r="G17" s="19">
        <x:v>381000</x:v>
      </x:c>
      <x:c r="H17" s="19">
        <x:v>26000</x:v>
      </x:c>
      <x:c r="I17" s="19">
        <x:v>127000</x:v>
      </x:c>
      <x:c r="J17" s="64">
        <x:v>14</x:v>
      </x:c>
      <x:c r="K17" s="65" t="e">
        <x:f>ROUND((参数与口径!$E$16+E17*参数与口径!$E$9)/IF(A17&lt;=20,参数与口径!$E$10,IF(A17&lt;=80,参数与口径!$E$11,参数与口径!$E$12)),0)*IF(A17&lt;=20,参数与口径!$E$10,IF(A17&lt;=80,参数与口径!$E$11,参数与口径!$E$12))</x:f>
        <x:v>#NAME?</x:v>
      </x:c>
      <x:c r="L17" s="66">
        <x:f t="shared" si="0"/>
        <x:v>25400</x:v>
      </x:c>
      <x:c r="M17" s="67" t="s">
        <x:v>3664</x:v>
      </x:c>
    </x:row>
    <x:row r="18" ht="22" customHeight="1">
      <x:c r="A18" s="58">
        <x:v>15</x:v>
      </x:c>
      <x:c r="B18" s="19">
        <x:v>40800</x:v>
      </x:c>
      <x:c r="C18" s="19">
        <x:v>40800000</x:v>
      </x:c>
      <x:c r="D18" s="19">
        <x:v>4200</x:v>
      </x:c>
      <x:c r="E18" s="19">
        <x:v>29600</x:v>
      </x:c>
      <x:c r="F18" s="19">
        <x:v>84000</x:v>
      </x:c>
      <x:c r="G18" s="19">
        <x:v>465000</x:v>
      </x:c>
      <x:c r="H18" s="19">
        <x:v>28000</x:v>
      </x:c>
      <x:c r="I18" s="19">
        <x:v>155000</x:v>
      </x:c>
      <x:c r="J18" s="64">
        <x:v>15</x:v>
      </x:c>
      <x:c r="K18" s="65" t="e">
        <x:f>ROUND((参数与口径!$E$16+E18*参数与口径!$E$9)/IF(A18&lt;=20,参数与口径!$E$10,IF(A18&lt;=80,参数与口径!$E$11,参数与口径!$E$12)),0)*IF(A18&lt;=20,参数与口径!$E$10,IF(A18&lt;=80,参数与口径!$E$11,参数与口径!$E$12))</x:f>
        <x:v>#NAME?</x:v>
      </x:c>
      <x:c r="L18" s="66">
        <x:f t="shared" si="0"/>
        <x:v>29600</x:v>
      </x:c>
      <x:c r="M18" s="67" t="s">
        <x:v>3664</x:v>
      </x:c>
    </x:row>
    <x:row r="19" ht="22" customHeight="1">
      <x:c r="A19" s="58">
        <x:v>16</x:v>
      </x:c>
      <x:c r="B19" s="19">
        <x:v>51900</x:v>
      </x:c>
      <x:c r="C19" s="19">
        <x:v>51900000</x:v>
      </x:c>
      <x:c r="D19" s="19">
        <x:v>4500</x:v>
      </x:c>
      <x:c r="E19" s="19">
        <x:v>34100</x:v>
      </x:c>
      <x:c r="F19" s="19">
        <x:v>90000</x:v>
      </x:c>
      <x:c r="G19" s="19">
        <x:v>555000</x:v>
      </x:c>
      <x:c r="H19" s="19">
        <x:v>30000</x:v>
      </x:c>
      <x:c r="I19" s="19">
        <x:v>185000</x:v>
      </x:c>
      <x:c r="J19" s="64">
        <x:v>16</x:v>
      </x:c>
      <x:c r="K19" s="65" t="e">
        <x:f>ROUND((参数与口径!$E$16+E19*参数与口径!$E$9)/IF(A19&lt;=20,参数与口径!$E$10,IF(A19&lt;=80,参数与口径!$E$11,参数与口径!$E$12)),0)*IF(A19&lt;=20,参数与口径!$E$10,IF(A19&lt;=80,参数与口径!$E$11,参数与口径!$E$12))</x:f>
        <x:v>#NAME?</x:v>
      </x:c>
      <x:c r="L19" s="66">
        <x:f t="shared" si="0"/>
        <x:v>34100</x:v>
      </x:c>
      <x:c r="M19" s="67" t="s">
        <x:v>3664</x:v>
      </x:c>
    </x:row>
    <x:row r="20" ht="22" customHeight="1">
      <x:c r="A20" s="58">
        <x:v>17</x:v>
      </x:c>
      <x:c r="B20" s="19">
        <x:v>64920</x:v>
      </x:c>
      <x:c r="C20" s="19">
        <x:v>64920000</x:v>
      </x:c>
      <x:c r="D20" s="19">
        <x:v>4800</x:v>
      </x:c>
      <x:c r="E20" s="19">
        <x:v>38900</x:v>
      </x:c>
      <x:c r="F20" s="19">
        <x:v>96000</x:v>
      </x:c>
      <x:c r="G20" s="19">
        <x:v>651000</x:v>
      </x:c>
      <x:c r="H20" s="19">
        <x:v>32000</x:v>
      </x:c>
      <x:c r="I20" s="19">
        <x:v>217000</x:v>
      </x:c>
      <x:c r="J20" s="64">
        <x:v>17</x:v>
      </x:c>
      <x:c r="K20" s="65" t="e">
        <x:f>ROUND((参数与口径!$E$16+E20*参数与口径!$E$9)/IF(A20&lt;=20,参数与口径!$E$10,IF(A20&lt;=80,参数与口径!$E$11,参数与口径!$E$12)),0)*IF(A20&lt;=20,参数与口径!$E$10,IF(A20&lt;=80,参数与口径!$E$11,参数与口径!$E$12))</x:f>
        <x:v>#NAME?</x:v>
      </x:c>
      <x:c r="L20" s="66">
        <x:f t="shared" si="0"/>
        <x:v>38900</x:v>
      </x:c>
      <x:c r="M20" s="67" t="s">
        <x:v>3664</x:v>
      </x:c>
    </x:row>
    <x:row r="21" ht="22" customHeight="1">
      <x:c r="A21" s="58">
        <x:v>18</x:v>
      </x:c>
      <x:c r="B21" s="19">
        <x:v>79980</x:v>
      </x:c>
      <x:c r="C21" s="19">
        <x:v>79980000</x:v>
      </x:c>
      <x:c r="D21" s="19">
        <x:v>5100</x:v>
      </x:c>
      <x:c r="E21" s="19">
        <x:v>44000</x:v>
      </x:c>
      <x:c r="F21" s="19">
        <x:v>102000</x:v>
      </x:c>
      <x:c r="G21" s="19">
        <x:v>753000</x:v>
      </x:c>
      <x:c r="H21" s="19">
        <x:v>34000</x:v>
      </x:c>
      <x:c r="I21" s="19">
        <x:v>251000</x:v>
      </x:c>
      <x:c r="J21" s="64">
        <x:v>18</x:v>
      </x:c>
      <x:c r="K21" s="65" t="e">
        <x:f>ROUND((参数与口径!$E$16+E21*参数与口径!$E$9)/IF(A21&lt;=20,参数与口径!$E$10,IF(A21&lt;=80,参数与口径!$E$11,参数与口径!$E$12)),0)*IF(A21&lt;=20,参数与口径!$E$10,IF(A21&lt;=80,参数与口径!$E$11,参数与口径!$E$12))</x:f>
        <x:v>#NAME?</x:v>
      </x:c>
      <x:c r="L21" s="66">
        <x:f t="shared" si="0"/>
        <x:v>44000</x:v>
      </x:c>
      <x:c r="M21" s="67" t="s">
        <x:v>3664</x:v>
      </x:c>
    </x:row>
    <x:row r="22" ht="22" customHeight="1">
      <x:c r="A22" s="58">
        <x:v>19</x:v>
      </x:c>
      <x:c r="B22" s="19">
        <x:v>97200</x:v>
      </x:c>
      <x:c r="C22" s="19">
        <x:v>97200000</x:v>
      </x:c>
      <x:c r="D22" s="19">
        <x:v>5400</x:v>
      </x:c>
      <x:c r="E22" s="19">
        <x:v>49400</x:v>
      </x:c>
      <x:c r="F22" s="19">
        <x:v>108000</x:v>
      </x:c>
      <x:c r="G22" s="19">
        <x:v>861000</x:v>
      </x:c>
      <x:c r="H22" s="19">
        <x:v>36000</x:v>
      </x:c>
      <x:c r="I22" s="19">
        <x:v>287000</x:v>
      </x:c>
      <x:c r="J22" s="64">
        <x:v>19</x:v>
      </x:c>
      <x:c r="K22" s="65" t="e">
        <x:f>ROUND((参数与口径!$E$16+E22*参数与口径!$E$9)/IF(A22&lt;=20,参数与口径!$E$10,IF(A22&lt;=80,参数与口径!$E$11,参数与口径!$E$12)),0)*IF(A22&lt;=20,参数与口径!$E$10,IF(A22&lt;=80,参数与口径!$E$11,参数与口径!$E$12))</x:f>
        <x:v>#NAME?</x:v>
      </x:c>
      <x:c r="L22" s="66">
        <x:f t="shared" si="0"/>
        <x:v>49400</x:v>
      </x:c>
      <x:c r="M22" s="67" t="s">
        <x:v>3664</x:v>
      </x:c>
    </x:row>
    <x:row r="23" ht="22" customHeight="1">
      <x:c r="A23" s="58">
        <x:v>20</x:v>
      </x:c>
      <x:c r="B23" s="19">
        <x:v>116700</x:v>
      </x:c>
      <x:c r="C23" s="19">
        <x:v>116700000</x:v>
      </x:c>
      <x:c r="D23" s="19">
        <x:v>5700</x:v>
      </x:c>
      <x:c r="E23" s="19">
        <x:v>55100</x:v>
      </x:c>
      <x:c r="F23" s="19">
        <x:v>114000</x:v>
      </x:c>
      <x:c r="G23" s="19">
        <x:v>975000</x:v>
      </x:c>
      <x:c r="H23" s="19">
        <x:v>38000</x:v>
      </x:c>
      <x:c r="I23" s="19">
        <x:v>325000</x:v>
      </x:c>
      <x:c r="J23" s="68">
        <x:v>20</x:v>
      </x:c>
      <x:c r="K23" s="69" t="e">
        <x:f>ROUND((参数与口径!$E$16+E23*参数与口径!$E$9)/IF(A23&lt;=20,参数与口径!$E$10,IF(A23&lt;=80,参数与口径!$E$11,参数与口径!$E$12)),0)*IF(A23&lt;=20,参数与口径!$E$10,IF(A23&lt;=80,参数与口径!$E$11,参数与口径!$E$12))</x:f>
        <x:v>#NAME?</x:v>
      </x:c>
      <x:c r="L23" s="70">
        <x:f t="shared" si="0"/>
        <x:v>55100</x:v>
      </x:c>
      <x:c r="M23" s="71" t="s">
        <x:v>3665</x:v>
      </x:c>
    </x:row>
    <x:row r="24" ht="22" customHeight="1">
      <x:c r="A24" s="58">
        <x:v>21</x:v>
      </x:c>
      <x:c r="B24" s="19">
        <x:v>138600</x:v>
      </x:c>
      <x:c r="C24" s="19">
        <x:v>138600000</x:v>
      </x:c>
      <x:c r="D24" s="19">
        <x:v>6000</x:v>
      </x:c>
      <x:c r="E24" s="19">
        <x:v>61100</x:v>
      </x:c>
      <x:c r="F24" s="19">
        <x:v>120000</x:v>
      </x:c>
      <x:c r="G24" s="19">
        <x:v>1095000</x:v>
      </x:c>
      <x:c r="H24" s="19">
        <x:v>40000</x:v>
      </x:c>
      <x:c r="I24" s="19">
        <x:v>365000</x:v>
      </x:c>
      <x:c r="J24" s="64">
        <x:v>21</x:v>
      </x:c>
      <x:c r="K24" s="65" t="e">
        <x:f>ROUND((参数与口径!$E$16+E24*参数与口径!$E$9)/IF(A24&lt;=20,参数与口径!$E$10,IF(A24&lt;=80,参数与口径!$E$11,参数与口径!$E$12)),0)*IF(A24&lt;=20,参数与口径!$E$10,IF(A24&lt;=80,参数与口径!$E$11,参数与口径!$E$12))</x:f>
        <x:v>#NAME?</x:v>
      </x:c>
      <x:c r="L24" s="66">
        <x:f t="shared" si="0"/>
        <x:v>61100</x:v>
      </x:c>
      <x:c r="M24" s="67" t="s">
        <x:v>3666</x:v>
      </x:c>
    </x:row>
    <x:row r="25" ht="22" customHeight="1">
      <x:c r="A25" s="58">
        <x:v>22</x:v>
      </x:c>
      <x:c r="B25" s="19">
        <x:v>164280</x:v>
      </x:c>
      <x:c r="C25" s="19">
        <x:v>164280000</x:v>
      </x:c>
      <x:c r="D25" s="19">
        <x:v>6930</x:v>
      </x:c>
      <x:c r="E25" s="19">
        <x:v>68030</x:v>
      </x:c>
      <x:c r="F25" s="19">
        <x:v>189000</x:v>
      </x:c>
      <x:c r="G25" s="19">
        <x:v>1284000</x:v>
      </x:c>
      <x:c r="H25" s="19">
        <x:v>63000</x:v>
      </x:c>
      <x:c r="I25" s="19">
        <x:v>428000</x:v>
      </x:c>
      <x:c r="J25" s="64">
        <x:v>22</x:v>
      </x:c>
      <x:c r="K25" s="65" t="e">
        <x:f>ROUND((参数与口径!$E$16+E25*参数与口径!$E$9)/IF(A25&lt;=20,参数与口径!$E$10,IF(A25&lt;=80,参数与口径!$E$11,参数与口径!$E$12)),0)*IF(A25&lt;=20,参数与口径!$E$10,IF(A25&lt;=80,参数与口径!$E$11,参数与口径!$E$12))</x:f>
        <x:v>#NAME?</x:v>
      </x:c>
      <x:c r="L25" s="66">
        <x:f t="shared" si="0"/>
        <x:v>68030</x:v>
      </x:c>
      <x:c r="M25" s="67" t="s">
        <x:v>3664</x:v>
      </x:c>
    </x:row>
    <x:row r="26" ht="22" customHeight="1">
      <x:c r="A26" s="58">
        <x:v>23</x:v>
      </x:c>
      <x:c r="B26" s="19">
        <x:v>193920</x:v>
      </x:c>
      <x:c r="C26" s="19">
        <x:v>193920000</x:v>
      </x:c>
      <x:c r="D26" s="19">
        <x:v>7260</x:v>
      </x:c>
      <x:c r="E26" s="19">
        <x:v>75290</x:v>
      </x:c>
      <x:c r="F26" s="19">
        <x:v>198000</x:v>
      </x:c>
      <x:c r="G26" s="19">
        <x:v>1482000</x:v>
      </x:c>
      <x:c r="H26" s="19">
        <x:v>66000</x:v>
      </x:c>
      <x:c r="I26" s="19">
        <x:v>494000</x:v>
      </x:c>
      <x:c r="J26" s="64">
        <x:v>23</x:v>
      </x:c>
      <x:c r="K26" s="65" t="e">
        <x:f>ROUND((参数与口径!$E$16+E26*参数与口径!$E$9)/IF(A26&lt;=20,参数与口径!$E$10,IF(A26&lt;=80,参数与口径!$E$11,参数与口径!$E$12)),0)*IF(A26&lt;=20,参数与口径!$E$10,IF(A26&lt;=80,参数与口径!$E$11,参数与口径!$E$12))</x:f>
        <x:v>#NAME?</x:v>
      </x:c>
      <x:c r="L26" s="66">
        <x:f t="shared" si="0"/>
        <x:v>75290</x:v>
      </x:c>
      <x:c r="M26" s="67" t="s">
        <x:v>3664</x:v>
      </x:c>
    </x:row>
    <x:row r="27" ht="22" customHeight="1">
      <x:c r="A27" s="58">
        <x:v>24</x:v>
      </x:c>
      <x:c r="B27" s="19">
        <x:v>227700</x:v>
      </x:c>
      <x:c r="C27" s="19">
        <x:v>227700000</x:v>
      </x:c>
      <x:c r="D27" s="19">
        <x:v>7590</x:v>
      </x:c>
      <x:c r="E27" s="19">
        <x:v>82880</x:v>
      </x:c>
      <x:c r="F27" s="19">
        <x:v>207000</x:v>
      </x:c>
      <x:c r="G27" s="19">
        <x:v>1689000</x:v>
      </x:c>
      <x:c r="H27" s="19">
        <x:v>69000</x:v>
      </x:c>
      <x:c r="I27" s="19">
        <x:v>563000</x:v>
      </x:c>
      <x:c r="J27" s="64">
        <x:v>24</x:v>
      </x:c>
      <x:c r="K27" s="65" t="e">
        <x:f>ROUND((参数与口径!$E$16+E27*参数与口径!$E$9)/IF(A27&lt;=20,参数与口径!$E$10,IF(A27&lt;=80,参数与口径!$E$11,参数与口径!$E$12)),0)*IF(A27&lt;=20,参数与口径!$E$10,IF(A27&lt;=80,参数与口径!$E$11,参数与口径!$E$12))</x:f>
        <x:v>#NAME?</x:v>
      </x:c>
      <x:c r="L27" s="66">
        <x:f t="shared" si="0"/>
        <x:v>82880</x:v>
      </x:c>
      <x:c r="M27" s="67" t="s">
        <x:v>3664</x:v>
      </x:c>
    </x:row>
    <x:row r="28" ht="22" customHeight="1">
      <x:c r="A28" s="58">
        <x:v>25</x:v>
      </x:c>
      <x:c r="B28" s="19">
        <x:v>265800</x:v>
      </x:c>
      <x:c r="C28" s="19">
        <x:v>265800000</x:v>
      </x:c>
      <x:c r="D28" s="19">
        <x:v>7920</x:v>
      </x:c>
      <x:c r="E28" s="19">
        <x:v>90800</x:v>
      </x:c>
      <x:c r="F28" s="19">
        <x:v>216000</x:v>
      </x:c>
      <x:c r="G28" s="19">
        <x:v>1905000</x:v>
      </x:c>
      <x:c r="H28" s="19">
        <x:v>72000</x:v>
      </x:c>
      <x:c r="I28" s="19">
        <x:v>635000</x:v>
      </x:c>
      <x:c r="J28" s="64">
        <x:v>25</x:v>
      </x:c>
      <x:c r="K28" s="65" t="e">
        <x:f>ROUND((参数与口径!$E$16+E28*参数与口径!$E$9)/IF(A28&lt;=20,参数与口径!$E$10,IF(A28&lt;=80,参数与口径!$E$11,参数与口径!$E$12)),0)*IF(A28&lt;=20,参数与口径!$E$10,IF(A28&lt;=80,参数与口径!$E$11,参数与口径!$E$12))</x:f>
        <x:v>#NAME?</x:v>
      </x:c>
      <x:c r="L28" s="66">
        <x:f t="shared" si="0"/>
        <x:v>90800</x:v>
      </x:c>
      <x:c r="M28" s="67" t="s">
        <x:v>3664</x:v>
      </x:c>
    </x:row>
    <x:row r="29" ht="22" customHeight="1">
      <x:c r="A29" s="58">
        <x:v>26</x:v>
      </x:c>
      <x:c r="B29" s="19">
        <x:v>308400</x:v>
      </x:c>
      <x:c r="C29" s="19">
        <x:v>308400000</x:v>
      </x:c>
      <x:c r="D29" s="19">
        <x:v>8250</x:v>
      </x:c>
      <x:c r="E29" s="19">
        <x:v>99050</x:v>
      </x:c>
      <x:c r="F29" s="19">
        <x:v>225000</x:v>
      </x:c>
      <x:c r="G29" s="19">
        <x:v>2130000</x:v>
      </x:c>
      <x:c r="H29" s="19">
        <x:v>75000</x:v>
      </x:c>
      <x:c r="I29" s="19">
        <x:v>710000</x:v>
      </x:c>
      <x:c r="J29" s="64">
        <x:v>26</x:v>
      </x:c>
      <x:c r="K29" s="65" t="e">
        <x:f>ROUND((参数与口径!$E$16+E29*参数与口径!$E$9)/IF(A29&lt;=20,参数与口径!$E$10,IF(A29&lt;=80,参数与口径!$E$11,参数与口径!$E$12)),0)*IF(A29&lt;=20,参数与口径!$E$10,IF(A29&lt;=80,参数与口径!$E$11,参数与口径!$E$12))</x:f>
        <x:v>#NAME?</x:v>
      </x:c>
      <x:c r="L29" s="66">
        <x:f t="shared" si="0"/>
        <x:v>99050</x:v>
      </x:c>
      <x:c r="M29" s="67" t="s">
        <x:v>3664</x:v>
      </x:c>
    </x:row>
    <x:row r="30" ht="22" customHeight="1">
      <x:c r="A30" s="58">
        <x:v>27</x:v>
      </x:c>
      <x:c r="B30" s="19">
        <x:v>355680</x:v>
      </x:c>
      <x:c r="C30" s="19">
        <x:v>355680000</x:v>
      </x:c>
      <x:c r="D30" s="19">
        <x:v>8580</x:v>
      </x:c>
      <x:c r="E30" s="19">
        <x:v>107630</x:v>
      </x:c>
      <x:c r="F30" s="19">
        <x:v>234000</x:v>
      </x:c>
      <x:c r="G30" s="19">
        <x:v>2364000</x:v>
      </x:c>
      <x:c r="H30" s="19">
        <x:v>78000</x:v>
      </x:c>
      <x:c r="I30" s="19">
        <x:v>788000</x:v>
      </x:c>
      <x:c r="J30" s="64">
        <x:v>27</x:v>
      </x:c>
      <x:c r="K30" s="65" t="e">
        <x:f>ROUND((参数与口径!$E$16+E30*参数与口径!$E$9)/IF(A30&lt;=20,参数与口径!$E$10,IF(A30&lt;=80,参数与口径!$E$11,参数与口径!$E$12)),0)*IF(A30&lt;=20,参数与口径!$E$10,IF(A30&lt;=80,参数与口径!$E$11,参数与口径!$E$12))</x:f>
        <x:v>#NAME?</x:v>
      </x:c>
      <x:c r="L30" s="66">
        <x:f t="shared" si="0"/>
        <x:v>107630</x:v>
      </x:c>
      <x:c r="M30" s="67" t="s">
        <x:v>3664</x:v>
      </x:c>
    </x:row>
    <x:row r="31" ht="22" customHeight="1">
      <x:c r="A31" s="58">
        <x:v>28</x:v>
      </x:c>
      <x:c r="B31" s="19">
        <x:v>407820</x:v>
      </x:c>
      <x:c r="C31" s="19">
        <x:v>407820000</x:v>
      </x:c>
      <x:c r="D31" s="19">
        <x:v>8910</x:v>
      </x:c>
      <x:c r="E31" s="19">
        <x:v>116540</x:v>
      </x:c>
      <x:c r="F31" s="19">
        <x:v>243000</x:v>
      </x:c>
      <x:c r="G31" s="19">
        <x:v>2607000</x:v>
      </x:c>
      <x:c r="H31" s="19">
        <x:v>81000</x:v>
      </x:c>
      <x:c r="I31" s="19">
        <x:v>869000</x:v>
      </x:c>
      <x:c r="J31" s="64">
        <x:v>28</x:v>
      </x:c>
      <x:c r="K31" s="65" t="e">
        <x:f>ROUND((参数与口径!$E$16+E31*参数与口径!$E$9)/IF(A31&lt;=20,参数与口径!$E$10,IF(A31&lt;=80,参数与口径!$E$11,参数与口径!$E$12)),0)*IF(A31&lt;=20,参数与口径!$E$10,IF(A31&lt;=80,参数与口径!$E$11,参数与口径!$E$12))</x:f>
        <x:v>#NAME?</x:v>
      </x:c>
      <x:c r="L31" s="66">
        <x:f t="shared" si="0"/>
        <x:v>116540</x:v>
      </x:c>
      <x:c r="M31" s="67" t="s">
        <x:v>3664</x:v>
      </x:c>
    </x:row>
    <x:row r="32" ht="22" customHeight="1">
      <x:c r="A32" s="58">
        <x:v>29</x:v>
      </x:c>
      <x:c r="B32" s="19">
        <x:v>465000</x:v>
      </x:c>
      <x:c r="C32" s="19">
        <x:v>465000000</x:v>
      </x:c>
      <x:c r="D32" s="19">
        <x:v>9240</x:v>
      </x:c>
      <x:c r="E32" s="19">
        <x:v>125780</x:v>
      </x:c>
      <x:c r="F32" s="19">
        <x:v>252000</x:v>
      </x:c>
      <x:c r="G32" s="19">
        <x:v>2859000</x:v>
      </x:c>
      <x:c r="H32" s="19">
        <x:v>84000</x:v>
      </x:c>
      <x:c r="I32" s="19">
        <x:v>953000</x:v>
      </x:c>
      <x:c r="J32" s="64">
        <x:v>29</x:v>
      </x:c>
      <x:c r="K32" s="65" t="e">
        <x:f>ROUND((参数与口径!$E$16+E32*参数与口径!$E$9)/IF(A32&lt;=20,参数与口径!$E$10,IF(A32&lt;=80,参数与口径!$E$11,参数与口径!$E$12)),0)*IF(A32&lt;=20,参数与口径!$E$10,IF(A32&lt;=80,参数与口径!$E$11,参数与口径!$E$12))</x:f>
        <x:v>#NAME?</x:v>
      </x:c>
      <x:c r="L32" s="66">
        <x:f t="shared" si="0"/>
        <x:v>125780</x:v>
      </x:c>
      <x:c r="M32" s="67" t="s">
        <x:v>3664</x:v>
      </x:c>
    </x:row>
    <x:row r="33" ht="22" customHeight="1">
      <x:c r="A33" s="58">
        <x:v>30</x:v>
      </x:c>
      <x:c r="B33" s="19">
        <x:v>527400</x:v>
      </x:c>
      <x:c r="C33" s="19">
        <x:v>527400000</x:v>
      </x:c>
      <x:c r="D33" s="19">
        <x:v>9570</x:v>
      </x:c>
      <x:c r="E33" s="19">
        <x:v>135350</x:v>
      </x:c>
      <x:c r="F33" s="19">
        <x:v>261000</x:v>
      </x:c>
      <x:c r="G33" s="19">
        <x:v>3120000</x:v>
      </x:c>
      <x:c r="H33" s="19">
        <x:v>87000</x:v>
      </x:c>
      <x:c r="I33" s="19">
        <x:v>1040000</x:v>
      </x:c>
      <x:c r="J33" s="64">
        <x:v>30</x:v>
      </x:c>
      <x:c r="K33" s="65" t="e">
        <x:f>ROUND((参数与口径!$E$16+E33*参数与口径!$E$9)/IF(A33&lt;=20,参数与口径!$E$10,IF(A33&lt;=80,参数与口径!$E$11,参数与口径!$E$12)),0)*IF(A33&lt;=20,参数与口径!$E$10,IF(A33&lt;=80,参数与口径!$E$11,参数与口径!$E$12))</x:f>
        <x:v>#NAME?</x:v>
      </x:c>
      <x:c r="L33" s="66">
        <x:f t="shared" si="0"/>
        <x:v>135350</x:v>
      </x:c>
      <x:c r="M33" s="67" t="s">
        <x:v>3664</x:v>
      </x:c>
    </x:row>
    <x:row r="34" ht="22" customHeight="1">
      <x:c r="A34" s="58">
        <x:v>31</x:v>
      </x:c>
      <x:c r="B34" s="19">
        <x:v>595200</x:v>
      </x:c>
      <x:c r="C34" s="19">
        <x:v>595200000</x:v>
      </x:c>
      <x:c r="D34" s="19">
        <x:v>9900</x:v>
      </x:c>
      <x:c r="E34" s="19">
        <x:v>145250</x:v>
      </x:c>
      <x:c r="F34" s="19">
        <x:v>270000</x:v>
      </x:c>
      <x:c r="G34" s="19">
        <x:v>3390000</x:v>
      </x:c>
      <x:c r="H34" s="19">
        <x:v>90000</x:v>
      </x:c>
      <x:c r="I34" s="19">
        <x:v>1130000</x:v>
      </x:c>
      <x:c r="J34" s="64">
        <x:v>31</x:v>
      </x:c>
      <x:c r="K34" s="65" t="e">
        <x:f>ROUND((参数与口径!$E$16+E34*参数与口径!$E$9)/IF(A34&lt;=20,参数与口径!$E$10,IF(A34&lt;=80,参数与口径!$E$11,参数与口径!$E$12)),0)*IF(A34&lt;=20,参数与口径!$E$10,IF(A34&lt;=80,参数与口径!$E$11,参数与口径!$E$12))</x:f>
        <x:v>#NAME?</x:v>
      </x:c>
      <x:c r="L34" s="66">
        <x:f t="shared" si="0"/>
        <x:v>145250</x:v>
      </x:c>
      <x:c r="M34" s="67" t="s">
        <x:v>3664</x:v>
      </x:c>
    </x:row>
    <x:row r="35" ht="22" customHeight="1">
      <x:c r="A35" s="58">
        <x:v>32</x:v>
      </x:c>
      <x:c r="B35" s="19">
        <x:v>670440</x:v>
      </x:c>
      <x:c r="C35" s="19">
        <x:v>670440000</x:v>
      </x:c>
      <x:c r="D35" s="19">
        <x:v>11160</x:v>
      </x:c>
      <x:c r="E35" s="19">
        <x:v>156410</x:v>
      </x:c>
      <x:c r="F35" s="19">
        <x:v>372000</x:v>
      </x:c>
      <x:c r="G35" s="19">
        <x:v>3762000</x:v>
      </x:c>
      <x:c r="H35" s="19">
        <x:v>124000</x:v>
      </x:c>
      <x:c r="I35" s="19">
        <x:v>1254000</x:v>
      </x:c>
      <x:c r="J35" s="64">
        <x:v>32</x:v>
      </x:c>
      <x:c r="K35" s="65" t="e">
        <x:f>ROUND((参数与口径!$E$16+E35*参数与口径!$E$9)/IF(A35&lt;=20,参数与口径!$E$10,IF(A35&lt;=80,参数与口径!$E$11,参数与口径!$E$12)),0)*IF(A35&lt;=20,参数与口径!$E$10,IF(A35&lt;=80,参数与口径!$E$11,参数与口径!$E$12))</x:f>
        <x:v>#NAME?</x:v>
      </x:c>
      <x:c r="L35" s="66">
        <x:f t="shared" si="0"/>
        <x:v>156410</x:v>
      </x:c>
      <x:c r="M35" s="67" t="s">
        <x:v>3664</x:v>
      </x:c>
    </x:row>
    <x:row r="36" ht="22" customHeight="1">
      <x:c r="A36" s="58">
        <x:v>33</x:v>
      </x:c>
      <x:c r="B36" s="19">
        <x:v>753360</x:v>
      </x:c>
      <x:c r="C36" s="19">
        <x:v>753360000</x:v>
      </x:c>
      <x:c r="D36" s="19">
        <x:v>11520</x:v>
      </x:c>
      <x:c r="E36" s="19">
        <x:v>167930</x:v>
      </x:c>
      <x:c r="F36" s="19">
        <x:v>384000</x:v>
      </x:c>
      <x:c r="G36" s="19">
        <x:v>4146000</x:v>
      </x:c>
      <x:c r="H36" s="19">
        <x:v>128000</x:v>
      </x:c>
      <x:c r="I36" s="19">
        <x:v>1382000</x:v>
      </x:c>
      <x:c r="J36" s="64">
        <x:v>33</x:v>
      </x:c>
      <x:c r="K36" s="65" t="e">
        <x:f>ROUND((参数与口径!$E$16+E36*参数与口径!$E$9)/IF(A36&lt;=20,参数与口径!$E$10,IF(A36&lt;=80,参数与口径!$E$11,参数与口径!$E$12)),0)*IF(A36&lt;=20,参数与口径!$E$10,IF(A36&lt;=80,参数与口径!$E$11,参数与口径!$E$12))</x:f>
        <x:v>#NAME?</x:v>
      </x:c>
      <x:c r="L36" s="66">
        <x:f t="shared" si="0"/>
        <x:v>167930</x:v>
      </x:c>
      <x:c r="M36" s="67" t="s">
        <x:v>3664</x:v>
      </x:c>
    </x:row>
    <x:row r="37" ht="22" customHeight="1">
      <x:c r="A37" s="58">
        <x:v>34</x:v>
      </x:c>
      <x:c r="B37" s="19">
        <x:v>844200</x:v>
      </x:c>
      <x:c r="C37" s="19">
        <x:v>844200000</x:v>
      </x:c>
      <x:c r="D37" s="19">
        <x:v>11880</x:v>
      </x:c>
      <x:c r="E37" s="19">
        <x:v>179810</x:v>
      </x:c>
      <x:c r="F37" s="19">
        <x:v>396000</x:v>
      </x:c>
      <x:c r="G37" s="19">
        <x:v>4542000</x:v>
      </x:c>
      <x:c r="H37" s="19">
        <x:v>132000</x:v>
      </x:c>
      <x:c r="I37" s="19">
        <x:v>1514000</x:v>
      </x:c>
      <x:c r="J37" s="64">
        <x:v>34</x:v>
      </x:c>
      <x:c r="K37" s="65" t="e">
        <x:f>ROUND((参数与口径!$E$16+E37*参数与口径!$E$9)/IF(A37&lt;=20,参数与口径!$E$10,IF(A37&lt;=80,参数与口径!$E$11,参数与口径!$E$12)),0)*IF(A37&lt;=20,参数与口径!$E$10,IF(A37&lt;=80,参数与口径!$E$11,参数与口径!$E$12))</x:f>
        <x:v>#NAME?</x:v>
      </x:c>
      <x:c r="L37" s="66">
        <x:f t="shared" si="0"/>
        <x:v>179810</x:v>
      </x:c>
      <x:c r="M37" s="67" t="s">
        <x:v>3664</x:v>
      </x:c>
    </x:row>
    <x:row r="38" ht="22" customHeight="1">
      <x:c r="A38" s="58">
        <x:v>35</x:v>
      </x:c>
      <x:c r="B38" s="19">
        <x:v>943200</x:v>
      </x:c>
      <x:c r="C38" s="19">
        <x:v>943200000</x:v>
      </x:c>
      <x:c r="D38" s="19">
        <x:v>12240</x:v>
      </x:c>
      <x:c r="E38" s="19">
        <x:v>192050</x:v>
      </x:c>
      <x:c r="F38" s="19">
        <x:v>408000</x:v>
      </x:c>
      <x:c r="G38" s="19">
        <x:v>4950000</x:v>
      </x:c>
      <x:c r="H38" s="19">
        <x:v>136000</x:v>
      </x:c>
      <x:c r="I38" s="19">
        <x:v>1650000</x:v>
      </x:c>
      <x:c r="J38" s="64">
        <x:v>35</x:v>
      </x:c>
      <x:c r="K38" s="65" t="e">
        <x:f>ROUND((参数与口径!$E$16+E38*参数与口径!$E$9)/IF(A38&lt;=20,参数与口径!$E$10,IF(A38&lt;=80,参数与口径!$E$11,参数与口径!$E$12)),0)*IF(A38&lt;=20,参数与口径!$E$10,IF(A38&lt;=80,参数与口径!$E$11,参数与口径!$E$12))</x:f>
        <x:v>#NAME?</x:v>
      </x:c>
      <x:c r="L38" s="66">
        <x:f t="shared" si="0"/>
        <x:v>192050</x:v>
      </x:c>
      <x:c r="M38" s="67" t="s">
        <x:v>3664</x:v>
      </x:c>
    </x:row>
    <x:row r="39" ht="22" customHeight="1">
      <x:c r="A39" s="58">
        <x:v>36</x:v>
      </x:c>
      <x:c r="B39" s="19">
        <x:v>1050600</x:v>
      </x:c>
      <x:c r="C39" s="19">
        <x:v>1050600000</x:v>
      </x:c>
      <x:c r="D39" s="19">
        <x:v>12600</x:v>
      </x:c>
      <x:c r="E39" s="19">
        <x:v>204650</x:v>
      </x:c>
      <x:c r="F39" s="19">
        <x:v>420000</x:v>
      </x:c>
      <x:c r="G39" s="19">
        <x:v>5370000</x:v>
      </x:c>
      <x:c r="H39" s="19">
        <x:v>140000</x:v>
      </x:c>
      <x:c r="I39" s="19">
        <x:v>1790000</x:v>
      </x:c>
      <x:c r="J39" s="64">
        <x:v>36</x:v>
      </x:c>
      <x:c r="K39" s="65" t="e">
        <x:f>ROUND((参数与口径!$E$16+E39*参数与口径!$E$9)/IF(A39&lt;=20,参数与口径!$E$10,IF(A39&lt;=80,参数与口径!$E$11,参数与口径!$E$12)),0)*IF(A39&lt;=20,参数与口径!$E$10,IF(A39&lt;=80,参数与口径!$E$11,参数与口径!$E$12))</x:f>
        <x:v>#NAME?</x:v>
      </x:c>
      <x:c r="L39" s="66">
        <x:f t="shared" si="0"/>
        <x:v>204650</x:v>
      </x:c>
      <x:c r="M39" s="67" t="s">
        <x:v>3664</x:v>
      </x:c>
    </x:row>
    <x:row r="40" ht="22" customHeight="1">
      <x:c r="A40" s="58">
        <x:v>37</x:v>
      </x:c>
      <x:c r="B40" s="19">
        <x:v>1166640</x:v>
      </x:c>
      <x:c r="C40" s="19">
        <x:v>1166640000</x:v>
      </x:c>
      <x:c r="D40" s="19">
        <x:v>12960</x:v>
      </x:c>
      <x:c r="E40" s="19">
        <x:v>217610</x:v>
      </x:c>
      <x:c r="F40" s="19">
        <x:v>432000</x:v>
      </x:c>
      <x:c r="G40" s="19">
        <x:v>5802000</x:v>
      </x:c>
      <x:c r="H40" s="19">
        <x:v>144000</x:v>
      </x:c>
      <x:c r="I40" s="19">
        <x:v>1934000</x:v>
      </x:c>
      <x:c r="J40" s="64">
        <x:v>37</x:v>
      </x:c>
      <x:c r="K40" s="65" t="e">
        <x:f>ROUND((参数与口径!$E$16+E40*参数与口径!$E$9)/IF(A40&lt;=20,参数与口径!$E$10,IF(A40&lt;=80,参数与口径!$E$11,参数与口径!$E$12)),0)*IF(A40&lt;=20,参数与口径!$E$10,IF(A40&lt;=80,参数与口径!$E$11,参数与口径!$E$12))</x:f>
        <x:v>#NAME?</x:v>
      </x:c>
      <x:c r="L40" s="66">
        <x:f t="shared" si="0"/>
        <x:v>217610</x:v>
      </x:c>
      <x:c r="M40" s="67" t="s">
        <x:v>3664</x:v>
      </x:c>
    </x:row>
    <x:row r="41" ht="22" customHeight="1">
      <x:c r="A41" s="58">
        <x:v>38</x:v>
      </x:c>
      <x:c r="B41" s="19">
        <x:v>1291560</x:v>
      </x:c>
      <x:c r="C41" s="19">
        <x:v>1291560000</x:v>
      </x:c>
      <x:c r="D41" s="19">
        <x:v>13320</x:v>
      </x:c>
      <x:c r="E41" s="19">
        <x:v>230930</x:v>
      </x:c>
      <x:c r="F41" s="19">
        <x:v>444000</x:v>
      </x:c>
      <x:c r="G41" s="19">
        <x:v>6246000</x:v>
      </x:c>
      <x:c r="H41" s="19">
        <x:v>148000</x:v>
      </x:c>
      <x:c r="I41" s="19">
        <x:v>2082000</x:v>
      </x:c>
      <x:c r="J41" s="64">
        <x:v>38</x:v>
      </x:c>
      <x:c r="K41" s="65" t="e">
        <x:f>ROUND((参数与口径!$E$16+E41*参数与口径!$E$9)/IF(A41&lt;=20,参数与口径!$E$10,IF(A41&lt;=80,参数与口径!$E$11,参数与口径!$E$12)),0)*IF(A41&lt;=20,参数与口径!$E$10,IF(A41&lt;=80,参数与口径!$E$11,参数与口径!$E$12))</x:f>
        <x:v>#NAME?</x:v>
      </x:c>
      <x:c r="L41" s="66">
        <x:f t="shared" si="0"/>
        <x:v>230930</x:v>
      </x:c>
      <x:c r="M41" s="67" t="s">
        <x:v>3664</x:v>
      </x:c>
    </x:row>
    <x:row r="42" ht="22" customHeight="1">
      <x:c r="A42" s="58">
        <x:v>39</x:v>
      </x:c>
      <x:c r="B42" s="19">
        <x:v>1425600</x:v>
      </x:c>
      <x:c r="C42" s="19">
        <x:v>1425600000</x:v>
      </x:c>
      <x:c r="D42" s="19">
        <x:v>13680</x:v>
      </x:c>
      <x:c r="E42" s="19">
        <x:v>244610</x:v>
      </x:c>
      <x:c r="F42" s="19">
        <x:v>456000</x:v>
      </x:c>
      <x:c r="G42" s="19">
        <x:v>6702000</x:v>
      </x:c>
      <x:c r="H42" s="19">
        <x:v>152000</x:v>
      </x:c>
      <x:c r="I42" s="19">
        <x:v>2234000</x:v>
      </x:c>
      <x:c r="J42" s="64">
        <x:v>39</x:v>
      </x:c>
      <x:c r="K42" s="65" t="e">
        <x:f>ROUND((参数与口径!$E$16+E42*参数与口径!$E$9)/IF(A42&lt;=20,参数与口径!$E$10,IF(A42&lt;=80,参数与口径!$E$11,参数与口径!$E$12)),0)*IF(A42&lt;=20,参数与口径!$E$10,IF(A42&lt;=80,参数与口径!$E$11,参数与口径!$E$12))</x:f>
        <x:v>#NAME?</x:v>
      </x:c>
      <x:c r="L42" s="66">
        <x:f t="shared" si="0"/>
        <x:v>244610</x:v>
      </x:c>
      <x:c r="M42" s="67" t="s">
        <x:v>3664</x:v>
      </x:c>
    </x:row>
    <x:row r="43" ht="22" customHeight="1">
      <x:c r="A43" s="58">
        <x:v>40</x:v>
      </x:c>
      <x:c r="B43" s="19">
        <x:v>1569000</x:v>
      </x:c>
      <x:c r="C43" s="19">
        <x:v>1569000000</x:v>
      </x:c>
      <x:c r="D43" s="19">
        <x:v>14040</x:v>
      </x:c>
      <x:c r="E43" s="19">
        <x:v>258650</x:v>
      </x:c>
      <x:c r="F43" s="19">
        <x:v>468000</x:v>
      </x:c>
      <x:c r="G43" s="19">
        <x:v>7170000</x:v>
      </x:c>
      <x:c r="H43" s="19">
        <x:v>156000</x:v>
      </x:c>
      <x:c r="I43" s="19">
        <x:v>2390000</x:v>
      </x:c>
      <x:c r="J43" s="68">
        <x:v>40</x:v>
      </x:c>
      <x:c r="K43" s="69" t="e">
        <x:f>ROUND((参数与口径!$E$16+E43*参数与口径!$E$9)/IF(A43&lt;=20,参数与口径!$E$10,IF(A43&lt;=80,参数与口径!$E$11,参数与口径!$E$12)),0)*IF(A43&lt;=20,参数与口径!$E$10,IF(A43&lt;=80,参数与口径!$E$11,参数与口径!$E$12))</x:f>
        <x:v>#NAME?</x:v>
      </x:c>
      <x:c r="L43" s="70">
        <x:f t="shared" si="0"/>
        <x:v>258650</x:v>
      </x:c>
      <x:c r="M43" s="71" t="s">
        <x:v>3667</x:v>
      </x:c>
    </x:row>
    <x:row r="44" ht="22" customHeight="1">
      <x:c r="A44" s="58">
        <x:v>41</x:v>
      </x:c>
      <x:c r="B44" s="19">
        <x:v>1722000</x:v>
      </x:c>
      <x:c r="C44" s="19">
        <x:v>1722000000</x:v>
      </x:c>
      <x:c r="D44" s="19">
        <x:v>14400</x:v>
      </x:c>
      <x:c r="E44" s="19">
        <x:v>273050</x:v>
      </x:c>
      <x:c r="F44" s="19">
        <x:v>480000</x:v>
      </x:c>
      <x:c r="G44" s="19">
        <x:v>7650000</x:v>
      </x:c>
      <x:c r="H44" s="19">
        <x:v>160000</x:v>
      </x:c>
      <x:c r="I44" s="19">
        <x:v>2550000</x:v>
      </x:c>
      <x:c r="J44" s="64">
        <x:v>41</x:v>
      </x:c>
      <x:c r="K44" s="65" t="e">
        <x:f>ROUND((参数与口径!$E$16+E44*参数与口径!$E$9)/IF(A44&lt;=20,参数与口径!$E$10,IF(A44&lt;=80,参数与口径!$E$11,参数与口径!$E$12)),0)*IF(A44&lt;=20,参数与口径!$E$10,IF(A44&lt;=80,参数与口径!$E$11,参数与口径!$E$12))</x:f>
        <x:v>#NAME?</x:v>
      </x:c>
      <x:c r="L44" s="66">
        <x:f t="shared" si="0"/>
        <x:v>273050</x:v>
      </x:c>
      <x:c r="M44" s="67" t="s">
        <x:v>3668</x:v>
      </x:c>
    </x:row>
    <x:row r="45" ht="22" customHeight="1">
      <x:c r="A45" s="58">
        <x:v>42</x:v>
      </x:c>
      <x:c r="B45" s="19">
        <x:v>2244000</x:v>
      </x:c>
      <x:c r="C45" s="19">
        <x:v>2244000000</x:v>
      </x:c>
      <x:c r="D45" s="19">
        <x:v>16400</x:v>
      </x:c>
      <x:c r="E45" s="19">
        <x:v>289450</x:v>
      </x:c>
      <x:c r="F45" s="19">
        <x:v>18450000</x:v>
      </x:c>
      <x:c r="G45" s="19">
        <x:v>26100000</x:v>
      </x:c>
      <x:c r="H45" s="19">
        <x:v>6150000</x:v>
      </x:c>
      <x:c r="I45" s="19">
        <x:v>8700000</x:v>
      </x:c>
      <x:c r="J45" s="64">
        <x:v>42</x:v>
      </x:c>
      <x:c r="K45" s="65" t="e">
        <x:f>ROUND((参数与口径!$E$16+E45*参数与口径!$E$9)/IF(A45&lt;=20,参数与口径!$E$10,IF(A45&lt;=80,参数与口径!$E$11,参数与口径!$E$12)),0)*IF(A45&lt;=20,参数与口径!$E$10,IF(A45&lt;=80,参数与口径!$E$11,参数与口径!$E$12))</x:f>
        <x:v>#NAME?</x:v>
      </x:c>
      <x:c r="L45" s="66">
        <x:f t="shared" si="0"/>
        <x:v>289450</x:v>
      </x:c>
      <x:c r="M45" s="67" t="s">
        <x:v>3664</x:v>
      </x:c>
    </x:row>
    <x:row r="46" ht="22" customHeight="1">
      <x:c r="A46" s="58">
        <x:v>43</x:v>
      </x:c>
      <x:c r="B46" s="19">
        <x:v>3144000</x:v>
      </x:c>
      <x:c r="C46" s="19">
        <x:v>3144000000</x:v>
      </x:c>
      <x:c r="D46" s="19">
        <x:v>16800</x:v>
      </x:c>
      <x:c r="E46" s="19">
        <x:v>306250</x:v>
      </x:c>
      <x:c r="F46" s="19">
        <x:v>18900000</x:v>
      </x:c>
      <x:c r="G46" s="19">
        <x:v>45000000</x:v>
      </x:c>
      <x:c r="H46" s="19">
        <x:v>6300000</x:v>
      </x:c>
      <x:c r="I46" s="19">
        <x:v>15000000</x:v>
      </x:c>
      <x:c r="J46" s="64">
        <x:v>43</x:v>
      </x:c>
      <x:c r="K46" s="65" t="e">
        <x:f>ROUND((参数与口径!$E$16+E46*参数与口径!$E$9)/IF(A46&lt;=20,参数与口径!$E$10,IF(A46&lt;=80,参数与口径!$E$11,参数与口径!$E$12)),0)*IF(A46&lt;=20,参数与口径!$E$10,IF(A46&lt;=80,参数与口径!$E$11,参数与口径!$E$12))</x:f>
        <x:v>#NAME?</x:v>
      </x:c>
      <x:c r="L46" s="66">
        <x:f t="shared" si="0"/>
        <x:v>306250</x:v>
      </x:c>
      <x:c r="M46" s="67" t="s">
        <x:v>3664</x:v>
      </x:c>
    </x:row>
    <x:row r="47" ht="22" customHeight="1">
      <x:c r="A47" s="58">
        <x:v>44</x:v>
      </x:c>
      <x:c r="B47" s="19">
        <x:v>4431000</x:v>
      </x:c>
      <x:c r="C47" s="19">
        <x:v>4431000000</x:v>
      </x:c>
      <x:c r="D47" s="19">
        <x:v>17200</x:v>
      </x:c>
      <x:c r="E47" s="19">
        <x:v>323450</x:v>
      </x:c>
      <x:c r="F47" s="19">
        <x:v>19350000</x:v>
      </x:c>
      <x:c r="G47" s="19">
        <x:v>64350000</x:v>
      </x:c>
      <x:c r="H47" s="19">
        <x:v>6450000</x:v>
      </x:c>
      <x:c r="I47" s="19">
        <x:v>21450000</x:v>
      </x:c>
      <x:c r="J47" s="64">
        <x:v>44</x:v>
      </x:c>
      <x:c r="K47" s="65" t="e">
        <x:f>ROUND((参数与口径!$E$16+E47*参数与口径!$E$9)/IF(A47&lt;=20,参数与口径!$E$10,IF(A47&lt;=80,参数与口径!$E$11,参数与口径!$E$12)),0)*IF(A47&lt;=20,参数与口径!$E$10,IF(A47&lt;=80,参数与口径!$E$11,参数与口径!$E$12))</x:f>
        <x:v>#NAME?</x:v>
      </x:c>
      <x:c r="L47" s="66">
        <x:f t="shared" si="0"/>
        <x:v>323450</x:v>
      </x:c>
      <x:c r="M47" s="67" t="s">
        <x:v>3664</x:v>
      </x:c>
    </x:row>
    <x:row r="48" ht="22" customHeight="1">
      <x:c r="A48" s="58">
        <x:v>45</x:v>
      </x:c>
      <x:c r="B48" s="19">
        <x:v>6114000</x:v>
      </x:c>
      <x:c r="C48" s="19">
        <x:v>6114000000</x:v>
      </x:c>
      <x:c r="D48" s="19">
        <x:v>17600</x:v>
      </x:c>
      <x:c r="E48" s="19">
        <x:v>341050</x:v>
      </x:c>
      <x:c r="F48" s="19">
        <x:v>19800000</x:v>
      </x:c>
      <x:c r="G48" s="19">
        <x:v>84150000</x:v>
      </x:c>
      <x:c r="H48" s="19">
        <x:v>6600000</x:v>
      </x:c>
      <x:c r="I48" s="19">
        <x:v>28050000</x:v>
      </x:c>
      <x:c r="J48" s="64">
        <x:v>45</x:v>
      </x:c>
      <x:c r="K48" s="65" t="e">
        <x:f>ROUND((参数与口径!$E$16+E48*参数与口径!$E$9)/IF(A48&lt;=20,参数与口径!$E$10,IF(A48&lt;=80,参数与口径!$E$11,参数与口径!$E$12)),0)*IF(A48&lt;=20,参数与口径!$E$10,IF(A48&lt;=80,参数与口径!$E$11,参数与口径!$E$12))</x:f>
        <x:v>#NAME?</x:v>
      </x:c>
      <x:c r="L48" s="66">
        <x:f t="shared" si="0"/>
        <x:v>341050</x:v>
      </x:c>
      <x:c r="M48" s="67" t="s">
        <x:v>3664</x:v>
      </x:c>
    </x:row>
    <x:row r="49" ht="22" customHeight="1">
      <x:c r="A49" s="58">
        <x:v>46</x:v>
      </x:c>
      <x:c r="B49" s="19">
        <x:v>8202000</x:v>
      </x:c>
      <x:c r="C49" s="19">
        <x:v>8202000000</x:v>
      </x:c>
      <x:c r="D49" s="19">
        <x:v>18000</x:v>
      </x:c>
      <x:c r="E49" s="19">
        <x:v>359050</x:v>
      </x:c>
      <x:c r="F49" s="19">
        <x:v>20250000</x:v>
      </x:c>
      <x:c r="G49" s="19">
        <x:v>104400000</x:v>
      </x:c>
      <x:c r="H49" s="19">
        <x:v>6750000</x:v>
      </x:c>
      <x:c r="I49" s="19">
        <x:v>34800000</x:v>
      </x:c>
      <x:c r="J49" s="64">
        <x:v>46</x:v>
      </x:c>
      <x:c r="K49" s="65" t="e">
        <x:f>ROUND((参数与口径!$E$16+E49*参数与口径!$E$9)/IF(A49&lt;=20,参数与口径!$E$10,IF(A49&lt;=80,参数与口径!$E$11,参数与口径!$E$12)),0)*IF(A49&lt;=20,参数与口径!$E$10,IF(A49&lt;=80,参数与口径!$E$11,参数与口径!$E$12))</x:f>
        <x:v>#NAME?</x:v>
      </x:c>
      <x:c r="L49" s="66">
        <x:f t="shared" si="0"/>
        <x:v>359050</x:v>
      </x:c>
      <x:c r="M49" s="67" t="s">
        <x:v>3664</x:v>
      </x:c>
    </x:row>
    <x:row r="50" ht="22" customHeight="1">
      <x:c r="A50" s="58">
        <x:v>47</x:v>
      </x:c>
      <x:c r="B50" s="19">
        <x:v>10704000</x:v>
      </x:c>
      <x:c r="C50" s="19">
        <x:v>10704000000</x:v>
      </x:c>
      <x:c r="D50" s="19">
        <x:v>18400</x:v>
      </x:c>
      <x:c r="E50" s="19">
        <x:v>377450</x:v>
      </x:c>
      <x:c r="F50" s="19">
        <x:v>20700000</x:v>
      </x:c>
      <x:c r="G50" s="19">
        <x:v>125100000</x:v>
      </x:c>
      <x:c r="H50" s="19">
        <x:v>6900000</x:v>
      </x:c>
      <x:c r="I50" s="19">
        <x:v>41700000</x:v>
      </x:c>
      <x:c r="J50" s="64">
        <x:v>47</x:v>
      </x:c>
      <x:c r="K50" s="65" t="e">
        <x:f>ROUND((参数与口径!$E$16+E50*参数与口径!$E$9)/IF(A50&lt;=20,参数与口径!$E$10,IF(A50&lt;=80,参数与口径!$E$11,参数与口径!$E$12)),0)*IF(A50&lt;=20,参数与口径!$E$10,IF(A50&lt;=80,参数与口径!$E$11,参数与口径!$E$12))</x:f>
        <x:v>#NAME?</x:v>
      </x:c>
      <x:c r="L50" s="66">
        <x:f t="shared" si="0"/>
        <x:v>377450</x:v>
      </x:c>
      <x:c r="M50" s="67" t="s">
        <x:v>3664</x:v>
      </x:c>
    </x:row>
    <x:row r="51" ht="22" customHeight="1">
      <x:c r="A51" s="58">
        <x:v>48</x:v>
      </x:c>
      <x:c r="B51" s="19">
        <x:v>13629000</x:v>
      </x:c>
      <x:c r="C51" s="19">
        <x:v>13629000000</x:v>
      </x:c>
      <x:c r="D51" s="19">
        <x:v>18800</x:v>
      </x:c>
      <x:c r="E51" s="19">
        <x:v>396250</x:v>
      </x:c>
      <x:c r="F51" s="19">
        <x:v>21150000</x:v>
      </x:c>
      <x:c r="G51" s="19">
        <x:v>146250000</x:v>
      </x:c>
      <x:c r="H51" s="19">
        <x:v>7050000</x:v>
      </x:c>
      <x:c r="I51" s="19">
        <x:v>48750000</x:v>
      </x:c>
      <x:c r="J51" s="64">
        <x:v>48</x:v>
      </x:c>
      <x:c r="K51" s="65" t="e">
        <x:f>ROUND((参数与口径!$E$16+E51*参数与口径!$E$9)/IF(A51&lt;=20,参数与口径!$E$10,IF(A51&lt;=80,参数与口径!$E$11,参数与口径!$E$12)),0)*IF(A51&lt;=20,参数与口径!$E$10,IF(A51&lt;=80,参数与口径!$E$11,参数与口径!$E$12))</x:f>
        <x:v>#NAME?</x:v>
      </x:c>
      <x:c r="L51" s="66">
        <x:f t="shared" si="0"/>
        <x:v>396250</x:v>
      </x:c>
      <x:c r="M51" s="67" t="s">
        <x:v>3664</x:v>
      </x:c>
    </x:row>
    <x:row r="52" ht="22" customHeight="1">
      <x:c r="A52" s="58">
        <x:v>49</x:v>
      </x:c>
      <x:c r="B52" s="19">
        <x:v>16986000</x:v>
      </x:c>
      <x:c r="C52" s="19">
        <x:v>16986000000</x:v>
      </x:c>
      <x:c r="D52" s="19">
        <x:v>19200</x:v>
      </x:c>
      <x:c r="E52" s="19">
        <x:v>415450</x:v>
      </x:c>
      <x:c r="F52" s="19">
        <x:v>21600000</x:v>
      </x:c>
      <x:c r="G52" s="19">
        <x:v>167850000</x:v>
      </x:c>
      <x:c r="H52" s="19">
        <x:v>7200000</x:v>
      </x:c>
      <x:c r="I52" s="19">
        <x:v>55950000</x:v>
      </x:c>
      <x:c r="J52" s="64">
        <x:v>49</x:v>
      </x:c>
      <x:c r="K52" s="65" t="e">
        <x:f>ROUND((参数与口径!$E$16+E52*参数与口径!$E$9)/IF(A52&lt;=20,参数与口径!$E$10,IF(A52&lt;=80,参数与口径!$E$11,参数与口径!$E$12)),0)*IF(A52&lt;=20,参数与口径!$E$10,IF(A52&lt;=80,参数与口径!$E$11,参数与口径!$E$12))</x:f>
        <x:v>#NAME?</x:v>
      </x:c>
      <x:c r="L52" s="66">
        <x:f t="shared" si="0"/>
        <x:v>415450</x:v>
      </x:c>
      <x:c r="M52" s="67" t="s">
        <x:v>3664</x:v>
      </x:c>
    </x:row>
    <x:row r="53" ht="22" customHeight="1">
      <x:c r="A53" s="58">
        <x:v>50</x:v>
      </x:c>
      <x:c r="B53" s="19">
        <x:v>20784000</x:v>
      </x:c>
      <x:c r="C53" s="19">
        <x:v>20784000000</x:v>
      </x:c>
      <x:c r="D53" s="19">
        <x:v>19600</x:v>
      </x:c>
      <x:c r="E53" s="19">
        <x:v>435050</x:v>
      </x:c>
      <x:c r="F53" s="19">
        <x:v>22050000</x:v>
      </x:c>
      <x:c r="G53" s="19">
        <x:v>189900000</x:v>
      </x:c>
      <x:c r="H53" s="19">
        <x:v>7350000</x:v>
      </x:c>
      <x:c r="I53" s="19">
        <x:v>63300000</x:v>
      </x:c>
      <x:c r="J53" s="64">
        <x:v>50</x:v>
      </x:c>
      <x:c r="K53" s="65" t="e">
        <x:f>ROUND((参数与口径!$E$16+E53*参数与口径!$E$9)/IF(A53&lt;=20,参数与口径!$E$10,IF(A53&lt;=80,参数与口径!$E$11,参数与口径!$E$12)),0)*IF(A53&lt;=20,参数与口径!$E$10,IF(A53&lt;=80,参数与口径!$E$11,参数与口径!$E$12))</x:f>
        <x:v>#NAME?</x:v>
      </x:c>
      <x:c r="L53" s="66">
        <x:f t="shared" si="0"/>
        <x:v>435050</x:v>
      </x:c>
      <x:c r="M53" s="67" t="s">
        <x:v>3664</x:v>
      </x:c>
    </x:row>
    <x:row r="54" ht="22" customHeight="1">
      <x:c r="A54" s="58">
        <x:v>51</x:v>
      </x:c>
      <x:c r="B54" s="19">
        <x:v>25032000</x:v>
      </x:c>
      <x:c r="C54" s="19">
        <x:v>25032000000</x:v>
      </x:c>
      <x:c r="D54" s="19">
        <x:v>20000</x:v>
      </x:c>
      <x:c r="E54" s="19">
        <x:v>455050</x:v>
      </x:c>
      <x:c r="F54" s="19">
        <x:v>22500000</x:v>
      </x:c>
      <x:c r="G54" s="19">
        <x:v>212400000</x:v>
      </x:c>
      <x:c r="H54" s="19">
        <x:v>7500000</x:v>
      </x:c>
      <x:c r="I54" s="19">
        <x:v>70800000</x:v>
      </x:c>
      <x:c r="J54" s="64">
        <x:v>51</x:v>
      </x:c>
      <x:c r="K54" s="65" t="e">
        <x:f>ROUND((参数与口径!$E$16+E54*参数与口径!$E$9)/IF(A54&lt;=20,参数与口径!$E$10,IF(A54&lt;=80,参数与口径!$E$11,参数与口径!$E$12)),0)*IF(A54&lt;=20,参数与口径!$E$10,IF(A54&lt;=80,参数与口径!$E$11,参数与口径!$E$12))</x:f>
        <x:v>#NAME?</x:v>
      </x:c>
      <x:c r="L54" s="66">
        <x:f t="shared" si="0"/>
        <x:v>455050</x:v>
      </x:c>
      <x:c r="M54" s="67" t="s">
        <x:v>3664</x:v>
      </x:c>
    </x:row>
    <x:row r="55" ht="22" customHeight="1">
      <x:c r="A55" s="58">
        <x:v>52</x:v>
      </x:c>
      <x:c r="B55" s="19">
        <x:v>29892000</x:v>
      </x:c>
      <x:c r="C55" s="19">
        <x:v>29892000000</x:v>
      </x:c>
      <x:c r="D55" s="19">
        <x:v>22440</x:v>
      </x:c>
      <x:c r="E55" s="19">
        <x:v>477490</x:v>
      </x:c>
      <x:c r="F55" s="19">
        <x:v>30600000</x:v>
      </x:c>
      <x:c r="G55" s="19">
        <x:v>243000000</x:v>
      </x:c>
      <x:c r="H55" s="19">
        <x:v>10200000</x:v>
      </x:c>
      <x:c r="I55" s="19">
        <x:v>81000000</x:v>
      </x:c>
      <x:c r="J55" s="64">
        <x:v>52</x:v>
      </x:c>
      <x:c r="K55" s="65" t="e">
        <x:f>ROUND((参数与口径!$E$16+E55*参数与口径!$E$9)/IF(A55&lt;=20,参数与口径!$E$10,IF(A55&lt;=80,参数与口径!$E$11,参数与口径!$E$12)),0)*IF(A55&lt;=20,参数与口径!$E$10,IF(A55&lt;=80,参数与口径!$E$11,参数与口径!$E$12))</x:f>
        <x:v>#NAME?</x:v>
      </x:c>
      <x:c r="L55" s="66">
        <x:f t="shared" si="0"/>
        <x:v>477490</x:v>
      </x:c>
      <x:c r="M55" s="67" t="s">
        <x:v>3664</x:v>
      </x:c>
    </x:row>
    <x:row r="56" ht="22" customHeight="1">
      <x:c r="A56" s="58">
        <x:v>53</x:v>
      </x:c>
      <x:c r="B56" s="19">
        <x:v>35376000</x:v>
      </x:c>
      <x:c r="C56" s="19">
        <x:v>35376000000</x:v>
      </x:c>
      <x:c r="D56" s="19">
        <x:v>22880</x:v>
      </x:c>
      <x:c r="E56" s="19">
        <x:v>500370</x:v>
      </x:c>
      <x:c r="F56" s="19">
        <x:v>31200000</x:v>
      </x:c>
      <x:c r="G56" s="19">
        <x:v>274200000</x:v>
      </x:c>
      <x:c r="H56" s="19">
        <x:v>10400000</x:v>
      </x:c>
      <x:c r="I56" s="19">
        <x:v>91400000</x:v>
      </x:c>
      <x:c r="J56" s="64">
        <x:v>53</x:v>
      </x:c>
      <x:c r="K56" s="65" t="e">
        <x:f>ROUND((参数与口径!$E$16+E56*参数与口径!$E$9)/IF(A56&lt;=20,参数与口径!$E$10,IF(A56&lt;=80,参数与口径!$E$11,参数与口径!$E$12)),0)*IF(A56&lt;=20,参数与口径!$E$10,IF(A56&lt;=80,参数与口径!$E$11,参数与口径!$E$12))</x:f>
        <x:v>#NAME?</x:v>
      </x:c>
      <x:c r="L56" s="66">
        <x:f t="shared" si="0"/>
        <x:v>500370</x:v>
      </x:c>
      <x:c r="M56" s="67" t="s">
        <x:v>3664</x:v>
      </x:c>
    </x:row>
    <x:row r="57" ht="22" customHeight="1">
      <x:c r="A57" s="58">
        <x:v>54</x:v>
      </x:c>
      <x:c r="B57" s="19">
        <x:v>41496000</x:v>
      </x:c>
      <x:c r="C57" s="19">
        <x:v>41496000000</x:v>
      </x:c>
      <x:c r="D57" s="19">
        <x:v>23320</x:v>
      </x:c>
      <x:c r="E57" s="19">
        <x:v>523690</x:v>
      </x:c>
      <x:c r="F57" s="19">
        <x:v>31800000</x:v>
      </x:c>
      <x:c r="G57" s="19">
        <x:v>306000000</x:v>
      </x:c>
      <x:c r="H57" s="19">
        <x:v>10600000</x:v>
      </x:c>
      <x:c r="I57" s="19">
        <x:v>102000000</x:v>
      </x:c>
      <x:c r="J57" s="64">
        <x:v>54</x:v>
      </x:c>
      <x:c r="K57" s="65" t="e">
        <x:f>ROUND((参数与口径!$E$16+E57*参数与口径!$E$9)/IF(A57&lt;=20,参数与口径!$E$10,IF(A57&lt;=80,参数与口径!$E$11,参数与口径!$E$12)),0)*IF(A57&lt;=20,参数与口径!$E$10,IF(A57&lt;=80,参数与口径!$E$11,参数与口径!$E$12))</x:f>
        <x:v>#NAME?</x:v>
      </x:c>
      <x:c r="L57" s="66">
        <x:f t="shared" si="0"/>
        <x:v>523690</x:v>
      </x:c>
      <x:c r="M57" s="67" t="s">
        <x:v>3664</x:v>
      </x:c>
    </x:row>
    <x:row r="58" ht="22" customHeight="1">
      <x:c r="A58" s="58">
        <x:v>55</x:v>
      </x:c>
      <x:c r="B58" s="19">
        <x:v>48264000</x:v>
      </x:c>
      <x:c r="C58" s="19">
        <x:v>48264000000</x:v>
      </x:c>
      <x:c r="D58" s="19">
        <x:v>23760</x:v>
      </x:c>
      <x:c r="E58" s="19">
        <x:v>547450</x:v>
      </x:c>
      <x:c r="F58" s="19">
        <x:v>32400000</x:v>
      </x:c>
      <x:c r="G58" s="19">
        <x:v>338400000</x:v>
      </x:c>
      <x:c r="H58" s="19">
        <x:v>10800000</x:v>
      </x:c>
      <x:c r="I58" s="19">
        <x:v>112800000</x:v>
      </x:c>
      <x:c r="J58" s="64">
        <x:v>55</x:v>
      </x:c>
      <x:c r="K58" s="65" t="e">
        <x:f>ROUND((参数与口径!$E$16+E58*参数与口径!$E$9)/IF(A58&lt;=20,参数与口径!$E$10,IF(A58&lt;=80,参数与口径!$E$11,参数与口径!$E$12)),0)*IF(A58&lt;=20,参数与口径!$E$10,IF(A58&lt;=80,参数与口径!$E$11,参数与口径!$E$12))</x:f>
        <x:v>#NAME?</x:v>
      </x:c>
      <x:c r="L58" s="66">
        <x:f t="shared" si="0"/>
        <x:v>547450</x:v>
      </x:c>
      <x:c r="M58" s="67" t="s">
        <x:v>3664</x:v>
      </x:c>
    </x:row>
    <x:row r="59" ht="22" customHeight="1">
      <x:c r="A59" s="58">
        <x:v>56</x:v>
      </x:c>
      <x:c r="B59" s="19">
        <x:v>55692000</x:v>
      </x:c>
      <x:c r="C59" s="19">
        <x:v>55692000000</x:v>
      </x:c>
      <x:c r="D59" s="19">
        <x:v>24200</x:v>
      </x:c>
      <x:c r="E59" s="19">
        <x:v>571650</x:v>
      </x:c>
      <x:c r="F59" s="19">
        <x:v>33000000</x:v>
      </x:c>
      <x:c r="G59" s="19">
        <x:v>371400000</x:v>
      </x:c>
      <x:c r="H59" s="19">
        <x:v>11000000</x:v>
      </x:c>
      <x:c r="I59" s="19">
        <x:v>123800000</x:v>
      </x:c>
      <x:c r="J59" s="64">
        <x:v>56</x:v>
      </x:c>
      <x:c r="K59" s="65" t="e">
        <x:f>ROUND((参数与口径!$E$16+E59*参数与口径!$E$9)/IF(A59&lt;=20,参数与口径!$E$10,IF(A59&lt;=80,参数与口径!$E$11,参数与口径!$E$12)),0)*IF(A59&lt;=20,参数与口径!$E$10,IF(A59&lt;=80,参数与口径!$E$11,参数与口径!$E$12))</x:f>
        <x:v>#NAME?</x:v>
      </x:c>
      <x:c r="L59" s="66">
        <x:f t="shared" si="0"/>
        <x:v>571650</x:v>
      </x:c>
      <x:c r="M59" s="67" t="s">
        <x:v>3664</x:v>
      </x:c>
    </x:row>
    <x:row r="60" ht="22" customHeight="1">
      <x:c r="A60" s="58">
        <x:v>57</x:v>
      </x:c>
      <x:c r="B60" s="19">
        <x:v>63792000</x:v>
      </x:c>
      <x:c r="C60" s="19">
        <x:v>63792000000</x:v>
      </x:c>
      <x:c r="D60" s="19">
        <x:v>24640</x:v>
      </x:c>
      <x:c r="E60" s="19">
        <x:v>596290</x:v>
      </x:c>
      <x:c r="F60" s="19">
        <x:v>33600000</x:v>
      </x:c>
      <x:c r="G60" s="19">
        <x:v>405000000</x:v>
      </x:c>
      <x:c r="H60" s="19">
        <x:v>11200000</x:v>
      </x:c>
      <x:c r="I60" s="19">
        <x:v>135000000</x:v>
      </x:c>
      <x:c r="J60" s="64">
        <x:v>57</x:v>
      </x:c>
      <x:c r="K60" s="65" t="e">
        <x:f>ROUND((参数与口径!$E$16+E60*参数与口径!$E$9)/IF(A60&lt;=20,参数与口径!$E$10,IF(A60&lt;=80,参数与口径!$E$11,参数与口径!$E$12)),0)*IF(A60&lt;=20,参数与口径!$E$10,IF(A60&lt;=80,参数与口径!$E$11,参数与口径!$E$12))</x:f>
        <x:v>#NAME?</x:v>
      </x:c>
      <x:c r="L60" s="66">
        <x:f t="shared" si="0"/>
        <x:v>596290</x:v>
      </x:c>
      <x:c r="M60" s="67" t="s">
        <x:v>3664</x:v>
      </x:c>
    </x:row>
    <x:row r="61" ht="22" customHeight="1">
      <x:c r="A61" s="58">
        <x:v>58</x:v>
      </x:c>
      <x:c r="B61" s="19">
        <x:v>72576000</x:v>
      </x:c>
      <x:c r="C61" s="19">
        <x:v>72576000000</x:v>
      </x:c>
      <x:c r="D61" s="19">
        <x:v>25080</x:v>
      </x:c>
      <x:c r="E61" s="19">
        <x:v>621370</x:v>
      </x:c>
      <x:c r="F61" s="19">
        <x:v>34200000</x:v>
      </x:c>
      <x:c r="G61" s="19">
        <x:v>439200000</x:v>
      </x:c>
      <x:c r="H61" s="19">
        <x:v>11400000</x:v>
      </x:c>
      <x:c r="I61" s="19">
        <x:v>146400000</x:v>
      </x:c>
      <x:c r="J61" s="64">
        <x:v>58</x:v>
      </x:c>
      <x:c r="K61" s="65" t="e">
        <x:f>ROUND((参数与口径!$E$16+E61*参数与口径!$E$9)/IF(A61&lt;=20,参数与口径!$E$10,IF(A61&lt;=80,参数与口径!$E$11,参数与口径!$E$12)),0)*IF(A61&lt;=20,参数与口径!$E$10,IF(A61&lt;=80,参数与口径!$E$11,参数与口径!$E$12))</x:f>
        <x:v>#NAME?</x:v>
      </x:c>
      <x:c r="L61" s="66">
        <x:f t="shared" si="0"/>
        <x:v>621370</x:v>
      </x:c>
      <x:c r="M61" s="67" t="s">
        <x:v>3664</x:v>
      </x:c>
    </x:row>
    <x:row r="62" ht="22" customHeight="1">
      <x:c r="A62" s="58">
        <x:v>59</x:v>
      </x:c>
      <x:c r="B62" s="19">
        <x:v>82056000</x:v>
      </x:c>
      <x:c r="C62" s="19">
        <x:v>82056000000</x:v>
      </x:c>
      <x:c r="D62" s="19">
        <x:v>25520</x:v>
      </x:c>
      <x:c r="E62" s="19">
        <x:v>646890</x:v>
      </x:c>
      <x:c r="F62" s="19">
        <x:v>34800000</x:v>
      </x:c>
      <x:c r="G62" s="19">
        <x:v>474000000</x:v>
      </x:c>
      <x:c r="H62" s="19">
        <x:v>11600000</x:v>
      </x:c>
      <x:c r="I62" s="19">
        <x:v>158000000</x:v>
      </x:c>
      <x:c r="J62" s="64">
        <x:v>59</x:v>
      </x:c>
      <x:c r="K62" s="65" t="e">
        <x:f>ROUND((参数与口径!$E$16+E62*参数与口径!$E$9)/IF(A62&lt;=20,参数与口径!$E$10,IF(A62&lt;=80,参数与口径!$E$11,参数与口径!$E$12)),0)*IF(A62&lt;=20,参数与口径!$E$10,IF(A62&lt;=80,参数与口径!$E$11,参数与口径!$E$12))</x:f>
        <x:v>#NAME?</x:v>
      </x:c>
      <x:c r="L62" s="66">
        <x:f t="shared" si="0"/>
        <x:v>646890</x:v>
      </x:c>
      <x:c r="M62" s="67" t="s">
        <x:v>3664</x:v>
      </x:c>
    </x:row>
    <x:row r="63" ht="22" customHeight="1">
      <x:c r="A63" s="58">
        <x:v>60</x:v>
      </x:c>
      <x:c r="B63" s="19">
        <x:v>92244000</x:v>
      </x:c>
      <x:c r="C63" s="19">
        <x:v>92244000000</x:v>
      </x:c>
      <x:c r="D63" s="19">
        <x:v>25960</x:v>
      </x:c>
      <x:c r="E63" s="19">
        <x:v>672850</x:v>
      </x:c>
      <x:c r="F63" s="19">
        <x:v>35400000</x:v>
      </x:c>
      <x:c r="G63" s="19">
        <x:v>509400000</x:v>
      </x:c>
      <x:c r="H63" s="19">
        <x:v>11800000</x:v>
      </x:c>
      <x:c r="I63" s="19">
        <x:v>169800000</x:v>
      </x:c>
      <x:c r="J63" s="68">
        <x:v>60</x:v>
      </x:c>
      <x:c r="K63" s="69" t="e">
        <x:f>ROUND((参数与口径!$E$16+E63*参数与口径!$E$9)/IF(A63&lt;=20,参数与口径!$E$10,IF(A63&lt;=80,参数与口径!$E$11,参数与口径!$E$12)),0)*IF(A63&lt;=20,参数与口径!$E$10,IF(A63&lt;=80,参数与口径!$E$11,参数与口径!$E$12))</x:f>
        <x:v>#NAME?</x:v>
      </x:c>
      <x:c r="L63" s="70">
        <x:f t="shared" si="0"/>
        <x:v>672850</x:v>
      </x:c>
      <x:c r="M63" s="71" t="s">
        <x:v>3669</x:v>
      </x:c>
    </x:row>
    <x:row r="64" ht="22" customHeight="1">
      <x:c r="A64" s="58">
        <x:v>61</x:v>
      </x:c>
      <x:c r="B64" s="19">
        <x:v>103152000</x:v>
      </x:c>
      <x:c r="C64" s="19">
        <x:v>103152000000</x:v>
      </x:c>
      <x:c r="D64" s="19">
        <x:v>26400</x:v>
      </x:c>
      <x:c r="E64" s="19">
        <x:v>699250</x:v>
      </x:c>
      <x:c r="F64" s="19">
        <x:v>36000000</x:v>
      </x:c>
      <x:c r="G64" s="19">
        <x:v>545400000</x:v>
      </x:c>
      <x:c r="H64" s="19">
        <x:v>12000000</x:v>
      </x:c>
      <x:c r="I64" s="19">
        <x:v>181800000</x:v>
      </x:c>
      <x:c r="J64" s="64">
        <x:v>61</x:v>
      </x:c>
      <x:c r="K64" s="65" t="e">
        <x:f>ROUND((参数与口径!$E$16+E64*参数与口径!$E$9)/IF(A64&lt;=20,参数与口径!$E$10,IF(A64&lt;=80,参数与口径!$E$11,参数与口径!$E$12)),0)*IF(A64&lt;=20,参数与口径!$E$10,IF(A64&lt;=80,参数与口径!$E$11,参数与口径!$E$12))</x:f>
        <x:v>#NAME?</x:v>
      </x:c>
      <x:c r="L64" s="66">
        <x:f t="shared" si="0"/>
        <x:v>699250</x:v>
      </x:c>
      <x:c r="M64" s="67" t="s">
        <x:v>3670</x:v>
      </x:c>
    </x:row>
    <x:row r="65" ht="22" customHeight="1">
      <x:c r="A65" s="58">
        <x:v>62</x:v>
      </x:c>
      <x:c r="B65" s="19">
        <x:v>115158000</x:v>
      </x:c>
      <x:c r="C65" s="19">
        <x:v>115158000000</x:v>
      </x:c>
      <x:c r="D65" s="19">
        <x:v>29280</x:v>
      </x:c>
      <x:c r="E65" s="19">
        <x:v>728530</x:v>
      </x:c>
      <x:c r="F65" s="19">
        <x:v>54900000</x:v>
      </x:c>
      <x:c r="G65" s="19">
        <x:v>600300000</x:v>
      </x:c>
      <x:c r="H65" s="19">
        <x:v>18300000</x:v>
      </x:c>
      <x:c r="I65" s="19">
        <x:v>200100000</x:v>
      </x:c>
      <x:c r="J65" s="64">
        <x:v>62</x:v>
      </x:c>
      <x:c r="K65" s="65" t="e">
        <x:f>ROUND((参数与口径!$E$16+E65*参数与口径!$E$9)/IF(A65&lt;=20,参数与口径!$E$10,IF(A65&lt;=80,参数与口径!$E$11,参数与口径!$E$12)),0)*IF(A65&lt;=20,参数与口径!$E$10,IF(A65&lt;=80,参数与口径!$E$11,参数与口径!$E$12))</x:f>
        <x:v>#NAME?</x:v>
      </x:c>
      <x:c r="L65" s="66">
        <x:f t="shared" si="0"/>
        <x:v>728530</x:v>
      </x:c>
      <x:c r="M65" s="67" t="s">
        <x:v>3664</x:v>
      </x:c>
    </x:row>
    <x:row r="66" ht="22" customHeight="1">
      <x:c r="A66" s="58">
        <x:v>63</x:v>
      </x:c>
      <x:c r="B66" s="19">
        <x:v>128280000</x:v>
      </x:c>
      <x:c r="C66" s="19">
        <x:v>128280000000</x:v>
      </x:c>
      <x:c r="D66" s="19">
        <x:v>29760</x:v>
      </x:c>
      <x:c r="E66" s="19">
        <x:v>758290</x:v>
      </x:c>
      <x:c r="F66" s="19">
        <x:v>55800000</x:v>
      </x:c>
      <x:c r="G66" s="19">
        <x:v>656100000</x:v>
      </x:c>
      <x:c r="H66" s="19">
        <x:v>18600000</x:v>
      </x:c>
      <x:c r="I66" s="19">
        <x:v>218700000</x:v>
      </x:c>
      <x:c r="J66" s="64">
        <x:v>63</x:v>
      </x:c>
      <x:c r="K66" s="65" t="e">
        <x:f>ROUND((参数与口径!$E$16+E66*参数与口径!$E$9)/IF(A66&lt;=20,参数与口径!$E$10,IF(A66&lt;=80,参数与口径!$E$11,参数与口径!$E$12)),0)*IF(A66&lt;=20,参数与口径!$E$10,IF(A66&lt;=80,参数与口径!$E$11,参数与口径!$E$12))</x:f>
        <x:v>#NAME?</x:v>
      </x:c>
      <x:c r="L66" s="66">
        <x:f t="shared" si="0"/>
        <x:v>758290</x:v>
      </x:c>
      <x:c r="M66" s="67" t="s">
        <x:v>3664</x:v>
      </x:c>
    </x:row>
    <x:row r="67" ht="22" customHeight="1">
      <x:c r="A67" s="58">
        <x:v>64</x:v>
      </x:c>
      <x:c r="B67" s="19">
        <x:v>142536000</x:v>
      </x:c>
      <x:c r="C67" s="19">
        <x:v>142536000000</x:v>
      </x:c>
      <x:c r="D67" s="19">
        <x:v>30240</x:v>
      </x:c>
      <x:c r="E67" s="19">
        <x:v>788530</x:v>
      </x:c>
      <x:c r="F67" s="19">
        <x:v>56700000</x:v>
      </x:c>
      <x:c r="G67" s="19">
        <x:v>712800000</x:v>
      </x:c>
      <x:c r="H67" s="19">
        <x:v>18900000</x:v>
      </x:c>
      <x:c r="I67" s="19">
        <x:v>237600000</x:v>
      </x:c>
      <x:c r="J67" s="64">
        <x:v>64</x:v>
      </x:c>
      <x:c r="K67" s="65" t="e">
        <x:f>ROUND((参数与口径!$E$16+E67*参数与口径!$E$9)/IF(A67&lt;=20,参数与口径!$E$10,IF(A67&lt;=80,参数与口径!$E$11,参数与口径!$E$12)),0)*IF(A67&lt;=20,参数与口径!$E$10,IF(A67&lt;=80,参数与口径!$E$11,参数与口径!$E$12))</x:f>
        <x:v>#NAME?</x:v>
      </x:c>
      <x:c r="L67" s="66">
        <x:f t="shared" si="0"/>
        <x:v>788530</x:v>
      </x:c>
      <x:c r="M67" s="67" t="s">
        <x:v>3664</x:v>
      </x:c>
    </x:row>
    <x:row r="68" ht="22" customHeight="1">
      <x:c r="A68" s="58">
        <x:v>65</x:v>
      </x:c>
      <x:c r="B68" s="19">
        <x:v>157944000</x:v>
      </x:c>
      <x:c r="C68" s="19">
        <x:v>157944000000</x:v>
      </x:c>
      <x:c r="D68" s="19">
        <x:v>30720</x:v>
      </x:c>
      <x:c r="E68" s="19">
        <x:v>819250</x:v>
      </x:c>
      <x:c r="F68" s="19">
        <x:v>57600000</x:v>
      </x:c>
      <x:c r="G68" s="19">
        <x:v>770400000</x:v>
      </x:c>
      <x:c r="H68" s="19">
        <x:v>19200000</x:v>
      </x:c>
      <x:c r="I68" s="19">
        <x:v>256800000</x:v>
      </x:c>
      <x:c r="J68" s="64">
        <x:v>65</x:v>
      </x:c>
      <x:c r="K68" s="65" t="e">
        <x:f>ROUND((参数与口径!$E$16+E68*参数与口径!$E$9)/IF(A68&lt;=20,参数与口径!$E$10,IF(A68&lt;=80,参数与口径!$E$11,参数与口径!$E$12)),0)*IF(A68&lt;=20,参数与口径!$E$10,IF(A68&lt;=80,参数与口径!$E$11,参数与口径!$E$12))</x:f>
        <x:v>#NAME?</x:v>
      </x:c>
      <x:c r="L68" s="66" t="n">
        <x:f t="shared" ref="L68:L103" si="1">E68</x:f>
        <x:v>819250</x:v>
      </x:c>
      <x:c r="M68" s="67" t="s">
        <x:v>3664</x:v>
      </x:c>
    </x:row>
    <x:row r="69" ht="22" customHeight="1">
      <x:c r="A69" s="58">
        <x:v>66</x:v>
      </x:c>
      <x:c r="B69" s="19">
        <x:v>174522000</x:v>
      </x:c>
      <x:c r="C69" s="19">
        <x:v>174522000000</x:v>
      </x:c>
      <x:c r="D69" s="19">
        <x:v>31200</x:v>
      </x:c>
      <x:c r="E69" s="19">
        <x:v>850450</x:v>
      </x:c>
      <x:c r="F69" s="19">
        <x:v>58500000</x:v>
      </x:c>
      <x:c r="G69" s="19">
        <x:v>828900000</x:v>
      </x:c>
      <x:c r="H69" s="19">
        <x:v>19500000</x:v>
      </x:c>
      <x:c r="I69" s="19">
        <x:v>276300000</x:v>
      </x:c>
      <x:c r="J69" s="64">
        <x:v>66</x:v>
      </x:c>
      <x:c r="K69" s="65" t="e">
        <x:f>ROUND((参数与口径!$E$16+E69*参数与口径!$E$9)/IF(A69&lt;=20,参数与口径!$E$10,IF(A69&lt;=80,参数与口径!$E$11,参数与口径!$E$12)),0)*IF(A69&lt;=20,参数与口径!$E$10,IF(A69&lt;=80,参数与口径!$E$11,参数与口径!$E$12))</x:f>
        <x:v>#NAME?</x:v>
      </x:c>
      <x:c r="L69" s="66">
        <x:f t="shared" si="1"/>
        <x:v>850450</x:v>
      </x:c>
      <x:c r="M69" s="67" t="s">
        <x:v>3664</x:v>
      </x:c>
    </x:row>
    <x:row r="70" ht="22" customHeight="1">
      <x:c r="A70" s="58">
        <x:v>67</x:v>
      </x:c>
      <x:c r="B70" s="19">
        <x:v>192288000</x:v>
      </x:c>
      <x:c r="C70" s="19">
        <x:v>192288000000</x:v>
      </x:c>
      <x:c r="D70" s="19">
        <x:v>31680</x:v>
      </x:c>
      <x:c r="E70" s="19">
        <x:v>882130</x:v>
      </x:c>
      <x:c r="F70" s="19">
        <x:v>59400000</x:v>
      </x:c>
      <x:c r="G70" s="19">
        <x:v>888300000</x:v>
      </x:c>
      <x:c r="H70" s="19">
        <x:v>19800000</x:v>
      </x:c>
      <x:c r="I70" s="19">
        <x:v>296100000</x:v>
      </x:c>
      <x:c r="J70" s="64">
        <x:v>67</x:v>
      </x:c>
      <x:c r="K70" s="65" t="e">
        <x:f>ROUND((参数与口径!$E$16+E70*参数与口径!$E$9)/IF(A70&lt;=20,参数与口径!$E$10,IF(A70&lt;=80,参数与口径!$E$11,参数与口径!$E$12)),0)*IF(A70&lt;=20,参数与口径!$E$10,IF(A70&lt;=80,参数与口径!$E$11,参数与口径!$E$12))</x:f>
        <x:v>#NAME?</x:v>
      </x:c>
      <x:c r="L70" s="66">
        <x:f t="shared" si="1"/>
        <x:v>882130</x:v>
      </x:c>
      <x:c r="M70" s="67" t="s">
        <x:v>3664</x:v>
      </x:c>
    </x:row>
    <x:row r="71" ht="22" customHeight="1">
      <x:c r="A71" s="58">
        <x:v>68</x:v>
      </x:c>
      <x:c r="B71" s="19">
        <x:v>211260000</x:v>
      </x:c>
      <x:c r="C71" s="19">
        <x:v>211260000000</x:v>
      </x:c>
      <x:c r="D71" s="19">
        <x:v>32160</x:v>
      </x:c>
      <x:c r="E71" s="19">
        <x:v>914290</x:v>
      </x:c>
      <x:c r="F71" s="19">
        <x:v>60300000</x:v>
      </x:c>
      <x:c r="G71" s="19">
        <x:v>948600000</x:v>
      </x:c>
      <x:c r="H71" s="19">
        <x:v>20100000</x:v>
      </x:c>
      <x:c r="I71" s="19">
        <x:v>316200000</x:v>
      </x:c>
      <x:c r="J71" s="64">
        <x:v>68</x:v>
      </x:c>
      <x:c r="K71" s="65" t="e">
        <x:f>ROUND((参数与口径!$E$16+E71*参数与口径!$E$9)/IF(A71&lt;=20,参数与口径!$E$10,IF(A71&lt;=80,参数与口径!$E$11,参数与口径!$E$12)),0)*IF(A71&lt;=20,参数与口径!$E$10,IF(A71&lt;=80,参数与口径!$E$11,参数与口径!$E$12))</x:f>
        <x:v>#NAME?</x:v>
      </x:c>
      <x:c r="L71" s="66">
        <x:f t="shared" si="1"/>
        <x:v>914290</x:v>
      </x:c>
      <x:c r="M71" s="67" t="s">
        <x:v>3664</x:v>
      </x:c>
    </x:row>
    <x:row r="72" ht="22" customHeight="1">
      <x:c r="A72" s="58">
        <x:v>69</x:v>
      </x:c>
      <x:c r="B72" s="19">
        <x:v>231456000</x:v>
      </x:c>
      <x:c r="C72" s="19">
        <x:v>231456000000</x:v>
      </x:c>
      <x:c r="D72" s="19">
        <x:v>32640</x:v>
      </x:c>
      <x:c r="E72" s="19">
        <x:v>946930</x:v>
      </x:c>
      <x:c r="F72" s="19">
        <x:v>61200000</x:v>
      </x:c>
      <x:c r="G72" s="19">
        <x:v>1009800000</x:v>
      </x:c>
      <x:c r="H72" s="19">
        <x:v>20400000</x:v>
      </x:c>
      <x:c r="I72" s="19">
        <x:v>336600000</x:v>
      </x:c>
      <x:c r="J72" s="64">
        <x:v>69</x:v>
      </x:c>
      <x:c r="K72" s="65" t="e">
        <x:f>ROUND((参数与口径!$E$16+E72*参数与口径!$E$9)/IF(A72&lt;=20,参数与口径!$E$10,IF(A72&lt;=80,参数与口径!$E$11,参数与口径!$E$12)),0)*IF(A72&lt;=20,参数与口径!$E$10,IF(A72&lt;=80,参数与口径!$E$11,参数与口径!$E$12))</x:f>
        <x:v>#NAME?</x:v>
      </x:c>
      <x:c r="L72" s="66">
        <x:f t="shared" si="1"/>
        <x:v>946930</x:v>
      </x:c>
      <x:c r="M72" s="67" t="s">
        <x:v>3664</x:v>
      </x:c>
    </x:row>
    <x:row r="73" ht="22" customHeight="1">
      <x:c r="A73" s="58">
        <x:v>70</x:v>
      </x:c>
      <x:c r="B73" s="19">
        <x:v>252894000</x:v>
      </x:c>
      <x:c r="C73" s="19">
        <x:v>252894000000</x:v>
      </x:c>
      <x:c r="D73" s="19">
        <x:v>33120</x:v>
      </x:c>
      <x:c r="E73" s="19">
        <x:v>980050</x:v>
      </x:c>
      <x:c r="F73" s="19">
        <x:v>62100000</x:v>
      </x:c>
      <x:c r="G73" s="19">
        <x:v>1071900000</x:v>
      </x:c>
      <x:c r="H73" s="19">
        <x:v>20700000</x:v>
      </x:c>
      <x:c r="I73" s="19">
        <x:v>357300000</x:v>
      </x:c>
      <x:c r="J73" s="64">
        <x:v>70</x:v>
      </x:c>
      <x:c r="K73" s="65" t="e">
        <x:f>ROUND((参数与口径!$E$16+E73*参数与口径!$E$9)/IF(A73&lt;=20,参数与口径!$E$10,IF(A73&lt;=80,参数与口径!$E$11,参数与口径!$E$12)),0)*IF(A73&lt;=20,参数与口径!$E$10,IF(A73&lt;=80,参数与口径!$E$11,参数与口径!$E$12))</x:f>
        <x:v>#NAME?</x:v>
      </x:c>
      <x:c r="L73" s="66">
        <x:f t="shared" si="1"/>
        <x:v>980050</x:v>
      </x:c>
      <x:c r="M73" s="67" t="s">
        <x:v>3664</x:v>
      </x:c>
    </x:row>
    <x:row r="74" ht="22" customHeight="1">
      <x:c r="A74" s="58">
        <x:v>71</x:v>
      </x:c>
      <x:c r="B74" s="19">
        <x:v>275592000</x:v>
      </x:c>
      <x:c r="C74" s="19">
        <x:v>275592000000</x:v>
      </x:c>
      <x:c r="D74" s="19">
        <x:v>33600</x:v>
      </x:c>
      <x:c r="E74" s="19">
        <x:v>1013650</x:v>
      </x:c>
      <x:c r="F74" s="19">
        <x:v>63000000</x:v>
      </x:c>
      <x:c r="G74" s="19">
        <x:v>1134900000</x:v>
      </x:c>
      <x:c r="H74" s="19">
        <x:v>21000000</x:v>
      </x:c>
      <x:c r="I74" s="19">
        <x:v>378300000</x:v>
      </x:c>
      <x:c r="J74" s="64">
        <x:v>71</x:v>
      </x:c>
      <x:c r="K74" s="65" t="e">
        <x:f>ROUND((参数与口径!$E$16+E74*参数与口径!$E$9)/IF(A74&lt;=20,参数与口径!$E$10,IF(A74&lt;=80,参数与口径!$E$11,参数与口径!$E$12)),0)*IF(A74&lt;=20,参数与口径!$E$10,IF(A74&lt;=80,参数与口径!$E$11,参数与口径!$E$12))</x:f>
        <x:v>#NAME?</x:v>
      </x:c>
      <x:c r="L74" s="66">
        <x:f t="shared" si="1"/>
        <x:v>1013650</x:v>
      </x:c>
      <x:c r="M74" s="67" t="s">
        <x:v>3664</x:v>
      </x:c>
    </x:row>
    <x:row r="75" ht="22" customHeight="1">
      <x:c r="A75" s="58">
        <x:v>72</x:v>
      </x:c>
      <x:c r="B75" s="19">
        <x:v>300420000</x:v>
      </x:c>
      <x:c r="C75" s="19">
        <x:v>300420000000</x:v>
      </x:c>
      <x:c r="D75" s="19">
        <x:v>37630</x:v>
      </x:c>
      <x:c r="E75" s="19">
        <x:v>1051280</x:v>
      </x:c>
      <x:c r="F75" s="19">
        <x:v>106500000</x:v>
      </x:c>
      <x:c r="G75" s="19">
        <x:v>1241400000</x:v>
      </x:c>
      <x:c r="H75" s="19">
        <x:v>35500000</x:v>
      </x:c>
      <x:c r="I75" s="19">
        <x:v>413800000</x:v>
      </x:c>
      <x:c r="J75" s="64">
        <x:v>72</x:v>
      </x:c>
      <x:c r="K75" s="65" t="e">
        <x:f>ROUND((参数与口径!$E$16+E75*参数与口径!$E$9)/IF(A75&lt;=20,参数与口径!$E$10,IF(A75&lt;=80,参数与口径!$E$11,参数与口径!$E$12)),0)*IF(A75&lt;=20,参数与口径!$E$10,IF(A75&lt;=80,参数与口径!$E$11,参数与口径!$E$12))</x:f>
        <x:v>#NAME?</x:v>
      </x:c>
      <x:c r="L75" s="66">
        <x:f t="shared" si="1"/>
        <x:v>1051280</x:v>
      </x:c>
      <x:c r="M75" s="67" t="s">
        <x:v>3664</x:v>
      </x:c>
    </x:row>
    <x:row r="76" ht="22" customHeight="1">
      <x:c r="A76" s="58">
        <x:v>73</x:v>
      </x:c>
      <x:c r="B76" s="19">
        <x:v>327408000</x:v>
      </x:c>
      <x:c r="C76" s="19">
        <x:v>327408000000</x:v>
      </x:c>
      <x:c r="D76" s="19">
        <x:v>38160</x:v>
      </x:c>
      <x:c r="E76" s="19">
        <x:v>1089440</x:v>
      </x:c>
      <x:c r="F76" s="19">
        <x:v>108000000</x:v>
      </x:c>
      <x:c r="G76" s="19">
        <x:v>1349400000</x:v>
      </x:c>
      <x:c r="H76" s="19">
        <x:v>36000000</x:v>
      </x:c>
      <x:c r="I76" s="19">
        <x:v>449800000</x:v>
      </x:c>
      <x:c r="J76" s="64">
        <x:v>73</x:v>
      </x:c>
      <x:c r="K76" s="65" t="e">
        <x:f>ROUND((参数与口径!$E$16+E76*参数与口径!$E$9)/IF(A76&lt;=20,参数与口径!$E$10,IF(A76&lt;=80,参数与口径!$E$11,参数与口径!$E$12)),0)*IF(A76&lt;=20,参数与口径!$E$10,IF(A76&lt;=80,参数与口径!$E$11,参数与口径!$E$12))</x:f>
        <x:v>#NAME?</x:v>
      </x:c>
      <x:c r="L76" s="66">
        <x:f t="shared" si="1"/>
        <x:v>1089440</x:v>
      </x:c>
      <x:c r="M76" s="67" t="s">
        <x:v>3664</x:v>
      </x:c>
    </x:row>
    <x:row r="77" ht="22" customHeight="1">
      <x:c r="A77" s="58">
        <x:v>74</x:v>
      </x:c>
      <x:c r="B77" s="19">
        <x:v>356586000</x:v>
      </x:c>
      <x:c r="C77" s="19">
        <x:v>356586000000</x:v>
      </x:c>
      <x:c r="D77" s="19">
        <x:v>38690</x:v>
      </x:c>
      <x:c r="E77" s="19">
        <x:v>1128130</x:v>
      </x:c>
      <x:c r="F77" s="19">
        <x:v>109500000</x:v>
      </x:c>
      <x:c r="G77" s="19">
        <x:v>1458900000</x:v>
      </x:c>
      <x:c r="H77" s="19">
        <x:v>36500000</x:v>
      </x:c>
      <x:c r="I77" s="19">
        <x:v>486300000</x:v>
      </x:c>
      <x:c r="J77" s="64">
        <x:v>74</x:v>
      </x:c>
      <x:c r="K77" s="65" t="e">
        <x:f>ROUND((参数与口径!$E$16+E77*参数与口径!$E$9)/IF(A77&lt;=20,参数与口径!$E$10,IF(A77&lt;=80,参数与口径!$E$11,参数与口径!$E$12)),0)*IF(A77&lt;=20,参数与口径!$E$10,IF(A77&lt;=80,参数与口径!$E$11,参数与口径!$E$12))</x:f>
        <x:v>#NAME?</x:v>
      </x:c>
      <x:c r="L77" s="66">
        <x:f t="shared" si="1"/>
        <x:v>1128130</x:v>
      </x:c>
      <x:c r="M77" s="67" t="s">
        <x:v>3664</x:v>
      </x:c>
    </x:row>
    <x:row r="78" ht="22" customHeight="1">
      <x:c r="A78" s="58">
        <x:v>75</x:v>
      </x:c>
      <x:c r="B78" s="19">
        <x:v>387984000</x:v>
      </x:c>
      <x:c r="C78" s="19">
        <x:v>387984000000</x:v>
      </x:c>
      <x:c r="D78" s="19">
        <x:v>39220</x:v>
      </x:c>
      <x:c r="E78" s="19">
        <x:v>1167350</x:v>
      </x:c>
      <x:c r="F78" s="19">
        <x:v>111000000</x:v>
      </x:c>
      <x:c r="G78" s="19">
        <x:v>1569900000</x:v>
      </x:c>
      <x:c r="H78" s="19">
        <x:v>37000000</x:v>
      </x:c>
      <x:c r="I78" s="19">
        <x:v>523300000</x:v>
      </x:c>
      <x:c r="J78" s="64">
        <x:v>75</x:v>
      </x:c>
      <x:c r="K78" s="65" t="e">
        <x:f>ROUND((参数与口径!$E$16+E78*参数与口径!$E$9)/IF(A78&lt;=20,参数与口径!$E$10,IF(A78&lt;=80,参数与口径!$E$11,参数与口径!$E$12)),0)*IF(A78&lt;=20,参数与口径!$E$10,IF(A78&lt;=80,参数与口径!$E$11,参数与口径!$E$12))</x:f>
        <x:v>#NAME?</x:v>
      </x:c>
      <x:c r="L78" s="66">
        <x:f t="shared" si="1"/>
        <x:v>1167350</x:v>
      </x:c>
      <x:c r="M78" s="67" t="s">
        <x:v>3664</x:v>
      </x:c>
    </x:row>
    <x:row r="79" ht="22" customHeight="1">
      <x:c r="A79" s="58">
        <x:v>76</x:v>
      </x:c>
      <x:c r="B79" s="19">
        <x:v>421632000</x:v>
      </x:c>
      <x:c r="C79" s="19">
        <x:v>421632000000</x:v>
      </x:c>
      <x:c r="D79" s="19">
        <x:v>39750</x:v>
      </x:c>
      <x:c r="E79" s="19">
        <x:v>1207100</x:v>
      </x:c>
      <x:c r="F79" s="19">
        <x:v>112500000</x:v>
      </x:c>
      <x:c r="G79" s="19">
        <x:v>1682400000</x:v>
      </x:c>
      <x:c r="H79" s="19">
        <x:v>37500000</x:v>
      </x:c>
      <x:c r="I79" s="19">
        <x:v>560800000</x:v>
      </x:c>
      <x:c r="J79" s="64">
        <x:v>76</x:v>
      </x:c>
      <x:c r="K79" s="65" t="e">
        <x:f>ROUND((参数与口径!$E$16+E79*参数与口径!$E$9)/IF(A79&lt;=20,参数与口径!$E$10,IF(A79&lt;=80,参数与口径!$E$11,参数与口径!$E$12)),0)*IF(A79&lt;=20,参数与口径!$E$10,IF(A79&lt;=80,参数与口径!$E$11,参数与口径!$E$12))</x:f>
        <x:v>#NAME?</x:v>
      </x:c>
      <x:c r="L79" s="66">
        <x:f t="shared" si="1"/>
        <x:v>1207100</x:v>
      </x:c>
      <x:c r="M79" s="67" t="s">
        <x:v>3664</x:v>
      </x:c>
    </x:row>
    <x:row r="80" ht="22" customHeight="1">
      <x:c r="A80" s="58">
        <x:v>77</x:v>
      </x:c>
      <x:c r="B80" s="19">
        <x:v>457560000</x:v>
      </x:c>
      <x:c r="C80" s="19">
        <x:v>457560000000</x:v>
      </x:c>
      <x:c r="D80" s="19">
        <x:v>40280</x:v>
      </x:c>
      <x:c r="E80" s="19">
        <x:v>1247380</x:v>
      </x:c>
      <x:c r="F80" s="19">
        <x:v>114000000</x:v>
      </x:c>
      <x:c r="G80" s="19">
        <x:v>1796400000</x:v>
      </x:c>
      <x:c r="H80" s="19">
        <x:v>38000000</x:v>
      </x:c>
      <x:c r="I80" s="19">
        <x:v>598800000</x:v>
      </x:c>
      <x:c r="J80" s="64">
        <x:v>77</x:v>
      </x:c>
      <x:c r="K80" s="65" t="e">
        <x:f>ROUND((参数与口径!$E$16+E80*参数与口径!$E$9)/IF(A80&lt;=20,参数与口径!$E$10,IF(A80&lt;=80,参数与口径!$E$11,参数与口径!$E$12)),0)*IF(A80&lt;=20,参数与口径!$E$10,IF(A80&lt;=80,参数与口径!$E$11,参数与口径!$E$12))</x:f>
        <x:v>#NAME?</x:v>
      </x:c>
      <x:c r="L80" s="66">
        <x:f t="shared" si="1"/>
        <x:v>1247380</x:v>
      </x:c>
      <x:c r="M80" s="67" t="s">
        <x:v>3664</x:v>
      </x:c>
    </x:row>
    <x:row r="81" ht="22" customHeight="1">
      <x:c r="A81" s="58">
        <x:v>78</x:v>
      </x:c>
      <x:c r="B81" s="19">
        <x:v>495798000</x:v>
      </x:c>
      <x:c r="C81" s="19">
        <x:v>495798000000</x:v>
      </x:c>
      <x:c r="D81" s="19">
        <x:v>40810</x:v>
      </x:c>
      <x:c r="E81" s="19">
        <x:v>1288190</x:v>
      </x:c>
      <x:c r="F81" s="19">
        <x:v>115500000</x:v>
      </x:c>
      <x:c r="G81" s="19">
        <x:v>1911900000</x:v>
      </x:c>
      <x:c r="H81" s="19">
        <x:v>38500000</x:v>
      </x:c>
      <x:c r="I81" s="19">
        <x:v>637300000</x:v>
      </x:c>
      <x:c r="J81" s="64">
        <x:v>78</x:v>
      </x:c>
      <x:c r="K81" s="65" t="e">
        <x:f>ROUND((参数与口径!$E$16+E81*参数与口径!$E$9)/IF(A81&lt;=20,参数与口径!$E$10,IF(A81&lt;=80,参数与口径!$E$11,参数与口径!$E$12)),0)*IF(A81&lt;=20,参数与口径!$E$10,IF(A81&lt;=80,参数与口径!$E$11,参数与口径!$E$12))</x:f>
        <x:v>#NAME?</x:v>
      </x:c>
      <x:c r="L81" s="66">
        <x:f t="shared" si="1"/>
        <x:v>1288190</x:v>
      </x:c>
      <x:c r="M81" s="67" t="s">
        <x:v>3664</x:v>
      </x:c>
    </x:row>
    <x:row r="82" ht="22" customHeight="1">
      <x:c r="A82" s="58">
        <x:v>79</x:v>
      </x:c>
      <x:c r="B82" s="19">
        <x:v>536376000</x:v>
      </x:c>
      <x:c r="C82" s="19">
        <x:v>536376000000</x:v>
      </x:c>
      <x:c r="D82" s="19">
        <x:v>41340</x:v>
      </x:c>
      <x:c r="E82" s="19">
        <x:v>1329530</x:v>
      </x:c>
      <x:c r="F82" s="19">
        <x:v>117000000</x:v>
      </x:c>
      <x:c r="G82" s="19">
        <x:v>2028900000</x:v>
      </x:c>
      <x:c r="H82" s="19">
        <x:v>39000000</x:v>
      </x:c>
      <x:c r="I82" s="19">
        <x:v>676300000</x:v>
      </x:c>
      <x:c r="J82" s="64">
        <x:v>79</x:v>
      </x:c>
      <x:c r="K82" s="65" t="e">
        <x:f>ROUND((参数与口径!$E$16+E82*参数与口径!$E$9)/IF(A82&lt;=20,参数与口径!$E$10,IF(A82&lt;=80,参数与口径!$E$11,参数与口径!$E$12)),0)*IF(A82&lt;=20,参数与口径!$E$10,IF(A82&lt;=80,参数与口径!$E$11,参数与口径!$E$12))</x:f>
        <x:v>#NAME?</x:v>
      </x:c>
      <x:c r="L82" s="66">
        <x:f t="shared" si="1"/>
        <x:v>1329530</x:v>
      </x:c>
      <x:c r="M82" s="67" t="s">
        <x:v>3664</x:v>
      </x:c>
    </x:row>
    <x:row r="83" ht="22" customHeight="1">
      <x:c r="A83" s="58">
        <x:v>80</x:v>
      </x:c>
      <x:c r="B83" s="19">
        <x:v>579324000</x:v>
      </x:c>
      <x:c r="C83" s="19">
        <x:v>579324000000</x:v>
      </x:c>
      <x:c r="D83" s="19">
        <x:v>41870</x:v>
      </x:c>
      <x:c r="E83" s="19">
        <x:v>1371400</x:v>
      </x:c>
      <x:c r="F83" s="19">
        <x:v>118500000</x:v>
      </x:c>
      <x:c r="G83" s="19">
        <x:v>2147400000</x:v>
      </x:c>
      <x:c r="H83" s="19">
        <x:v>39500000</x:v>
      </x:c>
      <x:c r="I83" s="19">
        <x:v>715800000</x:v>
      </x:c>
      <x:c r="J83" s="68">
        <x:v>80</x:v>
      </x:c>
      <x:c r="K83" s="69" t="e">
        <x:f>ROUND((参数与口径!$E$16+E83*参数与口径!$E$9)/IF(A83&lt;=20,参数与口径!$E$10,IF(A83&lt;=80,参数与口径!$E$11,参数与口径!$E$12)),0)*IF(A83&lt;=20,参数与口径!$E$10,IF(A83&lt;=80,参数与口径!$E$11,参数与口径!$E$12))</x:f>
        <x:v>#NAME?</x:v>
      </x:c>
      <x:c r="L83" s="70">
        <x:f t="shared" si="1"/>
        <x:v>1371400</x:v>
      </x:c>
      <x:c r="M83" s="71" t="s">
        <x:v>3671</x:v>
      </x:c>
    </x:row>
    <x:row r="84" ht="22" customHeight="1">
      <x:c r="A84" s="58">
        <x:v>81</x:v>
      </x:c>
      <x:c r="B84" s="19">
        <x:v>624672000</x:v>
      </x:c>
      <x:c r="C84" s="19">
        <x:v>624672000000</x:v>
      </x:c>
      <x:c r="D84" s="19">
        <x:v>42400</x:v>
      </x:c>
      <x:c r="E84" s="19">
        <x:v>1413800</x:v>
      </x:c>
      <x:c r="F84" s="19">
        <x:v>120000000</x:v>
      </x:c>
      <x:c r="G84" s="19">
        <x:v>2267400000</x:v>
      </x:c>
      <x:c r="H84" s="19">
        <x:v>40000000</x:v>
      </x:c>
      <x:c r="I84" s="19">
        <x:v>755800000</x:v>
      </x:c>
      <x:c r="J84" s="64">
        <x:v>81</x:v>
      </x:c>
      <x:c r="K84" s="65" t="e">
        <x:f>ROUND((参数与口径!$E$16+E84*参数与口径!$E$9)/IF(A84&lt;=20,参数与口径!$E$10,IF(A84&lt;=80,参数与口径!$E$11,参数与口径!$E$12)),0)*IF(A84&lt;=20,参数与口径!$E$10,IF(A84&lt;=80,参数与口径!$E$11,参数与口径!$E$12))</x:f>
        <x:v>#NAME?</x:v>
      </x:c>
      <x:c r="L84" s="66">
        <x:f t="shared" si="1"/>
        <x:v>1413800</x:v>
      </x:c>
      <x:c r="M84" s="67" t="s">
        <x:v>3672</x:v>
      </x:c>
    </x:row>
    <x:row r="85" ht="22" customHeight="1">
      <x:c r="A85" s="58">
        <x:v>82</x:v>
      </x:c>
      <x:c r="B85" s="19">
        <x:v>672936000</x:v>
      </x:c>
      <x:c r="C85" s="19">
        <x:v>672936000000</x:v>
      </x:c>
      <x:c r="D85" s="19">
        <x:v>46980</x:v>
      </x:c>
      <x:c r="E85" s="19">
        <x:v>1460780</x:v>
      </x:c>
      <x:c r="F85" s="19">
        <x:v>145800000</x:v>
      </x:c>
      <x:c r="G85" s="19">
        <x:v>2413200000</x:v>
      </x:c>
      <x:c r="H85" s="19">
        <x:v>48600000</x:v>
      </x:c>
      <x:c r="I85" s="19">
        <x:v>804400000</x:v>
      </x:c>
      <x:c r="J85" s="64">
        <x:v>82</x:v>
      </x:c>
      <x:c r="K85" s="65" t="e">
        <x:f>ROUND((参数与口径!$E$16+E85*参数与口径!$E$9)/IF(A85&lt;=20,参数与口径!$E$10,IF(A85&lt;=80,参数与口径!$E$11,参数与口径!$E$12)),0)*IF(A85&lt;=20,参数与口径!$E$10,IF(A85&lt;=80,参数与口径!$E$11,参数与口径!$E$12))</x:f>
        <x:v>#NAME?</x:v>
      </x:c>
      <x:c r="L85" s="66">
        <x:f t="shared" si="1"/>
        <x:v>1460780</x:v>
      </x:c>
      <x:c r="M85" s="67" t="s">
        <x:v>3664</x:v>
      </x:c>
    </x:row>
    <x:row r="86" ht="22" customHeight="1">
      <x:c r="A86" s="58">
        <x:v>83</x:v>
      </x:c>
      <x:c r="B86" s="19">
        <x:v>724152000</x:v>
      </x:c>
      <x:c r="C86" s="19">
        <x:v>724152000000</x:v>
      </x:c>
      <x:c r="D86" s="19">
        <x:v>47560</x:v>
      </x:c>
      <x:c r="E86" s="19">
        <x:v>1508340</x:v>
      </x:c>
      <x:c r="F86" s="19">
        <x:v>147600000</x:v>
      </x:c>
      <x:c r="G86" s="19">
        <x:v>2560800000</x:v>
      </x:c>
      <x:c r="H86" s="19">
        <x:v>49200000</x:v>
      </x:c>
      <x:c r="I86" s="19">
        <x:v>853600000</x:v>
      </x:c>
      <x:c r="J86" s="64">
        <x:v>83</x:v>
      </x:c>
      <x:c r="K86" s="65" t="e">
        <x:f>ROUND((参数与口径!$E$16+E86*参数与口径!$E$9)/IF(A86&lt;=20,参数与口径!$E$10,IF(A86&lt;=80,参数与口径!$E$11,参数与口径!$E$12)),0)*IF(A86&lt;=20,参数与口径!$E$10,IF(A86&lt;=80,参数与口径!$E$11,参数与口径!$E$12))</x:f>
        <x:v>#NAME?</x:v>
      </x:c>
      <x:c r="L86" s="66">
        <x:f t="shared" si="1"/>
        <x:v>1508340</x:v>
      </x:c>
      <x:c r="M86" s="67" t="s">
        <x:v>3664</x:v>
      </x:c>
    </x:row>
    <x:row r="87" ht="22" customHeight="1">
      <x:c r="A87" s="58">
        <x:v>84</x:v>
      </x:c>
      <x:c r="B87" s="19">
        <x:v>778356000</x:v>
      </x:c>
      <x:c r="C87" s="19">
        <x:v>778356000000</x:v>
      </x:c>
      <x:c r="D87" s="19">
        <x:v>48140</x:v>
      </x:c>
      <x:c r="E87" s="19">
        <x:v>1556480</x:v>
      </x:c>
      <x:c r="F87" s="19">
        <x:v>149400000</x:v>
      </x:c>
      <x:c r="G87" s="19">
        <x:v>2710200000</x:v>
      </x:c>
      <x:c r="H87" s="19">
        <x:v>49800000</x:v>
      </x:c>
      <x:c r="I87" s="19">
        <x:v>903400000</x:v>
      </x:c>
      <x:c r="J87" s="64">
        <x:v>84</x:v>
      </x:c>
      <x:c r="K87" s="65" t="e">
        <x:f>ROUND((参数与口径!$E$16+E87*参数与口径!$E$9)/IF(A87&lt;=20,参数与口径!$E$10,IF(A87&lt;=80,参数与口径!$E$11,参数与口径!$E$12)),0)*IF(A87&lt;=20,参数与口径!$E$10,IF(A87&lt;=80,参数与口径!$E$11,参数与口径!$E$12))</x:f>
        <x:v>#NAME?</x:v>
      </x:c>
      <x:c r="L87" s="66">
        <x:f t="shared" si="1"/>
        <x:v>1556480</x:v>
      </x:c>
      <x:c r="M87" s="67" t="s">
        <x:v>3664</x:v>
      </x:c>
    </x:row>
    <x:row r="88" ht="22" customHeight="1">
      <x:c r="A88" s="58">
        <x:v>85</x:v>
      </x:c>
      <x:c r="B88" s="19">
        <x:v>835584000</x:v>
      </x:c>
      <x:c r="C88" s="19">
        <x:v>835584000000</x:v>
      </x:c>
      <x:c r="D88" s="19">
        <x:v>48720</x:v>
      </x:c>
      <x:c r="E88" s="19">
        <x:v>1605200</x:v>
      </x:c>
      <x:c r="F88" s="19">
        <x:v>151200000</x:v>
      </x:c>
      <x:c r="G88" s="19">
        <x:v>2861400000</x:v>
      </x:c>
      <x:c r="H88" s="19">
        <x:v>50400000</x:v>
      </x:c>
      <x:c r="I88" s="19">
        <x:v>953800000</x:v>
      </x:c>
      <x:c r="J88" s="64">
        <x:v>85</x:v>
      </x:c>
      <x:c r="K88" s="65" t="e">
        <x:f>ROUND((参数与口径!$E$16+E88*参数与口径!$E$9)/IF(A88&lt;=20,参数与口径!$E$10,IF(A88&lt;=80,参数与口径!$E$11,参数与口径!$E$12)),0)*IF(A88&lt;=20,参数与口径!$E$10,IF(A88&lt;=80,参数与口径!$E$11,参数与口径!$E$12))</x:f>
        <x:v>#NAME?</x:v>
      </x:c>
      <x:c r="L88" s="66">
        <x:f t="shared" si="1"/>
        <x:v>1605200</x:v>
      </x:c>
      <x:c r="M88" s="67" t="s">
        <x:v>3664</x:v>
      </x:c>
    </x:row>
    <x:row r="89" ht="22" customHeight="1">
      <x:c r="A89" s="58">
        <x:v>86</x:v>
      </x:c>
      <x:c r="B89" s="19">
        <x:v>895872000</x:v>
      </x:c>
      <x:c r="C89" s="19">
        <x:v>895872000000</x:v>
      </x:c>
      <x:c r="D89" s="19">
        <x:v>49300</x:v>
      </x:c>
      <x:c r="E89" s="19">
        <x:v>1654500</x:v>
      </x:c>
      <x:c r="F89" s="19">
        <x:v>153000000</x:v>
      </x:c>
      <x:c r="G89" s="19">
        <x:v>3014400000</x:v>
      </x:c>
      <x:c r="H89" s="19">
        <x:v>51000000</x:v>
      </x:c>
      <x:c r="I89" s="19">
        <x:v>1004800000</x:v>
      </x:c>
      <x:c r="J89" s="64">
        <x:v>86</x:v>
      </x:c>
      <x:c r="K89" s="65" t="e">
        <x:f>ROUND((参数与口径!$E$16+E89*参数与口径!$E$9)/IF(A89&lt;=20,参数与口径!$E$10,IF(A89&lt;=80,参数与口径!$E$11,参数与口径!$E$12)),0)*IF(A89&lt;=20,参数与口径!$E$10,IF(A89&lt;=80,参数与口径!$E$11,参数与口径!$E$12))</x:f>
        <x:v>#NAME?</x:v>
      </x:c>
      <x:c r="L89" s="66">
        <x:f t="shared" si="1"/>
        <x:v>1654500</x:v>
      </x:c>
      <x:c r="M89" s="67" t="s">
        <x:v>3664</x:v>
      </x:c>
    </x:row>
    <x:row r="90" ht="22" customHeight="1">
      <x:c r="A90" s="58">
        <x:v>87</x:v>
      </x:c>
      <x:c r="B90" s="19">
        <x:v>959256000</x:v>
      </x:c>
      <x:c r="C90" s="19">
        <x:v>959256000000</x:v>
      </x:c>
      <x:c r="D90" s="19">
        <x:v>49880</x:v>
      </x:c>
      <x:c r="E90" s="19">
        <x:v>1704380</x:v>
      </x:c>
      <x:c r="F90" s="19">
        <x:v>154800000</x:v>
      </x:c>
      <x:c r="G90" s="19">
        <x:v>3169200000</x:v>
      </x:c>
      <x:c r="H90" s="19">
        <x:v>51600000</x:v>
      </x:c>
      <x:c r="I90" s="19">
        <x:v>1056400000</x:v>
      </x:c>
      <x:c r="J90" s="64">
        <x:v>87</x:v>
      </x:c>
      <x:c r="K90" s="65" t="e">
        <x:f>ROUND((参数与口径!$E$16+E90*参数与口径!$E$9)/IF(A90&lt;=20,参数与口径!$E$10,IF(A90&lt;=80,参数与口径!$E$11,参数与口径!$E$12)),0)*IF(A90&lt;=20,参数与口径!$E$10,IF(A90&lt;=80,参数与口径!$E$11,参数与口径!$E$12))</x:f>
        <x:v>#NAME?</x:v>
      </x:c>
      <x:c r="L90" s="66">
        <x:f t="shared" si="1"/>
        <x:v>1704380</x:v>
      </x:c>
      <x:c r="M90" s="67" t="s">
        <x:v>3664</x:v>
      </x:c>
    </x:row>
    <x:row r="91" ht="22" customHeight="1">
      <x:c r="A91" s="58">
        <x:v>88</x:v>
      </x:c>
      <x:c r="B91" s="19">
        <x:v>1025772000</x:v>
      </x:c>
      <x:c r="C91" s="19">
        <x:v>1025772000000</x:v>
      </x:c>
      <x:c r="D91" s="19">
        <x:v>50460</x:v>
      </x:c>
      <x:c r="E91" s="19">
        <x:v>1754840</x:v>
      </x:c>
      <x:c r="F91" s="19">
        <x:v>156600000</x:v>
      </x:c>
      <x:c r="G91" s="19">
        <x:v>3325800000</x:v>
      </x:c>
      <x:c r="H91" s="19">
        <x:v>52200000</x:v>
      </x:c>
      <x:c r="I91" s="19">
        <x:v>1108600000</x:v>
      </x:c>
      <x:c r="J91" s="64">
        <x:v>88</x:v>
      </x:c>
      <x:c r="K91" s="65" t="e">
        <x:f>ROUND((参数与口径!$E$16+E91*参数与口径!$E$9)/IF(A91&lt;=20,参数与口径!$E$10,IF(A91&lt;=80,参数与口径!$E$11,参数与口径!$E$12)),0)*IF(A91&lt;=20,参数与口径!$E$10,IF(A91&lt;=80,参数与口径!$E$11,参数与口径!$E$12))</x:f>
        <x:v>#NAME?</x:v>
      </x:c>
      <x:c r="L91" s="66">
        <x:f t="shared" si="1"/>
        <x:v>1754840</x:v>
      </x:c>
      <x:c r="M91" s="67" t="s">
        <x:v>3664</x:v>
      </x:c>
    </x:row>
    <x:row r="92" ht="22" customHeight="1">
      <x:c r="A92" s="58">
        <x:v>89</x:v>
      </x:c>
      <x:c r="B92" s="19">
        <x:v>1095456000</x:v>
      </x:c>
      <x:c r="C92" s="19">
        <x:v>1095456000000</x:v>
      </x:c>
      <x:c r="D92" s="19">
        <x:v>51040</x:v>
      </x:c>
      <x:c r="E92" s="19">
        <x:v>1805880</x:v>
      </x:c>
      <x:c r="F92" s="19">
        <x:v>158400000</x:v>
      </x:c>
      <x:c r="G92" s="19">
        <x:v>3484200000</x:v>
      </x:c>
      <x:c r="H92" s="19">
        <x:v>52800000</x:v>
      </x:c>
      <x:c r="I92" s="19">
        <x:v>1161400000</x:v>
      </x:c>
      <x:c r="J92" s="64">
        <x:v>89</x:v>
      </x:c>
      <x:c r="K92" s="65" t="e">
        <x:f>ROUND((参数与口径!$E$16+E92*参数与口径!$E$9)/IF(A92&lt;=20,参数与口径!$E$10,IF(A92&lt;=80,参数与口径!$E$11,参数与口径!$E$12)),0)*IF(A92&lt;=20,参数与口径!$E$10,IF(A92&lt;=80,参数与口径!$E$11,参数与口径!$E$12))</x:f>
        <x:v>#NAME?</x:v>
      </x:c>
      <x:c r="L92" s="66">
        <x:f t="shared" si="1"/>
        <x:v>1805880</x:v>
      </x:c>
      <x:c r="M92" s="67" t="s">
        <x:v>3664</x:v>
      </x:c>
    </x:row>
    <x:row r="93" ht="22" customHeight="1">
      <x:c r="A93" s="58">
        <x:v>90</x:v>
      </x:c>
      <x:c r="B93" s="19">
        <x:v>1168344000</x:v>
      </x:c>
      <x:c r="C93" s="19">
        <x:v>1168344000000</x:v>
      </x:c>
      <x:c r="D93" s="19">
        <x:v>51620</x:v>
      </x:c>
      <x:c r="E93" s="19">
        <x:v>1857500</x:v>
      </x:c>
      <x:c r="F93" s="19">
        <x:v>160200000</x:v>
      </x:c>
      <x:c r="G93" s="19">
        <x:v>3644400000</x:v>
      </x:c>
      <x:c r="H93" s="19">
        <x:v>53400000</x:v>
      </x:c>
      <x:c r="I93" s="19">
        <x:v>1214800000</x:v>
      </x:c>
      <x:c r="J93" s="64">
        <x:v>90</x:v>
      </x:c>
      <x:c r="K93" s="65" t="e">
        <x:f>ROUND((参数与口径!$E$16+E93*参数与口径!$E$9)/IF(A93&lt;=20,参数与口径!$E$10,IF(A93&lt;=80,参数与口径!$E$11,参数与口径!$E$12)),0)*IF(A93&lt;=20,参数与口径!$E$10,IF(A93&lt;=80,参数与口径!$E$11,参数与口径!$E$12))</x:f>
        <x:v>#NAME?</x:v>
      </x:c>
      <x:c r="L93" s="66">
        <x:f t="shared" si="1"/>
        <x:v>1857500</x:v>
      </x:c>
      <x:c r="M93" s="67" t="s">
        <x:v>3664</x:v>
      </x:c>
    </x:row>
    <x:row r="94" ht="22" customHeight="1">
      <x:c r="A94" s="58">
        <x:v>91</x:v>
      </x:c>
      <x:c r="B94" s="19">
        <x:v>1244472000</x:v>
      </x:c>
      <x:c r="C94" s="19">
        <x:v>1244472000000</x:v>
      </x:c>
      <x:c r="D94" s="19">
        <x:v>52200</x:v>
      </x:c>
      <x:c r="E94" s="19">
        <x:v>1909700</x:v>
      </x:c>
      <x:c r="F94" s="19">
        <x:v>162000000</x:v>
      </x:c>
      <x:c r="G94" s="19">
        <x:v>3806400000</x:v>
      </x:c>
      <x:c r="H94" s="19">
        <x:v>54000000</x:v>
      </x:c>
      <x:c r="I94" s="19">
        <x:v>1268800000</x:v>
      </x:c>
      <x:c r="J94" s="64">
        <x:v>91</x:v>
      </x:c>
      <x:c r="K94" s="65" t="e">
        <x:f>ROUND((参数与口径!$E$16+E94*参数与口径!$E$9)/IF(A94&lt;=20,参数与口径!$E$10,IF(A94&lt;=80,参数与口径!$E$11,参数与口径!$E$12)),0)*IF(A94&lt;=20,参数与口径!$E$10,IF(A94&lt;=80,参数与口径!$E$11,参数与口径!$E$12))</x:f>
        <x:v>#NAME?</x:v>
      </x:c>
      <x:c r="L94" s="66">
        <x:f t="shared" si="1"/>
        <x:v>1909700</x:v>
      </x:c>
      <x:c r="M94" s="67" t="s">
        <x:v>3664</x:v>
      </x:c>
    </x:row>
    <x:row r="95" ht="22" customHeight="1">
      <x:c r="A95" s="58">
        <x:v>92</x:v>
      </x:c>
      <x:c r="B95" s="19">
        <x:v>1324422000</x:v>
      </x:c>
      <x:c r="C95" s="19">
        <x:v>1324422000000</x:v>
      </x:c>
      <x:c r="D95" s="19">
        <x:v>58240</x:v>
      </x:c>
      <x:c r="E95" s="19">
        <x:v>1967940</x:v>
      </x:c>
      <x:c r="F95" s="19">
        <x:v>191100000</x:v>
      </x:c>
      <x:c r="G95" s="19">
        <x:v>3997500000</x:v>
      </x:c>
      <x:c r="H95" s="19">
        <x:v>63700000</x:v>
      </x:c>
      <x:c r="I95" s="19">
        <x:v>1332500000</x:v>
      </x:c>
      <x:c r="J95" s="64">
        <x:v>92</x:v>
      </x:c>
      <x:c r="K95" s="65" t="e">
        <x:f>ROUND((参数与口径!$E$16+E95*参数与口径!$E$9)/IF(A95&lt;=20,参数与口径!$E$10,IF(A95&lt;=80,参数与口径!$E$11,参数与口径!$E$12)),0)*IF(A95&lt;=20,参数与口径!$E$10,IF(A95&lt;=80,参数与口径!$E$11,参数与口径!$E$12))</x:f>
        <x:v>#NAME?</x:v>
      </x:c>
      <x:c r="L95" s="66">
        <x:f t="shared" si="1"/>
        <x:v>1967940</x:v>
      </x:c>
      <x:c r="M95" s="67" t="s">
        <x:v>3664</x:v>
      </x:c>
    </x:row>
    <x:row r="96" ht="22" customHeight="1">
      <x:c r="A96" s="58">
        <x:v>93</x:v>
      </x:c>
      <x:c r="B96" s="19">
        <x:v>1408236000</x:v>
      </x:c>
      <x:c r="C96" s="19">
        <x:v>1408236000000</x:v>
      </x:c>
      <x:c r="D96" s="19">
        <x:v>58880</x:v>
      </x:c>
      <x:c r="E96" s="19">
        <x:v>2026820</x:v>
      </x:c>
      <x:c r="F96" s="19">
        <x:v>193200000</x:v>
      </x:c>
      <x:c r="G96" s="19">
        <x:v>4190700000</x:v>
      </x:c>
      <x:c r="H96" s="19">
        <x:v>64400000</x:v>
      </x:c>
      <x:c r="I96" s="19">
        <x:v>1396900000</x:v>
      </x:c>
      <x:c r="J96" s="64">
        <x:v>93</x:v>
      </x:c>
      <x:c r="K96" s="65" t="e">
        <x:f>ROUND((参数与口径!$E$16+E96*参数与口径!$E$9)/IF(A96&lt;=20,参数与口径!$E$10,IF(A96&lt;=80,参数与口径!$E$11,参数与口径!$E$12)),0)*IF(A96&lt;=20,参数与口径!$E$10,IF(A96&lt;=80,参数与口径!$E$11,参数与口径!$E$12))</x:f>
        <x:v>#NAME?</x:v>
      </x:c>
      <x:c r="L96" s="66">
        <x:f t="shared" si="1"/>
        <x:v>2026820</x:v>
      </x:c>
      <x:c r="M96" s="67" t="s">
        <x:v>3664</x:v>
      </x:c>
    </x:row>
    <x:row r="97" ht="22" customHeight="1">
      <x:c r="A97" s="58">
        <x:v>94</x:v>
      </x:c>
      <x:c r="B97" s="19">
        <x:v>1495956000</x:v>
      </x:c>
      <x:c r="C97" s="19">
        <x:v>1495956000000</x:v>
      </x:c>
      <x:c r="D97" s="19">
        <x:v>59520</x:v>
      </x:c>
      <x:c r="E97" s="19">
        <x:v>2086340</x:v>
      </x:c>
      <x:c r="F97" s="19">
        <x:v>195300000</x:v>
      </x:c>
      <x:c r="G97" s="19">
        <x:v>4386000000</x:v>
      </x:c>
      <x:c r="H97" s="19">
        <x:v>65100000</x:v>
      </x:c>
      <x:c r="I97" s="19">
        <x:v>1462000000</x:v>
      </x:c>
      <x:c r="J97" s="64">
        <x:v>94</x:v>
      </x:c>
      <x:c r="K97" s="65" t="e">
        <x:f>ROUND((参数与口径!$E$16+E97*参数与口径!$E$9)/IF(A97&lt;=20,参数与口径!$E$10,IF(A97&lt;=80,参数与口径!$E$11,参数与口径!$E$12)),0)*IF(A97&lt;=20,参数与口径!$E$10,IF(A97&lt;=80,参数与口径!$E$11,参数与口径!$E$12))</x:f>
        <x:v>#NAME?</x:v>
      </x:c>
      <x:c r="L97" s="66">
        <x:f t="shared" si="1"/>
        <x:v>2086340</x:v>
      </x:c>
      <x:c r="M97" s="67" t="s">
        <x:v>3664</x:v>
      </x:c>
    </x:row>
    <x:row r="98" ht="22" customHeight="1">
      <x:c r="A98" s="58">
        <x:v>95</x:v>
      </x:c>
      <x:c r="B98" s="19">
        <x:v>1587624000</x:v>
      </x:c>
      <x:c r="C98" s="19">
        <x:v>1587624000000</x:v>
      </x:c>
      <x:c r="D98" s="19">
        <x:v>60160</x:v>
      </x:c>
      <x:c r="E98" s="19">
        <x:v>2146500</x:v>
      </x:c>
      <x:c r="F98" s="19">
        <x:v>197400000</x:v>
      </x:c>
      <x:c r="G98" s="19">
        <x:v>4583400000</x:v>
      </x:c>
      <x:c r="H98" s="19">
        <x:v>65800000</x:v>
      </x:c>
      <x:c r="I98" s="19">
        <x:v>1527800000</x:v>
      </x:c>
      <x:c r="J98" s="64">
        <x:v>95</x:v>
      </x:c>
      <x:c r="K98" s="65" t="e">
        <x:f>ROUND((参数与口径!$E$16+E98*参数与口径!$E$9)/IF(A98&lt;=20,参数与口径!$E$10,IF(A98&lt;=80,参数与口径!$E$11,参数与口径!$E$12)),0)*IF(A98&lt;=20,参数与口径!$E$10,IF(A98&lt;=80,参数与口径!$E$11,参数与口径!$E$12))</x:f>
        <x:v>#NAME?</x:v>
      </x:c>
      <x:c r="L98" s="66">
        <x:f t="shared" si="1"/>
        <x:v>2146500</x:v>
      </x:c>
      <x:c r="M98" s="67" t="s">
        <x:v>3664</x:v>
      </x:c>
    </x:row>
    <x:row r="99" ht="22" customHeight="1">
      <x:c r="A99" s="58">
        <x:v>96</x:v>
      </x:c>
      <x:c r="B99" s="19">
        <x:v>1683282000</x:v>
      </x:c>
      <x:c r="C99" s="19">
        <x:v>1683282000000</x:v>
      </x:c>
      <x:c r="D99" s="19">
        <x:v>60800</x:v>
      </x:c>
      <x:c r="E99" s="19">
        <x:v>2207300</x:v>
      </x:c>
      <x:c r="F99" s="19">
        <x:v>199500000</x:v>
      </x:c>
      <x:c r="G99" s="19">
        <x:v>4782900000</x:v>
      </x:c>
      <x:c r="H99" s="19">
        <x:v>66500000</x:v>
      </x:c>
      <x:c r="I99" s="19">
        <x:v>1594300000</x:v>
      </x:c>
      <x:c r="J99" s="64">
        <x:v>96</x:v>
      </x:c>
      <x:c r="K99" s="65" t="e">
        <x:f>ROUND((参数与口径!$E$16+E99*参数与口径!$E$9)/IF(A99&lt;=20,参数与口径!$E$10,IF(A99&lt;=80,参数与口径!$E$11,参数与口径!$E$12)),0)*IF(A99&lt;=20,参数与口径!$E$10,IF(A99&lt;=80,参数与口径!$E$11,参数与口径!$E$12))</x:f>
        <x:v>#NAME?</x:v>
      </x:c>
      <x:c r="L99" s="66">
        <x:f t="shared" si="1"/>
        <x:v>2207300</x:v>
      </x:c>
      <x:c r="M99" s="67" t="s">
        <x:v>3664</x:v>
      </x:c>
    </x:row>
    <x:row r="100" ht="22" customHeight="1">
      <x:c r="A100" s="58">
        <x:v>97</x:v>
      </x:c>
      <x:c r="B100" s="19">
        <x:v>1782972000</x:v>
      </x:c>
      <x:c r="C100" s="19">
        <x:v>1782972000000</x:v>
      </x:c>
      <x:c r="D100" s="19">
        <x:v>61440</x:v>
      </x:c>
      <x:c r="E100" s="19">
        <x:v>2268740</x:v>
      </x:c>
      <x:c r="F100" s="19">
        <x:v>201600000</x:v>
      </x:c>
      <x:c r="G100" s="19">
        <x:v>4984500000</x:v>
      </x:c>
      <x:c r="H100" s="19">
        <x:v>67200000</x:v>
      </x:c>
      <x:c r="I100" s="19">
        <x:v>1661500000</x:v>
      </x:c>
      <x:c r="J100" s="64">
        <x:v>97</x:v>
      </x:c>
      <x:c r="K100" s="65" t="e">
        <x:f>ROUND((参数与口径!$E$16+E100*参数与口径!$E$9)/IF(A100&lt;=20,参数与口径!$E$10,IF(A100&lt;=80,参数与口径!$E$11,参数与口径!$E$12)),0)*IF(A100&lt;=20,参数与口径!$E$10,IF(A100&lt;=80,参数与口径!$E$11,参数与口径!$E$12))</x:f>
        <x:v>#NAME?</x:v>
      </x:c>
      <x:c r="L100" s="66">
        <x:f t="shared" si="1"/>
        <x:v>2268740</x:v>
      </x:c>
      <x:c r="M100" s="67" t="s">
        <x:v>3664</x:v>
      </x:c>
    </x:row>
    <x:row r="101" ht="22" customHeight="1">
      <x:c r="A101" s="58">
        <x:v>98</x:v>
      </x:c>
      <x:c r="B101" s="19">
        <x:v>1886736000</x:v>
      </x:c>
      <x:c r="C101" s="19">
        <x:v>1886736000000</x:v>
      </x:c>
      <x:c r="D101" s="19">
        <x:v>62080</x:v>
      </x:c>
      <x:c r="E101" s="19">
        <x:v>2330820</x:v>
      </x:c>
      <x:c r="F101" s="19">
        <x:v>203700000</x:v>
      </x:c>
      <x:c r="G101" s="19">
        <x:v>5188200000</x:v>
      </x:c>
      <x:c r="H101" s="19">
        <x:v>67900000</x:v>
      </x:c>
      <x:c r="I101" s="19">
        <x:v>1729400000</x:v>
      </x:c>
      <x:c r="J101" s="64">
        <x:v>98</x:v>
      </x:c>
      <x:c r="K101" s="65" t="e">
        <x:f>ROUND((参数与口径!$E$16+E101*参数与口径!$E$9)/IF(A101&lt;=20,参数与口径!$E$10,IF(A101&lt;=80,参数与口径!$E$11,参数与口径!$E$12)),0)*IF(A101&lt;=20,参数与口径!$E$10,IF(A101&lt;=80,参数与口径!$E$11,参数与口径!$E$12))</x:f>
        <x:v>#NAME?</x:v>
      </x:c>
      <x:c r="L101" s="66">
        <x:f t="shared" si="1"/>
        <x:v>2330820</x:v>
      </x:c>
      <x:c r="M101" s="67" t="s">
        <x:v>3664</x:v>
      </x:c>
    </x:row>
    <x:row r="102" ht="22" customHeight="1">
      <x:c r="A102" s="58">
        <x:v>99</x:v>
      </x:c>
      <x:c r="B102" s="19">
        <x:v>1994616000</x:v>
      </x:c>
      <x:c r="C102" s="19">
        <x:v>1994616000000</x:v>
      </x:c>
      <x:c r="D102" s="19">
        <x:v>62720</x:v>
      </x:c>
      <x:c r="E102" s="19">
        <x:v>2393540</x:v>
      </x:c>
      <x:c r="F102" s="19">
        <x:v>205800000</x:v>
      </x:c>
      <x:c r="G102" s="19">
        <x:v>5394000000</x:v>
      </x:c>
      <x:c r="H102" s="19">
        <x:v>68600000</x:v>
      </x:c>
      <x:c r="I102" s="19">
        <x:v>1798000000</x:v>
      </x:c>
      <x:c r="J102" s="64">
        <x:v>99</x:v>
      </x:c>
      <x:c r="K102" s="65" t="e">
        <x:f>ROUND((参数与口径!$E$16+E102*参数与口径!$E$9)/IF(A102&lt;=20,参数与口径!$E$10,IF(A102&lt;=80,参数与口径!$E$11,参数与口径!$E$12)),0)*IF(A102&lt;=20,参数与口径!$E$10,IF(A102&lt;=80,参数与口径!$E$11,参数与口径!$E$12))</x:f>
        <x:v>#NAME?</x:v>
      </x:c>
      <x:c r="L102" s="66">
        <x:f t="shared" si="1"/>
        <x:v>2393540</x:v>
      </x:c>
      <x:c r="M102" s="67" t="s">
        <x:v>3664</x:v>
      </x:c>
    </x:row>
    <x:row r="103" ht="22" customHeight="1">
      <x:c r="A103" s="59">
        <x:v>100</x:v>
      </x:c>
      <x:c r="B103" s="42">
        <x:v>2106654000</x:v>
      </x:c>
      <x:c r="C103" s="42">
        <x:v>2106654000000</x:v>
      </x:c>
      <x:c r="D103" s="42">
        <x:v>63360</x:v>
      </x:c>
      <x:c r="E103" s="42">
        <x:v>2456900</x:v>
      </x:c>
      <x:c r="F103" s="42">
        <x:v>207900000</x:v>
      </x:c>
      <x:c r="G103" s="42">
        <x:v>5601900000</x:v>
      </x:c>
      <x:c r="H103" s="42">
        <x:v>69300000</x:v>
      </x:c>
      <x:c r="I103" s="42">
        <x:v>1867300000</x:v>
      </x:c>
      <x:c r="J103" s="68">
        <x:v>100</x:v>
      </x:c>
      <x:c r="K103" s="72" t="e">
        <x:f>ROUND((参数与口径!$E$16+E103*参数与口径!$E$9)/IF(A103&lt;=20,参数与口径!$E$10,IF(A103&lt;=80,参数与口径!$E$11,参数与口径!$E$12)),0)*IF(A103&lt;=20,参数与口径!$E$10,IF(A103&lt;=80,参数与口径!$E$11,参数与口径!$E$12))</x:f>
        <x:v>#NAME?</x:v>
      </x:c>
      <x:c r="L103" s="73">
        <x:f t="shared" si="1"/>
        <x:v>2456900</x:v>
      </x:c>
      <x:c r="M103" s="74" t="s">
        <x:v>3673</x:v>
      </x:c>
    </x:row>
    <x:row r="105" ht="28" customHeight="1">
      <x:c r="A105" s="75" t="s">
        <x:v>3674</x:v>
      </x:c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7"/>
    </x:row>
    <x:row r="106" ht="28" customHeight="1">
      <x:c r="A106" s="78"/>
      <x:c r="B106" s="79"/>
      <x:c r="C106" s="79"/>
      <x:c r="D106" s="79"/>
      <x:c r="E106" s="79"/>
      <x:c r="F106" s="79"/>
      <x:c r="G106" s="79"/>
      <x:c r="H106" s="79"/>
      <x:c r="I106" s="79"/>
      <x:c r="J106" s="79"/>
      <x:c r="K106" s="79"/>
      <x:c r="L106" s="79"/>
      <x:c r="M106" s="80"/>
    </x:row>
  </x:sheetData>
  <x:mergeCells>
    <x:mergeCell ref="A1:M1"/>
    <x:mergeCell ref="B2:C2"/>
    <x:mergeCell ref="D2:E2"/>
    <x:mergeCell ref="F2:G2"/>
    <x:mergeCell ref="H2:I2"/>
    <x:mergeCell ref="J2:M2"/>
    <x:mergeCell ref="A2:A3"/>
    <x:mergeCell ref="A105:M106"/>
  </x:mergeCells>
  <x:conditionalFormatting sqref="A4:L103">
    <x:cfRule type="expression" dxfId="7" priority="1">
      <x:formula>OR($A4=1,$A4=10,$A4=12,$A4=20,$A4=22,$A4=30,$A4=32,$A4=40,$A4=42,$A4=50,$A4=52,$A4=60,$A4=62,$A4=70,$A4=72,$A4=80,$A4=82,$A4=90,$A4=92,$A4=100)</x:formula>
    </x:cfRule>
    <x:cfRule type="expression" dxfId="8" priority="2">
      <x:formula>OR(MOD($A4-1,20)=0,$A4=80,$A4=100)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5" customWidth="1"/>
    <x:col min="2" max="2" width="28" customWidth="1"/>
    <x:col min="3" max="3" width="27" customWidth="1"/>
    <x:col min="4" max="4" width="46" customWidth="1"/>
    <x:col min="5" max="5" width="37" customWidth="1"/>
    <x:col min="6" max="6" width="12" customWidth="1"/>
    <x:col min="7" max="7" width="20" customWidth="1"/>
    <x:col min="8" max="8" width="31" customWidth="1"/>
  </x:cols>
  <x:sheetData>
    <x:row r="1" ht="29" customHeight="1">
      <x:c r="A1" s="1" t="str">
        <x:v>每20级一阶段｜关系礼物加速与批量结算风险 v3.7</x:v>
      </x:c>
      <x:c r="B1" s="1"/>
      <x:c r="C1" s="1"/>
      <x:c r="D1" s="1"/>
      <x:c r="E1" s="1"/>
      <x:c r="F1" s="1"/>
      <x:c r="G1" s="1"/>
      <x:c r="H1" s="1"/>
    </x:row>
    <x:row r="2" ht="38" customHeight="1">
      <x:c r="A2" s="2" t="str">
        <x:v>20级分段和等级曲线不变。Bond Tab增加BOND通用礼物后，需同时处理CP礼物跨级、BOND多选批次拆子单、关系状态变化、退款与任务计数一致性。</x:v>
      </x:c>
      <x:c r="B2" s="2"/>
      <x:c r="C2" s="2"/>
      <x:c r="D2" s="2"/>
      <x:c r="E2" s="2"/>
      <x:c r="F2" s="2"/>
      <x:c r="G2" s="2"/>
      <x:c r="H2" s="2"/>
    </x:row>
    <x:row r="4" ht="28" customHeight="1">
      <x:c r="A4" s="56" t="s">
        <x:v>3675</x:v>
      </x:c>
      <x:c r="B4" s="56" t="s">
        <x:v>3676</x:v>
      </x:c>
      <x:c r="C4" s="56" t="s">
        <x:v>3677</x:v>
      </x:c>
      <x:c r="D4" s="56" t="s">
        <x:v>3678</x:v>
      </x:c>
      <x:c r="E4" s="56" t="s">
        <x:v>3679</x:v>
      </x:c>
      <x:c r="F4" s="56" t="s">
        <x:v>3680</x:v>
      </x:c>
      <x:c r="G4" s="56" t="s">
        <x:v>3681</x:v>
      </x:c>
      <x:c r="H4" s="56" t="s">
        <x:v>3682</x:v>
      </x:c>
    </x:row>
    <x:row r="5" ht="48" customHeight="1">
      <x:c r="A5" s="17" t="s">
        <x:v>3683</x:v>
      </x:c>
      <x:c r="B5" s="17" t="s">
        <x:v>3684</x:v>
      </x:c>
      <x:c r="C5" s="17" t="s">
        <x:v>3685</x:v>
      </x:c>
      <x:c r="D5" s="17" t="s">
        <x:v>3686</x:v>
      </x:c>
      <x:c r="E5" s="17" t="s">
        <x:v>3687</x:v>
      </x:c>
      <x:c r="F5" s="57" t="s">
        <x:v>3688</x:v>
      </x:c>
      <x:c r="G5" s="57" t="s">
        <x:v>3689</x:v>
      </x:c>
      <x:c r="H5" s="15" t="s">
        <x:v>3690</x:v>
      </x:c>
    </x:row>
    <x:row r="6" ht="48" customHeight="1">
      <x:c r="A6" s="20" t="s">
        <x:v>3691</x:v>
      </x:c>
      <x:c r="B6" s="20" t="s">
        <x:v>3692</x:v>
      </x:c>
      <x:c r="C6" s="20" t="s">
        <x:v>3693</x:v>
      </x:c>
      <x:c r="D6" s="20" t="s">
        <x:v>3694</x:v>
      </x:c>
      <x:c r="E6" s="20" t="s">
        <x:v>3695</x:v>
      </x:c>
      <x:c r="F6" s="58" t="s">
        <x:v>3688</x:v>
      </x:c>
      <x:c r="G6" s="58" t="s">
        <x:v>3689</x:v>
      </x:c>
      <x:c r="H6" s="18" t="s">
        <x:v>3696</x:v>
      </x:c>
    </x:row>
    <x:row r="7" ht="48" customHeight="1">
      <x:c r="A7" s="20" t="s">
        <x:v>3697</x:v>
      </x:c>
      <x:c r="B7" s="20" t="s">
        <x:v>3698</x:v>
      </x:c>
      <x:c r="C7" s="20" t="s">
        <x:v>3699</x:v>
      </x:c>
      <x:c r="D7" s="20" t="s">
        <x:v>3700</x:v>
      </x:c>
      <x:c r="E7" s="20" t="s">
        <x:v>3701</x:v>
      </x:c>
      <x:c r="F7" s="58" t="s">
        <x:v>3702</x:v>
      </x:c>
      <x:c r="G7" s="58" t="s">
        <x:v>3689</x:v>
      </x:c>
      <x:c r="H7" s="18" t="s">
        <x:v>3703</x:v>
      </x:c>
    </x:row>
    <x:row r="8" ht="48" customHeight="1">
      <x:c r="A8" s="20" t="s">
        <x:v>3704</x:v>
      </x:c>
      <x:c r="B8" s="20" t="s">
        <x:v>3705</x:v>
      </x:c>
      <x:c r="C8" s="20" t="s">
        <x:v>3706</x:v>
      </x:c>
      <x:c r="D8" s="20" t="s">
        <x:v>3707</x:v>
      </x:c>
      <x:c r="E8" s="20" t="s">
        <x:v>3708</x:v>
      </x:c>
      <x:c r="F8" s="58" t="s">
        <x:v>3688</x:v>
      </x:c>
      <x:c r="G8" s="58" t="s">
        <x:v>3689</x:v>
      </x:c>
      <x:c r="H8" s="18" t="s">
        <x:v>3709</x:v>
      </x:c>
    </x:row>
    <x:row r="9" ht="48" customHeight="1">
      <x:c r="A9" s="20" t="s">
        <x:v>3710</x:v>
      </x:c>
      <x:c r="B9" s="20" t="s">
        <x:v>3711</x:v>
      </x:c>
      <x:c r="C9" s="20" t="s">
        <x:v>3712</x:v>
      </x:c>
      <x:c r="D9" s="20" t="s">
        <x:v>3713</x:v>
      </x:c>
      <x:c r="E9" s="20" t="s">
        <x:v>3714</x:v>
      </x:c>
      <x:c r="F9" s="58" t="s">
        <x:v>3702</x:v>
      </x:c>
      <x:c r="G9" s="58" t="s">
        <x:v>3689</x:v>
      </x:c>
      <x:c r="H9" s="18" t="s">
        <x:v>3715</x:v>
      </x:c>
    </x:row>
    <x:row r="10" ht="48" customHeight="1">
      <x:c r="A10" s="20" t="str">
        <x:v>阶段与礼物编号冲突</x:v>
      </x:c>
      <x:c r="B10" s="20" t="str">
        <x:v>成长阶段与1个BOND、3个CP礼物命名混淆</x:v>
      </x:c>
      <x:c r="C10" s="20" t="str">
        <x:v>配置、埋点和沟通混淆</x:v>
      </x:c>
      <x:c r="D10" s="20" t="str">
        <x:v>阶段编码CP_STAGE_G1-G5；礼物编码BOND_GIFT_01、CP_GIFT_01-03</x:v>
      </x:c>
      <x:c r="E10" s="20" t="str">
        <x:v>后台、埋点、接口字段无重名</x:v>
      </x:c>
      <x:c r="F10" s="58" t="str">
        <x:v>P0</x:v>
      </x:c>
      <x:c r="G10" s="58" t="str">
        <x:v>否</x:v>
      </x:c>
      <x:c r="H10" s="18" t="str">
        <x:v>展示名可另行命名</x:v>
      </x:c>
    </x:row>
    <x:row r="11" ht="48" customHeight="1">
      <x:c r="A11" s="22" t="s">
        <x:v>3716</x:v>
      </x:c>
      <x:c r="B11" s="22" t="s">
        <x:v>3717</x:v>
      </x:c>
      <x:c r="C11" s="22" t="s">
        <x:v>3718</x:v>
      </x:c>
      <x:c r="D11" s="22" t="s">
        <x:v>3719</x:v>
      </x:c>
      <x:c r="E11" s="22" t="s">
        <x:v>3720</x:v>
      </x:c>
      <x:c r="F11" s="59" t="s">
        <x:v>3688</x:v>
      </x:c>
      <x:c r="G11" s="59" t="s">
        <x:v>3689</x:v>
      </x:c>
      <x:c r="H11" s="21" t="s">
        <x:v>3721</x:v>
      </x:c>
    </x:row>
    <x:row r="12" ht="52" customHeight="1">
      <x:c r="A12" s="223" t="str">
        <x:v>BOND多选批量结算</x:v>
      </x:c>
      <x:c r="B12" s="223" t="str">
        <x:v>一次选择多个有效正式关系对象</x:v>
      </x:c>
      <x:c r="C12" s="223" t="str">
        <x:v>关系错记、部分扣款、任务重复计数或补偿困难</x:v>
      </x:c>
      <x:c r="D12" s="223" t="str">
        <x:v>支付前逐个预校验；一个批次拆每关系子单；任一预校验失败整批不扣款；支付后失败按子单补偿</x:v>
      </x:c>
      <x:c r="E12" s="223" t="str">
        <x:v>每个有效子单只更新对应双人关系；退款/拒付按子单撤回</x:v>
      </x:c>
      <x:c r="F12" s="223" t="str">
        <x:v>P0</x:v>
      </x:c>
      <x:c r="G12" s="223" t="str">
        <x:v>否</x:v>
      </x:c>
      <x:c r="H12" s="223" t="str">
        <x:v>All on mic只过滤有效正式关系对象</x:v>
      </x:c>
    </x:row>
    <x:row r="15" ht="28" customHeight="1">
      <x:c r="A15" s="14" t="s">
        <x:v>3722</x:v>
      </x:c>
      <x:c r="B15" s="14" t="s">
        <x:v>3723</x:v>
      </x:c>
      <x:c r="C15" s="14" t="s">
        <x:v>3486</x:v>
      </x:c>
      <x:c r="D15" s="14" t="s">
        <x:v>3588</x:v>
      </x:c>
      <x:c r="E15" s="14" t="s">
        <x:v>3724</x:v>
      </x:c>
    </x:row>
    <x:row r="16" ht="17">
      <x:c r="A16" s="15" t="s">
        <x:v>3725</x:v>
      </x:c>
      <x:c r="B16" s="16" t="e">
        <x:f>参数与口径!B13</x:f>
        <x:v>#NAME?</x:v>
      </x:c>
      <x:c r="C16" s="15" t="s">
        <x:v>3497</x:v>
      </x:c>
      <x:c r="D16" s="17" t="s">
        <x:v>3726</x:v>
      </x:c>
      <x:c r="E16" s="17" t="s">
        <x:v>3727</x:v>
      </x:c>
    </x:row>
    <x:row r="17" ht="17">
      <x:c r="A17" s="18" t="s">
        <x:v>3610</x:v>
      </x:c>
      <x:c r="B17" s="19" t="e">
        <x:f>参数与口径!E14</x:f>
        <x:v>#NAME?</x:v>
      </x:c>
      <x:c r="C17" s="18" t="s">
        <x:v>3497</x:v>
      </x:c>
      <x:c r="D17" s="20" t="s">
        <x:v>3728</x:v>
      </x:c>
      <x:c r="E17" s="20" t="s">
        <x:v>3729</x:v>
      </x:c>
    </x:row>
    <x:row r="18" ht="17">
      <x:c r="A18" s="18" t="s">
        <x:v>3626</x:v>
      </x:c>
      <x:c r="B18" s="19" t="e">
        <x:f>参数与口径!E15</x:f>
        <x:v>#NAME?</x:v>
      </x:c>
      <x:c r="C18" s="18" t="s">
        <x:v>3497</x:v>
      </x:c>
      <x:c r="D18" s="20" t="s">
        <x:v>3730</x:v>
      </x:c>
      <x:c r="E18" s="20" t="s">
        <x:v>3731</x:v>
      </x:c>
    </x:row>
    <x:row r="19" ht="17">
      <x:c r="A19" s="18" t="s">
        <x:v>3732</x:v>
      </x:c>
      <x:c r="B19" s="19" t="e">
        <x:f>ROUNDUP(B18/'CP礼物配置'!G8,0)</x:f>
        <x:v>#NAME?</x:v>
      </x:c>
      <x:c r="C19" s="18" t="s">
        <x:v>3733</x:v>
      </x:c>
      <x:c r="D19" s="20" t="s">
        <x:v>3734</x:v>
      </x:c>
      <x:c r="E19" s="20" t="s">
        <x:v>3735</x:v>
      </x:c>
    </x:row>
    <x:row r="20" ht="17">
      <x:c r="A20" s="18" t="s">
        <x:v>3736</x:v>
      </x:c>
      <x:c r="B20" s="19" t="e">
        <x:f>B19*'CP礼物配置'!E8</x:f>
        <x:v>#NAME?</x:v>
      </x:c>
      <x:c r="C20" s="18" t="s">
        <x:v>3737</x:v>
      </x:c>
      <x:c r="D20" s="20" t="s">
        <x:v>3738</x:v>
      </x:c>
      <x:c r="E20" s="20" t="s">
        <x:v>3739</x:v>
      </x:c>
    </x:row>
    <x:row r="21" ht="17">
      <x:c r="A21" s="21" t="s">
        <x:v>3627</x:v>
      </x:c>
      <x:c r="B21" s="42" t="e">
        <x:f>等级配置!C103</x:f>
        <x:v>#NAME?</x:v>
      </x:c>
      <x:c r="C21" s="21" t="s">
        <x:v>3497</x:v>
      </x:c>
      <x:c r="D21" s="22" t="s">
        <x:v>3740</x:v>
      </x:c>
      <x:c r="E21" s="22" t="s">
        <x:v>3741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8" hidden="0" customWidth="1"/>
    <x:col min="2" max="2" width="18" hidden="0" customWidth="1"/>
    <x:col min="3" max="3" width="13" hidden="0" customWidth="1"/>
    <x:col min="4" max="8" width="18" customWidth="1"/>
    <x:col min="9" max="9" width="17" hidden="0" customWidth="1"/>
    <x:col min="10" max="11" width="34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10" max="10" width="30" hidden="0" customWidth="1"/>
    <x:col min="11" max="11" width="34" hidden="0" customWidth="1"/>
    <x:col min="12" max="12" width="38" hidden="0" customWidth="1"/>
  </x:cols>
  <x:sheetData>
    <x:row r="1" ht="28" customHeight="1">
      <x:c r="A1" s="149" t="str">
        <x:v>Bond关系礼物与CP专属礼物口径 v3.7</x:v>
      </x:c>
      <x:c r="B1" s="149" t="str">
        <x:v>Bond关系礼物与CP专属礼物口径 v3.5</x:v>
      </x:c>
      <x:c r="C1" s="149" t="str">
        <x:v>Bond关系礼物与CP专属礼物口径 v3.5</x:v>
      </x:c>
      <x:c r="D1" s="149" t="str">
        <x:v>Bond关系礼物与CP专属礼物口径 v3.5</x:v>
      </x:c>
      <x:c r="E1" s="149" t="str">
        <x:v>Bond关系礼物与CP专属礼物口径 v3.5</x:v>
      </x:c>
      <x:c r="F1" s="149" t="str">
        <x:v>Bond关系礼物与CP专属礼物口径 v3.5</x:v>
      </x:c>
      <x:c r="G1" s="149" t="str">
        <x:v>Bond关系礼物与CP专属礼物口径 v3.5</x:v>
      </x:c>
      <x:c r="H1" s="149" t="str">
        <x:v>Bond关系礼物与CP专属礼物口径 v3.5</x:v>
      </x:c>
      <x:c r="I1" s="149" t="str">
        <x:v>Bond关系礼物与CP专属礼物口径 v3.5</x:v>
      </x:c>
      <x:c r="J1" s="149" t="str">
        <x:v>Bond关系礼物与CP专属礼物口径 v3.5</x:v>
      </x:c>
      <x:c r="K1" s="149" t="str">
        <x:v>Bond关系礼物与CP专属礼物口径 v3.5</x:v>
      </x:c>
      <x:c r="L1" s="149" t="str">
        <x:v>Bond关系礼物与CP专属礼物口径 v3.5</x:v>
      </x:c>
    </x:row>
    <x:row r="2" ht="34" customHeight="1">
      <x:c r="A2" s="154" t="str">
        <x:v>Bond Tab首期包含1个BOND通用关系礼物与3个CP专属礼物。收礼资格跟随当前礼物：BOND适用于有效正式关系，CP礼物仅限当前有效CP；订单直接读取固定亲密值配置。</x:v>
      </x:c>
      <x:c r="B2" s="154" t="str">
        <x:v>Bond Tab首期包含1个BOND通用关系礼物与3个CP专属礼物。收礼资格跟随当前礼物：BOND适用于有效正式关系，CP礼物仅限当前有效CP；订单直接读取固定亲密值配置。</x:v>
      </x:c>
      <x:c r="C2" s="154" t="str">
        <x:v>Bond Tab首期包含1个BOND通用关系礼物与3个CP专属礼物。收礼资格跟随当前礼物：BOND适用于有效正式关系，CP礼物仅限当前有效CP；订单直接读取固定亲密值配置。</x:v>
      </x:c>
      <x:c r="D2" s="154" t="str">
        <x:v>Bond Tab首期包含1个BOND通用关系礼物与3个CP专属礼物。收礼资格跟随当前礼物：BOND适用于有效正式关系，CP礼物仅限当前有效CP；订单直接读取固定亲密值配置。</x:v>
      </x:c>
      <x:c r="E2" s="154" t="str">
        <x:v>Bond Tab首期包含1个BOND通用关系礼物与3个CP专属礼物。收礼资格跟随当前礼物：BOND适用于有效正式关系，CP礼物仅限当前有效CP；订单直接读取固定亲密值配置。</x:v>
      </x:c>
      <x:c r="F2" s="154" t="str">
        <x:v>Bond Tab首期包含1个BOND通用关系礼物与3个CP专属礼物。收礼资格跟随当前礼物：BOND适用于有效正式关系，CP礼物仅限当前有效CP；订单直接读取固定亲密值配置。</x:v>
      </x:c>
      <x:c r="G2" s="154" t="str">
        <x:v>Bond Tab首期包含1个BOND通用关系礼物与3个CP专属礼物。收礼资格跟随当前礼物：BOND适用于有效正式关系，CP礼物仅限当前有效CP；订单直接读取固定亲密值配置。</x:v>
      </x:c>
      <x:c r="H2" s="154" t="str">
        <x:v>Bond Tab首期包含1个BOND通用关系礼物与3个CP专属礼物。收礼资格跟随当前礼物：BOND适用于有效正式关系，CP礼物仅限当前有效CP；订单直接读取固定亲密值配置。</x:v>
      </x:c>
      <x:c r="I2" s="154" t="str">
        <x:v>Bond Tab首期包含1个BOND通用关系礼物与3个CP专属礼物。收礼资格跟随当前礼物：BOND适用于有效正式关系，CP礼物仅限当前有效CP；订单直接读取固定亲密值配置。</x:v>
      </x:c>
      <x:c r="J2" s="154" t="str">
        <x:v>Bond Tab首期包含1个BOND通用关系礼物与3个CP专属礼物。收礼资格跟随当前礼物：BOND适用于有效正式关系，CP礼物仅限当前有效CP；订单直接读取固定亲密值配置。</x:v>
      </x:c>
      <x:c r="K2" s="154" t="str">
        <x:v>Bond Tab首期包含1个BOND通用关系礼物与3个CP专属礼物。收礼资格跟随当前礼物：BOND适用于有效正式关系，CP礼物仅限当前有效CP；订单直接读取固定亲密值配置。</x:v>
      </x:c>
      <x:c r="L2" s="154" t="str">
        <x:v>Bond Tab首期包含1个BOND通用关系礼物与3个CP专属礼物。收礼资格跟随当前礼物：BOND适用于有效正式关系，CP礼物仅限当前有效CP；订单直接读取固定亲密值配置。</x:v>
      </x:c>
    </x:row>
    <x:row r="4" ht="17">
      <x:c r="A4" s="160" t="str">
        <x:v>礼物编码</x:v>
      </x:c>
      <x:c r="B4" s="160" t="str">
        <x:v>工作名</x:v>
      </x:c>
      <x:c r="C4" s="160" t="str">
        <x:v>角标</x:v>
      </x:c>
      <x:c r="D4" s="160" t="str">
        <x:v>解锁条件</x:v>
      </x:c>
      <x:c r="E4" s="160" t="str">
        <x:v>价格(金币)</x:v>
      </x:c>
      <x:c r="F4" s="160" t="str">
        <x:v>等价普通亲密值</x:v>
      </x:c>
      <x:c r="G4" s="160" t="str">
        <x:v>固定亲密值</x:v>
      </x:c>
      <x:c r="H4" s="160" t="str">
        <x:v>相对普通效率</x:v>
      </x:c>
      <x:c r="I4" s="160" t="str">
        <x:v>金币/亲密值</x:v>
      </x:c>
      <x:c r="J4" s="160" t="str">
        <x:v>发送对象</x:v>
      </x:c>
      <x:c r="K4" s="160" t="str">
        <x:v>默认展示</x:v>
      </x:c>
      <x:c r="L4" s="160" t="str">
        <x:v>结算状态</x:v>
      </x:c>
    </x:row>
    <x:row r="5" ht="38" customHeight="1">
      <x:c r="A5" s="189" t="str">
        <x:v>BOND_GIFT_01</x:v>
      </x:c>
      <x:c r="B5" s="190" t="str">
        <x:v>同行礼盒</x:v>
      </x:c>
      <x:c r="C5" s="198" t="str">
        <x:v>BOND</x:v>
      </x:c>
      <x:c r="D5" s="201" t="str">
        <x:v>任一有效正式关系</x:v>
      </x:c>
      <x:c r="E5" s="210" t="n">
        <x:v>18888</x:v>
      </x:c>
      <x:c r="F5" s="204" t="n">
        <x:f>E5/100</x:f>
        <x:v>188.88</x:v>
      </x:c>
      <x:c r="G5" s="210" t="n">
        <x:v>350</x:v>
      </x:c>
      <x:c r="H5" s="207" t="n">
        <x:f>G5/F5</x:f>
        <x:v>1.8530283778060144</x:v>
      </x:c>
      <x:c r="I5" s="207" t="n">
        <x:f>E5/G5</x:f>
        <x:v>53.965714285714284</x:v>
      </x:c>
      <x:c r="J5" s="190" t="str">
        <x:v>CP、闺蜜、挚友、兄弟</x:v>
      </x:c>
      <x:c r="K5" s="190" t="str">
        <x:v>中性房间动效；无CP公共飘屏</x:v>
      </x:c>
      <x:c r="L5" s="191" t="str">
        <x:v>固定+350；可多选并按关系拆子单</x:v>
      </x:c>
    </x:row>
    <x:row r="6" ht="38" customHeight="1">
      <x:c r="A6" s="192" t="str">
        <x:v>CP_GIFT_01</x:v>
      </x:c>
      <x:c r="B6" s="193" t="str">
        <x:v>心动花束</x:v>
      </x:c>
      <x:c r="C6" s="199" t="str">
        <x:v>CP Lv1</x:v>
      </x:c>
      <x:c r="D6" s="202" t="str">
        <x:v>有效CP且权益Lv1</x:v>
      </x:c>
      <x:c r="E6" s="211" t="n">
        <x:v>29999</x:v>
      </x:c>
      <x:c r="F6" s="205" t="n">
        <x:f>E6/100</x:f>
        <x:v>299.99</x:v>
      </x:c>
      <x:c r="G6" s="211" t="n">
        <x:v>600</x:v>
      </x:c>
      <x:c r="H6" s="208" t="n">
        <x:f>G6/F6</x:f>
        <x:v>2.000066668888963</x:v>
      </x:c>
      <x:c r="I6" s="208" t="n">
        <x:f>E6/G6</x:f>
        <x:v>49.998333333333335</x:v>
      </x:c>
      <x:c r="J6" s="193" t="str">
        <x:v>仅当前有效CP</x:v>
      </x:c>
      <x:c r="K6" s="193" t="str">
        <x:v>轻量动效；无公共飘屏</x:v>
      </x:c>
      <x:c r="L6" s="194" t="str">
        <x:v>固定+600；倍率不参与</x:v>
      </x:c>
    </x:row>
    <x:row r="7" ht="38" customHeight="1">
      <x:c r="A7" s="192" t="str">
        <x:v>CP_GIFT_02</x:v>
      </x:c>
      <x:c r="B7" s="193" t="str">
        <x:v>星河情书</x:v>
      </x:c>
      <x:c r="C7" s="199" t="str">
        <x:v>CP Lv10</x:v>
      </x:c>
      <x:c r="D7" s="202" t="str">
        <x:v>有效CP且权益Lv10</x:v>
      </x:c>
      <x:c r="E7" s="211" t="n">
        <x:v>69999</x:v>
      </x:c>
      <x:c r="F7" s="205" t="n">
        <x:f>E7/100</x:f>
        <x:v>699.99</x:v>
      </x:c>
      <x:c r="G7" s="211" t="n">
        <x:v>1750</x:v>
      </x:c>
      <x:c r="H7" s="208" t="n">
        <x:f>G7/F7</x:f>
        <x:v>2.5000357147959256</x:v>
      </x:c>
      <x:c r="I7" s="208" t="n">
        <x:f>E7/G7</x:f>
        <x:v>39.999428571428574</x:v>
      </x:c>
      <x:c r="J7" s="193" t="str">
        <x:v>仅当前有效CP</x:v>
      </x:c>
      <x:c r="K7" s="193" t="str">
        <x:v>当前房间CP飘屏</x:v>
      </x:c>
      <x:c r="L7" s="194" t="str">
        <x:v>固定+1,750</x:v>
      </x:c>
    </x:row>
    <x:row r="8" ht="38" customHeight="1">
      <x:c r="A8" s="195" t="str">
        <x:v>CP_GIFT_03</x:v>
      </x:c>
      <x:c r="B8" s="196" t="str">
        <x:v>永恒城堡</x:v>
      </x:c>
      <x:c r="C8" s="200" t="str">
        <x:v>CP Lv20</x:v>
      </x:c>
      <x:c r="D8" s="203" t="str">
        <x:v>有效CP且权益Lv20</x:v>
      </x:c>
      <x:c r="E8" s="212" t="n">
        <x:v>199999</x:v>
      </x:c>
      <x:c r="F8" s="206" t="n">
        <x:f>E8/100</x:f>
        <x:v>1999.99</x:v>
      </x:c>
      <x:c r="G8" s="212" t="n">
        <x:v>6000</x:v>
      </x:c>
      <x:c r="H8" s="209" t="n">
        <x:f>G8/F8</x:f>
        <x:v>3.0000150000750003</x:v>
      </x:c>
      <x:c r="I8" s="209" t="n">
        <x:f>E8/G8</x:f>
        <x:v>33.33316666666666</x:v>
      </x:c>
      <x:c r="J8" s="196" t="str">
        <x:v>仅当前有效CP</x:v>
      </x:c>
      <x:c r="K8" s="196" t="str">
        <x:v>高阶房间飘屏；公共广播默认关</x:v>
      </x:c>
      <x:c r="L8" s="197" t="str">
        <x:v>固定+6,000</x:v>
      </x:c>
    </x:row>
    <x:row r="10">
      <x:c r="A10" s="218" t="str">
        <x:v>礼物结算与收礼对象口径</x:v>
      </x:c>
      <x:c r="B10" s="218"/>
      <x:c r="C10" s="218"/>
      <x:c r="D10" s="218"/>
      <x:c r="E10" s="218"/>
      <x:c r="F10" s="218"/>
      <x:c r="G10" s="218"/>
      <x:c r="H10" s="218"/>
      <x:c r="I10" s="218"/>
      <x:c r="J10" s="218"/>
      <x:c r="K10" s="218"/>
      <x:c r="L10" s="218"/>
    </x:row>
    <x:row r="11" ht="30" customHeight="1">
      <x:c r="A11" s="224" t="str">
        <x:v>普通礼物</x:v>
      </x:c>
      <x:c r="B11" s="181" t="str">
        <x:v>有效订单完成后自动入账；亲密值=实际支付金币/100，每日无上限；取整沿用服务端现网规则。</x:v>
      </x:c>
      <x:c r="C11" s="181"/>
      <x:c r="D11" s="181"/>
      <x:c r="E11" s="181"/>
      <x:c r="F11" s="181"/>
      <x:c r="G11" s="181"/>
      <x:c r="H11" s="181"/>
      <x:c r="I11" s="181"/>
      <x:c r="J11" s="181"/>
      <x:c r="K11" s="181"/>
      <x:c r="L11" s="182"/>
    </x:row>
    <x:row r="12" ht="30" customHeight="1">
      <x:c r="A12" s="225" t="str">
        <x:v>幸运礼物</x:v>
      </x:c>
      <x:c r="B12" s="184" t="str">
        <x:v>有效订单完成后自动入账；亲密值=floor(实际支付金币/1000)，即普通礼物的10%；不计中奖、返奖或奖池金额。</x:v>
      </x:c>
      <x:c r="C12" s="184"/>
      <x:c r="D12" s="184"/>
      <x:c r="E12" s="184"/>
      <x:c r="F12" s="184"/>
      <x:c r="G12" s="184"/>
      <x:c r="H12" s="184"/>
      <x:c r="I12" s="184"/>
      <x:c r="J12" s="184"/>
      <x:c r="K12" s="184"/>
      <x:c r="L12" s="185"/>
    </x:row>
    <x:row r="13" ht="30" customHeight="1">
      <x:c r="A13" s="225" t="str">
        <x:v>BOND通用礼物</x:v>
      </x:c>
      <x:c r="B13" s="184" t="str">
        <x:v>适用于CP、闺蜜、挚友、兄弟等当前有效正式关系；固定+350/件，可多选。一个批次按每个关系拆子单并分别加值、计任务、退款和补偿。</x:v>
      </x:c>
      <x:c r="C13" s="184"/>
      <x:c r="D13" s="184"/>
      <x:c r="E13" s="184"/>
      <x:c r="F13" s="184"/>
      <x:c r="G13" s="184"/>
      <x:c r="H13" s="184"/>
      <x:c r="I13" s="184"/>
      <x:c r="J13" s="184"/>
      <x:c r="K13" s="184"/>
      <x:c r="L13" s="185"/>
    </x:row>
    <x:row r="14" ht="30" customHeight="1">
      <x:c r="A14" s="225" t="str">
        <x:v>CP专属礼物</x:v>
      </x:c>
      <x:c r="B14" s="184" t="str">
        <x:v>仅当前有效CP可收；按600/1,750/6,000×成功数量结算。CP唯一，All on mic只选中在麦CP，不支持随机赠送。</x:v>
      </x:c>
      <x:c r="C14" s="184"/>
      <x:c r="D14" s="184"/>
      <x:c r="E14" s="184"/>
      <x:c r="F14" s="184"/>
      <x:c r="G14" s="184"/>
      <x:c r="H14" s="184"/>
      <x:c r="I14" s="184"/>
      <x:c r="J14" s="184"/>
      <x:c r="K14" s="184"/>
      <x:c r="L14" s="185"/>
    </x:row>
    <x:row r="15" ht="30" customHeight="1">
      <x:c r="A15" s="225" t="str">
        <x:v>任务计数</x:v>
      </x:c>
      <x:c r="B15" s="184" t="str">
        <x:v>普通、幸运、BOND、CP礼物的有效delivered子单均纳入双方互赠/有效付费礼物任务；批量订单按每个关系子单分别计1笔。</x:v>
      </x:c>
      <x:c r="C15" s="184"/>
      <x:c r="D15" s="184"/>
      <x:c r="E15" s="184"/>
      <x:c r="F15" s="184"/>
      <x:c r="G15" s="184"/>
      <x:c r="H15" s="184"/>
      <x:c r="I15" s="184"/>
      <x:c r="J15" s="184"/>
      <x:c r="K15" s="184"/>
      <x:c r="L15" s="185"/>
    </x:row>
    <x:row r="16" ht="30" customHeight="1">
      <x:c r="A16" s="225" t="str">
        <x:v>失败/撤销</x:v>
      </x:c>
      <x:c r="B16" s="184" t="str">
        <x:v>支付前逐个校验关系、对象、范围、商品、数量和配置；任一失败则整批不创建钱包订单、不扣金币。退款/拒付按子单撤回对应关系亲密值与任务进度。</x:v>
      </x:c>
      <x:c r="C16" s="184"/>
      <x:c r="D16" s="184"/>
      <x:c r="E16" s="184"/>
      <x:c r="F16" s="184"/>
      <x:c r="G16" s="184"/>
      <x:c r="H16" s="184"/>
      <x:c r="I16" s="184"/>
      <x:c r="J16" s="184"/>
      <x:c r="K16" s="184"/>
      <x:c r="L16" s="185"/>
    </x:row>
    <x:row r="17" ht="30" customHeight="1">
      <x:c r="A17" s="226" t="str">
        <x:v>求婚隔离</x:v>
      </x:c>
      <x:c r="B17" s="187" t="str">
        <x:v>BOND/CP礼物均不用于求婚、不建立或续期关系；新CP仍需先达到2,000并使用求婚戒指。</x:v>
      </x:c>
      <x:c r="C17" s="187"/>
      <x:c r="D17" s="187"/>
      <x:c r="E17" s="187"/>
      <x:c r="F17" s="187"/>
      <x:c r="G17" s="187"/>
      <x:c r="H17" s="187"/>
      <x:c r="I17" s="187"/>
      <x:c r="J17" s="187"/>
      <x:c r="K17" s="187"/>
      <x:c r="L17" s="188"/>
    </x:row>
    <x:row r="18" ht="17">
      <x:c r="A18"/>
      <x:c r="B18"/>
      <x:c r="C18"/>
      <x:c r="D18"/>
      <x:c r="E18"/>
      <x:c r="F18"/>
    </x:row>
    <x:row r="19">
      <x:c r="A19" s="232" t="str">
        <x:v>压力测试</x:v>
      </x:c>
      <x:c r="B19" s="232" t="str">
        <x:v>起点亲密值</x:v>
      </x:c>
      <x:c r="C19" s="232" t="str">
        <x:v>目标门槛</x:v>
      </x:c>
      <x:c r="D19" s="232" t="str">
        <x:v>单件亲密值</x:v>
      </x:c>
      <x:c r="E19" s="232" t="str">
        <x:v>所需件数</x:v>
      </x:c>
      <x:c r="F19" s="232" t="str">
        <x:v>对应金币</x:v>
      </x:c>
    </x:row>
    <x:row r="20">
      <x:c r="A20" s="233" t="str">
        <x:v>Lv1→Lv10，仅一档CP礼物</x:v>
      </x:c>
      <x:c r="B20" s="242" t="e">
        <x:f>等级配置!C4</x:f>
        <x:v>#NAME?</x:v>
      </x:c>
      <x:c r="C20" s="242" t="e">
        <x:f>等级配置!C13</x:f>
        <x:v>#NAME?</x:v>
      </x:c>
      <x:c r="D20" s="242" t="n">
        <x:v>600</x:v>
      </x:c>
      <x:c r="E20" s="242" t="e">
        <x:f>ROUNDUP((C20-B20)/D20,0)</x:f>
        <x:v>#NAME?</x:v>
      </x:c>
      <x:c r="F20" s="243" t="e">
        <x:f>E20*E6</x:f>
        <x:v>#NAME?</x:v>
      </x:c>
    </x:row>
    <x:row r="21">
      <x:c r="A21" s="236" t="str">
        <x:v>Lv10→Lv20，仅二档CP礼物</x:v>
      </x:c>
      <x:c r="B21" s="244" t="e">
        <x:f>等级配置!C13</x:f>
        <x:v>#NAME?</x:v>
      </x:c>
      <x:c r="C21" s="244" t="e">
        <x:f>等级配置!C23</x:f>
        <x:v>#NAME?</x:v>
      </x:c>
      <x:c r="D21" s="244" t="n">
        <x:v>1750</x:v>
      </x:c>
      <x:c r="E21" s="244" t="e">
        <x:f>ROUNDUP((C21-B21)/D21,0)</x:f>
        <x:v>#NAME?</x:v>
      </x:c>
      <x:c r="F21" s="245" t="e">
        <x:f>E21*E7</x:f>
        <x:v>#NAME?</x:v>
      </x:c>
    </x:row>
    <x:row r="22">
      <x:c r="A22" s="239" t="str">
        <x:v>当前最高→G5，仅三档CP礼物</x:v>
      </x:c>
      <x:c r="B22" s="246" t="e">
        <x:f>参数与口径!B13</x:f>
        <x:v>#NAME?</x:v>
      </x:c>
      <x:c r="C22" s="246" t="e">
        <x:f>等级配置!C84</x:f>
        <x:v>#NAME?</x:v>
      </x:c>
      <x:c r="D22" s="246" t="n">
        <x:v>6000</x:v>
      </x:c>
      <x:c r="E22" s="246" t="e">
        <x:f>ROUNDUP((C22-B22)/D22,0)</x:f>
        <x:v>#NAME?</x:v>
      </x:c>
      <x:c r="F22" s="247" t="e">
        <x:f>E22*E8</x:f>
        <x:v>#NAME?</x:v>
      </x:c>
    </x:row>
  </x:sheetData>
  <x:mergeCells>
    <x:mergeCell ref="A1:K1"/>
    <x:mergeCell ref="A2:K2"/>
    <x:mergeCell ref="A10:K10"/>
    <x:mergeCell ref="B11:K11"/>
    <x:mergeCell ref="B12:K12"/>
    <x:mergeCell ref="B13:K13"/>
    <x:mergeCell ref="B14:K14"/>
    <x:mergeCell ref="B15:K15"/>
    <x:mergeCell ref="A1:L1"/>
    <x:mergeCell ref="A2:L2"/>
    <x:mergeCell ref="A10:L10"/>
    <x:mergeCell ref="B11:L11"/>
    <x:mergeCell ref="B12:L12"/>
    <x:mergeCell ref="B13:L13"/>
    <x:mergeCell ref="B14:L14"/>
    <x:mergeCell ref="B15:L15"/>
    <x:mergeCell ref="B16:L16"/>
    <x:mergeCell ref="B17:L17"/>
  </x:mergeCells>
  <x:pageMargins left="0.7" right="0.7" top="0.75" bottom="0.75" header="0.3" footer="0.3"/>
  <x:tableParts count="1">
    <x:tablePart xmlns:r="http://schemas.openxmlformats.org/officeDocument/2006/relationships" r:id="R30a216fb0ac94b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customWidth="1"/>
    <x:col min="2" max="2" width="24" customWidth="1"/>
    <x:col min="3" max="3" width="34" customWidth="1"/>
    <x:col min="4" max="5" width="22" customWidth="1"/>
    <x:col min="6" max="6" width="28" customWidth="1"/>
    <x:col min="7" max="7" width="38" customWidth="1"/>
  </x:cols>
  <x:sheetData>
    <x:row r="1" ht="29" customHeight="1">
      <x:c r="A1" s="332" t="str">
        <x:v>基础互动、任务领取与关系礼物口径 v3.7</x:v>
      </x:c>
      <x:c r="B1" s="332"/>
      <x:c r="C1" s="332"/>
      <x:c r="D1" s="332"/>
      <x:c r="E1" s="332"/>
      <x:c r="F1" s="332"/>
      <x:c r="G1" s="332"/>
    </x:row>
    <x:row r="2" ht="40" customHeight="1">
      <x:c r="A2" s="333" t="str">
        <x:v>基础互动和礼物沿用现网自动入账；私信/共同游戏不再设置同名任务。CP、闺蜜、挚友、兄弟均下发日/周任务，每段关系按relationship_id独立统计，任务奖励领取后入账。</x:v>
      </x:c>
      <x:c r="B2" s="333"/>
      <x:c r="C2" s="333"/>
      <x:c r="D2" s="333"/>
      <x:c r="E2" s="333"/>
      <x:c r="F2" s="333"/>
      <x:c r="G2" s="333"/>
    </x:row>
    <x:row r="3">
      <x:c r="A3" s="287"/>
      <x:c r="B3" s="287"/>
      <x:c r="C3" s="287"/>
      <x:c r="D3" s="287"/>
      <x:c r="E3" s="287"/>
      <x:c r="F3" s="287"/>
      <x:c r="G3" s="287"/>
    </x:row>
    <x:row r="4" ht="17">
      <x:c r="A4" s="289" t="s">
        <x:v>3742</x:v>
      </x:c>
      <x:c r="B4" s="289" t="s">
        <x:v>3743</x:v>
      </x:c>
      <x:c r="C4" s="289" t="s">
        <x:v>3744</x:v>
      </x:c>
      <x:c r="D4" s="289" t="s">
        <x:v>3745</x:v>
      </x:c>
      <x:c r="E4" s="289" t="s">
        <x:v>3746</x:v>
      </x:c>
      <x:c r="F4" s="289" t="s">
        <x:v>3747</x:v>
      </x:c>
      <x:c r="G4" s="289" t="s">
        <x:v>3682</x:v>
      </x:c>
    </x:row>
    <x:row r="5" ht="30" customHeight="1">
      <x:c r="A5" s="271" t="s">
        <x:v>3748</x:v>
      </x:c>
      <x:c r="B5" s="258" t="s">
        <x:v>3749</x:v>
      </x:c>
      <x:c r="C5" s="258" t="s">
        <x:v>3750</x:v>
      </x:c>
      <x:c r="D5" s="258" t="s">
        <x:v>3751</x:v>
      </x:c>
      <x:c r="E5" s="258" t="s">
        <x:v>3752</x:v>
      </x:c>
      <x:c r="F5" s="258" t="s">
        <x:v>3753</x:v>
      </x:c>
      <x:c r="G5" s="259" t="s">
        <x:v>3754</x:v>
      </x:c>
    </x:row>
    <x:row r="6" ht="30" customHeight="1">
      <x:c r="A6" s="272" t="s">
        <x:v>3748</x:v>
      </x:c>
      <x:c r="B6" s="262" t="s">
        <x:v>3755</x:v>
      </x:c>
      <x:c r="C6" s="262" t="s">
        <x:v>3756</x:v>
      </x:c>
      <x:c r="D6" s="262" t="s">
        <x:v>3757</x:v>
      </x:c>
      <x:c r="E6" s="262" t="s">
        <x:v>3758</x:v>
      </x:c>
      <x:c r="F6" s="262" t="s">
        <x:v>3753</x:v>
      </x:c>
      <x:c r="G6" s="263" t="s">
        <x:v>3759</x:v>
      </x:c>
    </x:row>
    <x:row r="7" ht="30" customHeight="1">
      <x:c r="A7" s="272" t="s">
        <x:v>3760</x:v>
      </x:c>
      <x:c r="B7" s="262" t="s">
        <x:v>3761</x:v>
      </x:c>
      <x:c r="C7" s="262" t="s">
        <x:v>3762</x:v>
      </x:c>
      <x:c r="D7" s="262" t="s">
        <x:v>3763</x:v>
      </x:c>
      <x:c r="E7" s="262" t="s">
        <x:v>3764</x:v>
      </x:c>
      <x:c r="F7" s="262" t="s">
        <x:v>3765</x:v>
      </x:c>
      <x:c r="G7" s="263" t="s">
        <x:v>3766</x:v>
      </x:c>
    </x:row>
    <x:row r="8" ht="30" customHeight="1">
      <x:c r="A8" s="280" t="s">
        <x:v>3760</x:v>
      </x:c>
      <x:c r="B8" s="281" t="s">
        <x:v>3767</x:v>
      </x:c>
      <x:c r="C8" s="281" t="s">
        <x:v>3762</x:v>
      </x:c>
      <x:c r="D8" s="281" t="s">
        <x:v>3768</x:v>
      </x:c>
      <x:c r="E8" s="281" t="s">
        <x:v>3764</x:v>
      </x:c>
      <x:c r="F8" s="281" t="s">
        <x:v>3765</x:v>
      </x:c>
      <x:c r="G8" s="282" t="s">
        <x:v>3769</x:v>
      </x:c>
    </x:row>
    <x:row r="9" ht="30" customHeight="1">
      <x:c r="A9" s="283" t="str">
        <x:v>礼物</x:v>
      </x:c>
      <x:c r="B9" s="284" t="str">
        <x:v>BOND通用礼物</x:v>
      </x:c>
      <x:c r="C9" s="284" t="str">
        <x:v>有效正式关系子单delivered</x:v>
      </x:c>
      <x:c r="D9" s="284" t="str">
        <x:v>固定+350/件</x:v>
      </x:c>
      <x:c r="E9" s="284" t="str">
        <x:v>每日无上限</x:v>
      </x:c>
      <x:c r="F9" s="284" t="str">
        <x:v>子单完成后自动入账</x:v>
      </x:c>
      <x:c r="G9" s="285" t="str">
        <x:v>CP/闺蜜/挚友/兄弟通用；多选按关系拆子单</x:v>
      </x:c>
    </x:row>
    <x:row r="10" ht="30" customHeight="1">
      <x:c r="A10" s="192" t="str">
        <x:v>礼物</x:v>
      </x:c>
      <x:c r="B10" s="193" t="str">
        <x:v>CP专属礼物</x:v>
      </x:c>
      <x:c r="C10" s="193" t="str">
        <x:v>当前有效CP且满足权益等级</x:v>
      </x:c>
      <x:c r="D10" s="193" t="str">
        <x:v>固定+600/+1,750/+6,000</x:v>
      </x:c>
      <x:c r="E10" s="193" t="str">
        <x:v>每日无上限</x:v>
      </x:c>
      <x:c r="F10" s="193" t="str">
        <x:v>订单完成后自动入账</x:v>
      </x:c>
      <x:c r="G10" s="194" t="str">
        <x:v>仅当前有效CP；Lv1/Lv10/Lv20解锁</x:v>
      </x:c>
    </x:row>
    <x:row r="11" ht="42" customHeight="1">
      <x:c r="A11" s="280" t="str">
        <x:v>日任务</x:v>
      </x:c>
      <x:c r="B11" s="281" t="str">
        <x:v>4条正式关系任务</x:v>
      </x:c>
      <x:c r="C11" s="281" t="str">
        <x:v>按指定条件达成后进入可领取</x:v>
      </x:c>
      <x:c r="D11" s="281" t="str">
        <x:v>+5/+10/+10/+15</x:v>
      </x:c>
      <x:c r="E11" s="281" t="str">
        <x:v>40/关系/日</x:v>
      </x:c>
      <x:c r="F11" s="281" t="str">
        <x:v>任务中心领取后入账</x:v>
      </x:c>
      <x:c r="G11" s="282" t="str">
        <x:v>CP/闺蜜/挚友/兄弟分别下发；签到、双方送礼、共同在房、共同在麦；全部完成无额外奖励</x:v>
      </x:c>
    </x:row>
    <x:row r="12" ht="42" customHeight="1">
      <x:c r="A12" s="280" t="str">
        <x:v>周任务</x:v>
      </x:c>
      <x:c r="B12" s="281" t="str">
        <x:v>4条关系周任务</x:v>
      </x:c>
      <x:c r="C12" s="281" t="str">
        <x:v>按周累计条件达成后进入可领取</x:v>
      </x:c>
      <x:c r="D12" s="281" t="str">
        <x:v>+20/条</x:v>
      </x:c>
      <x:c r="E12" s="281" t="str">
        <x:v>80/关系/周</x:v>
      </x:c>
      <x:c r="F12" s="281" t="str">
        <x:v>任务中心领取后入账</x:v>
      </x:c>
      <x:c r="G12" s="282" t="str">
        <x:v>CP/闺蜜/挚友/兄弟分别累计；双方签到、双方送礼、共同在房、非任务来源亲密值；无宝箱</x:v>
      </x:c>
    </x:row>
    <x:row r="13" ht="30" customHeight="1">
      <x:c r="A13" s="277" t="str">
        <x:v>衰减</x:v>
      </x:c>
      <x:c r="B13" s="278" t="str">
        <x:v>全天无有效行为</x:v>
      </x:c>
      <x:c r="C13" s="278" t="str">
        <x:v>无送礼、无1对私聊、无共同游戏</x:v>
      </x:c>
      <x:c r="D13" s="278" t="str">
        <x:v>-50</x:v>
      </x:c>
      <x:c r="E13" s="278" t="str">
        <x:v>最低减至0</x:v>
      </x:c>
      <x:c r="F13" s="278" t="str">
        <x:v>每日结算</x:v>
      </x:c>
      <x:c r="G13" s="279" t="str">
        <x:v>22:00 UTC+3判断；CP处于衰减时通知双方</x:v>
      </x:c>
    </x:row>
    <x:row r="14" ht="17">
      <x:c r="A14" s="334" t="s">
        <x:v>3770</x:v>
      </x:c>
      <x:c r="B14" s="334" t="s">
        <x:v>3483</x:v>
      </x:c>
      <x:c r="C14" s="334" t="s">
        <x:v>3486</x:v>
      </x:c>
      <x:c r="D14" s="334" t="s">
        <x:v>3771</x:v>
      </x:c>
      <x:c r="E14" s="287"/>
      <x:c r="F14" s="287"/>
      <x:c r="G14" s="287"/>
    </x:row>
    <x:row r="15" ht="17">
      <x:c r="A15" s="335" t="s">
        <x:v>3772</x:v>
      </x:c>
      <x:c r="B15" s="336" t="n">
        <x:f>20+30</x:f>
        <x:v>50</x:v>
      </x:c>
      <x:c r="C15" s="335" t="s">
        <x:v>3773</x:v>
      </x:c>
      <x:c r="D15" s="335" t="s">
        <x:v>3774</x:v>
      </x:c>
      <x:c r="E15" s="287"/>
      <x:c r="F15" s="287"/>
      <x:c r="G15" s="287"/>
    </x:row>
    <x:row r="16" ht="17">
      <x:c r="A16" s="337" t="str">
        <x:v>日任务奖励上限</x:v>
      </x:c>
      <x:c r="B16" s="338" t="n">
        <x:v>40</x:v>
      </x:c>
      <x:c r="C16" s="337" t="str">
        <x:v>亲密值/关系/日</x:v>
      </x:c>
      <x:c r="D16" s="337" t="str">
        <x:v>+5+10+10+15；每段关系分别领取</x:v>
      </x:c>
      <x:c r="E16" s="287"/>
      <x:c r="F16" s="287"/>
      <x:c r="G16" s="287"/>
    </x:row>
    <x:row r="17" ht="17">
      <x:c r="A17" s="337" t="str">
        <x:v>周任务奖励上限</x:v>
      </x:c>
      <x:c r="B17" s="338" t="n">
        <x:v>80</x:v>
      </x:c>
      <x:c r="C17" s="337" t="str">
        <x:v>亲密值/关系/周</x:v>
      </x:c>
      <x:c r="D17" s="337" t="str">
        <x:v>4条×20；每段关系分别领取</x:v>
      </x:c>
      <x:c r="E17" s="287"/>
      <x:c r="F17" s="287"/>
      <x:c r="G17" s="287"/>
    </x:row>
    <x:row r="18" ht="34">
      <x:c r="A18" s="337" t="str">
        <x:v>每周不含礼物最高</x:v>
      </x:c>
      <x:c r="B18" s="338" t="n">
        <x:v>620</x:v>
      </x:c>
      <x:c r="C18" s="337" t="str">
        <x:v>亲密值/关系/周</x:v>
      </x:c>
      <x:c r="D18" s="337" t="str">
        <x:v>单段关系：基础互动350 + 免费日任务210 + 免费周任务60</x:v>
      </x:c>
      <x:c r="E18" s="287"/>
      <x:c r="F18" s="287"/>
      <x:c r="G18" s="287"/>
    </x:row>
    <x:row r="19" ht="51">
      <x:c r="A19" s="337" t="str">
        <x:v>周任务集中领取当日最高</x:v>
      </x:c>
      <x:c r="B19" s="338" t="n">
        <x:v>170</x:v>
      </x:c>
      <x:c r="C19" s="337" t="str">
        <x:v>亲密值/关系/日</x:v>
      </x:c>
      <x:c r="D19" s="337" t="str">
        <x:v>单段关系：基础互动50 + 日任务40 + 周任务80；不含礼物订单亲密值</x:v>
      </x:c>
      <x:c r="E19" s="287"/>
      <x:c r="F19" s="287"/>
      <x:c r="G19" s="287"/>
    </x:row>
    <x:row r="20" ht="34">
      <x:c r="A20" s="339" t="str">
        <x:v>包含礼物后的每日总上限</x:v>
      </x:c>
      <x:c r="B20" s="339" t="str">
        <x:v>无上限</x:v>
      </x:c>
      <x:c r="C20" s="339" t="str">
        <x:v>-</x:v>
      </x:c>
      <x:c r="D20" s="339" t="str">
        <x:v>按关系分别结算；普通、幸运、BOND和CP礼物均无独立日上限</x:v>
      </x:c>
      <x:c r="E20" s="287"/>
      <x:c r="F20" s="287"/>
      <x:c r="G20" s="287"/>
    </x:row>
    <x:row r="21">
      <x:c r="A21" s="287" t="str">
        <x:v>全部任务固定奖励上限</x:v>
      </x:c>
      <x:c r="B21" s="287" t="n">
        <x:v>360</x:v>
      </x:c>
      <x:c r="C21" s="287" t="str">
        <x:v>亲密值/关系/周</x:v>
      </x:c>
      <x:c r="D21" s="287" t="str">
        <x:v>单段关系40×7+80；多段关系分别计算</x:v>
      </x:c>
      <x:c r="E21" s="287"/>
      <x:c r="F21" s="287"/>
      <x:c r="G21" s="287"/>
    </x:row>
    <x:row r="22">
      <x:c r="A22" s="287"/>
      <x:c r="B22" s="287"/>
      <x:c r="C22" s="287"/>
      <x:c r="D22" s="287"/>
      <x:c r="E22" s="287"/>
      <x:c r="F22" s="287"/>
      <x:c r="G22" s="287"/>
    </x:row>
    <x:row r="23" ht="28" customHeight="1">
      <x:c r="A23" s="340" t="str">
        <x:v>日任务明细｜CP、闺蜜、挚友、兄弟每段关系固定 4 条，奖励 +5/+10/+10/+15，合计 40/关系/日</x:v>
      </x:c>
      <x:c r="B23" s="340" t="s">
        <x:v>3775</x:v>
      </x:c>
      <x:c r="C23" s="340" t="s">
        <x:v>3775</x:v>
      </x:c>
      <x:c r="D23" s="340" t="s">
        <x:v>3775</x:v>
      </x:c>
      <x:c r="E23" s="340" t="s">
        <x:v>3775</x:v>
      </x:c>
      <x:c r="F23" s="340" t="s">
        <x:v>3775</x:v>
      </x:c>
      <x:c r="G23" s="340" t="s">
        <x:v>3775</x:v>
      </x:c>
    </x:row>
    <x:row r="24" ht="31" customHeight="1">
      <x:c r="A24" s="289" t="s">
        <x:v>3776</x:v>
      </x:c>
      <x:c r="B24" s="289" t="s">
        <x:v>3777</x:v>
      </x:c>
      <x:c r="C24" s="289" t="s">
        <x:v>3778</x:v>
      </x:c>
      <x:c r="D24" s="289" t="s">
        <x:v>3779</x:v>
      </x:c>
      <x:c r="E24" s="289" t="s">
        <x:v>3780</x:v>
      </x:c>
      <x:c r="F24" s="289" t="s">
        <x:v>3747</x:v>
      </x:c>
      <x:c r="G24" s="289" t="s">
        <x:v>3781</x:v>
      </x:c>
    </x:row>
    <x:row r="25" ht="62" customHeight="1">
      <x:c r="A25" s="341" t="s">
        <x:v>3782</x:v>
      </x:c>
      <x:c r="B25" s="342" t="s">
        <x:v>3783</x:v>
      </x:c>
      <x:c r="C25" s="286" t="s">
        <x:v>3784</x:v>
      </x:c>
      <x:c r="D25" s="343">
        <x:v>5</x:v>
      </x:c>
      <x:c r="E25" s="286" t="str">
        <x:v>按relationship_id记录双方0/1；页面曝光不自动完成</x:v>
      </x:c>
      <x:c r="F25" s="286" t="str">
        <x:v>双方完成后进入claimable；任一方领取成功后当前关系入账一次</x:v>
      </x:c>
      <x:c r="G25" s="286" t="s">
        <x:v>3785</x:v>
      </x:c>
    </x:row>
    <x:row r="26" ht="62" customHeight="1">
      <x:c r="A26" s="341" t="s">
        <x:v>3786</x:v>
      </x:c>
      <x:c r="B26" s="342" t="s">
        <x:v>3787</x:v>
      </x:c>
      <x:c r="C26" s="286" t="s">
        <x:v>3788</x:v>
      </x:c>
      <x:c r="D26" s="343">
        <x:v>10</x:v>
      </x:c>
      <x:c r="E26" s="286" t="str">
        <x:v>按relationship_id统计双方合计消费；普通、幸运、BOND、CP礼物有效子单可计，戒指、免费/运营礼物不计；退款/拒付/作弊只回撤对应关系</x:v>
      </x:c>
      <x:c r="F26" s="286" t="str">
        <x:v>礼物先自动加值；领取固定+10，只计当前关系一次</x:v>
      </x:c>
      <x:c r="G26" s="286" t="s">
        <x:v>3785</x:v>
      </x:c>
    </x:row>
    <x:row r="27" ht="62" customHeight="1">
      <x:c r="A27" s="341" t="s">
        <x:v>3789</x:v>
      </x:c>
      <x:c r="B27" s="342" t="str">
        <x:v>共同在房</x:v>
      </x:c>
      <x:c r="C27" s="286" t="str">
        <x:v>双方共同在房时间≥10分钟</x:v>
      </x:c>
      <x:c r="D27" s="343" t="n">
        <x:v>10</x:v>
      </x:c>
      <x:c r="E27" s="286" t="str">
        <x:v>CP：只计双方同时处于CP房；闺蜜/挚友/兄弟：计双方同时处于任意同一房间。跨房不计，离房暂停，断线重连和重复事件去重</x:v>
      </x:c>
      <x:c r="F27" s="286" t="str">
        <x:v>达标进入claimable；领取后只计入当前relationship_id，不新增基础互动值</x:v>
      </x:c>
      <x:c r="G27" s="286" t="str">
        <x:v>每日00:00刷新；未领取奖励随刷新过期</x:v>
      </x:c>
    </x:row>
    <x:row r="28" ht="62" customHeight="1">
      <x:c r="A28" s="341" t="s">
        <x:v>3790</x:v>
      </x:c>
      <x:c r="B28" s="342" t="s">
        <x:v>3791</x:v>
      </x:c>
      <x:c r="C28" s="286" t="s">
        <x:v>3792</x:v>
      </x:c>
      <x:c r="D28" s="343">
        <x:v>15</x:v>
      </x:c>
      <x:c r="E28" s="286" t="str">
        <x:v>按relationship_id统计双方在同一房间/会话内同时有效在麦时长；静音、未接入麦克风、后台挂机和无效音频不计</x:v>
      </x:c>
      <x:c r="F28" s="286" t="str">
        <x:v>达标进入claimable；领取后只计入当前relationship_id，不新增基础互动值</x:v>
      </x:c>
      <x:c r="G28" s="286" t="s">
        <x:v>3785</x:v>
      </x:c>
    </x:row>
    <x:row r="29">
      <x:c r="A29" s="287"/>
      <x:c r="B29" s="287"/>
      <x:c r="C29" s="287"/>
      <x:c r="D29" s="287"/>
      <x:c r="E29" s="287"/>
      <x:c r="F29" s="287"/>
      <x:c r="G29" s="287"/>
    </x:row>
    <x:row r="30">
      <x:c r="A30" s="287"/>
      <x:c r="B30" s="287"/>
      <x:c r="C30" s="287"/>
      <x:c r="D30" s="287"/>
      <x:c r="E30" s="287"/>
      <x:c r="F30" s="287"/>
      <x:c r="G30" s="287"/>
    </x:row>
    <x:row r="31" ht="28" customHeight="1">
      <x:c r="A31" s="288" t="str">
        <x:v>周任务明细｜CP、闺蜜、挚友、兄弟每段关系固定 4 条，每条 +20，合计 80/关系/周</x:v>
      </x:c>
      <x:c r="B31" s="288" t="s">
        <x:v>3793</x:v>
      </x:c>
      <x:c r="C31" s="288" t="s">
        <x:v>3793</x:v>
      </x:c>
      <x:c r="D31" s="288" t="s">
        <x:v>3793</x:v>
      </x:c>
      <x:c r="E31" s="288" t="s">
        <x:v>3793</x:v>
      </x:c>
      <x:c r="F31" s="288" t="s">
        <x:v>3793</x:v>
      </x:c>
      <x:c r="G31" s="288" t="s">
        <x:v>3793</x:v>
      </x:c>
    </x:row>
    <x:row r="32" ht="31" customHeight="1">
      <x:c r="A32" s="289" t="s">
        <x:v>3776</x:v>
      </x:c>
      <x:c r="B32" s="289" t="s">
        <x:v>3777</x:v>
      </x:c>
      <x:c r="C32" s="289" t="s">
        <x:v>3778</x:v>
      </x:c>
      <x:c r="D32" s="289" t="s">
        <x:v>3779</x:v>
      </x:c>
      <x:c r="E32" s="289" t="s">
        <x:v>3780</x:v>
      </x:c>
      <x:c r="F32" s="289" t="s">
        <x:v>3747</x:v>
      </x:c>
      <x:c r="G32" s="289" t="s">
        <x:v>3781</x:v>
      </x:c>
    </x:row>
    <x:row r="33" ht="62" customHeight="1">
      <x:c r="A33" s="344" t="s">
        <x:v>3794</x:v>
      </x:c>
      <x:c r="B33" s="345" t="s">
        <x:v>3795</x:v>
      </x:c>
      <x:c r="C33" s="290" t="s">
        <x:v>3796</x:v>
      </x:c>
      <x:c r="D33" s="346">
        <x:v>20</x:v>
      </x:c>
      <x:c r="E33" s="290" t="str">
        <x:v>按relationship_id和自然日去重；同一天必须双方均完成该关系签到才记1天</x:v>
      </x:c>
      <x:c r="F33" s="290" t="str">
        <x:v>达标进入claimable；任一方领取成功后当前关系入账一次</x:v>
      </x:c>
      <x:c r="G33" s="290" t="s">
        <x:v>3797</x:v>
      </x:c>
    </x:row>
    <x:row r="34" ht="62" customHeight="1">
      <x:c r="A34" s="344" t="s">
        <x:v>3798</x:v>
      </x:c>
      <x:c r="B34" s="345" t="s">
        <x:v>3799</x:v>
      </x:c>
      <x:c r="C34" s="290" t="s">
        <x:v>3800</x:v>
      </x:c>
      <x:c r="D34" s="346">
        <x:v>20</x:v>
      </x:c>
      <x:c r="E34" s="290" t="str">
        <x:v>按relationship_id分别记录双方0/3；每个有效收礼关系子单计1笔并按子单ID去重；退款/拒付/作弊只回撤对应关系</x:v>
      </x:c>
      <x:c r="F34" s="290" t="str">
        <x:v>礼物先自动加值；领取固定+20，只计当前关系一次</x:v>
      </x:c>
      <x:c r="G34" s="290" t="s">
        <x:v>3797</x:v>
      </x:c>
    </x:row>
    <x:row r="35" ht="62" customHeight="1">
      <x:c r="A35" s="344" t="s">
        <x:v>3801</x:v>
      </x:c>
      <x:c r="B35" s="345" t="str">
        <x:v>共同在房</x:v>
      </x:c>
      <x:c r="C35" s="290" t="str">
        <x:v>本周双方共同在房时间≥30分钟</x:v>
      </x:c>
      <x:c r="D35" s="346" t="n">
        <x:v>20</x:v>
      </x:c>
      <x:c r="E35" s="290" t="str">
        <x:v>CP：只计双方同时处于CP房；闺蜜/挚友/兄弟：计双方同时处于任意同一房间。跨房、挂机和重复时段不计</x:v>
      </x:c>
      <x:c r="F35" s="290" t="str">
        <x:v>达标进入claimable；领取后只计入当前relationship_id，不新增基础互动值</x:v>
      </x:c>
      <x:c r="G35" s="290" t="str">
        <x:v>每周一00:00刷新；未领取奖励随刷新过期</x:v>
      </x:c>
    </x:row>
    <x:row r="36" ht="62" customHeight="1">
      <x:c r="A36" s="344" t="s">
        <x:v>3802</x:v>
      </x:c>
      <x:c r="B36" s="345" t="s">
        <x:v>3803</x:v>
      </x:c>
      <x:c r="C36" s="290" t="s">
        <x:v>3804</x:v>
      </x:c>
      <x:c r="D36" s="346">
        <x:v>20</x:v>
      </x:c>
      <x:c r="E36" s="290" t="str">
        <x:v>按relationship_id统计现网私信/游戏、有效普通/幸运/BOND/CP礼物和戒指；不计日周任务奖励、关系建立、人工补偿及已撤销流水</x:v>
      </x:c>
      <x:c r="F36" s="290" t="str">
        <x:v>达标进入claimable；任一方领取成功后当前关系入账一次</x:v>
      </x:c>
      <x:c r="G36" s="290" t="s">
        <x:v>3797</x:v>
      </x:c>
    </x:row>
    <x:row r="37" ht="58" customHeight="1">
      <x:c r="A37" s="344"/>
      <x:c r="B37" s="345"/>
      <x:c r="C37" s="290"/>
      <x:c r="D37" s="346"/>
      <x:c r="E37" s="290"/>
      <x:c r="F37" s="290"/>
      <x:c r="G37" s="290"/>
    </x:row>
    <x:row r="38">
      <x:c r="A38" s="287"/>
      <x:c r="B38" s="287"/>
      <x:c r="C38" s="287"/>
      <x:c r="D38" s="287"/>
      <x:c r="E38" s="287"/>
      <x:c r="F38" s="287"/>
      <x:c r="G38" s="287"/>
    </x:row>
    <x:row r="39" ht="25" customHeight="1">
      <x:c r="A39" s="340" t="s">
        <x:v>3805</x:v>
      </x:c>
      <x:c r="B39" s="340" t="s">
        <x:v>3805</x:v>
      </x:c>
      <x:c r="C39" s="340" t="s">
        <x:v>3805</x:v>
      </x:c>
      <x:c r="D39" s="340" t="s">
        <x:v>3805</x:v>
      </x:c>
      <x:c r="E39" s="340" t="s">
        <x:v>3805</x:v>
      </x:c>
      <x:c r="F39" s="340" t="s">
        <x:v>3805</x:v>
      </x:c>
      <x:c r="G39" s="340" t="s">
        <x:v>3805</x:v>
      </x:c>
    </x:row>
    <x:row r="40" ht="38" customHeight="1">
      <x:c r="A40" s="347" t="s">
        <x:v>3806</x:v>
      </x:c>
      <x:c r="B40" s="347"/>
      <x:c r="C40" s="291" t="str">
        <x:v>私信和共同游戏只生成现网基础亲密值，不再设置同名日/周任务；共同在房和共同在麦不产生基础值，只推进对应关系任务。</x:v>
      </x:c>
      <x:c r="D40" s="291"/>
      <x:c r="E40" s="291"/>
      <x:c r="F40" s="291"/>
      <x:c r="G40" s="291"/>
    </x:row>
    <x:row r="41" ht="38" customHeight="1">
      <x:c r="A41" s="347" t="s">
        <x:v>3807</x:v>
      </x:c>
      <x:c r="B41" s="347"/>
      <x:c r="C41" s="348" t="str">
        <x:v>日任务按relationship_id统计双方合计有效消费达到1,000金币；周任务按relationship_id分别记录双方各3笔有效付费礼物。</x:v>
      </x:c>
      <x:c r="D41" s="348"/>
      <x:c r="E41" s="348"/>
      <x:c r="F41" s="348"/>
      <x:c r="G41" s="348"/>
    </x:row>
    <x:row r="42" ht="42" customHeight="1">
      <x:c r="A42" s="347" t="s">
        <x:v>3808</x:v>
      </x:c>
      <x:c r="B42" s="347"/>
      <x:c r="C42" s="291" t="str">
        <x:v>有效礼物按普通/幸运/BOND/CP规则自动入账；每个关系子单只推进对应relationship_id，日/周任务领取后固定+10/+20。</x:v>
      </x:c>
      <x:c r="D42" s="291"/>
      <x:c r="E42" s="291"/>
      <x:c r="F42" s="291"/>
      <x:c r="G42" s="291"/>
    </x:row>
    <x:row r="43" ht="38" customHeight="1">
      <x:c r="A43" s="347" t="s">
        <x:v>3809</x:v>
      </x:c>
      <x:c r="B43" s="347"/>
      <x:c r="C43" s="348" t="str">
        <x:v>双方共享当前关系任务；实例唯一键为relationship_id+cycle_type+cycle_id+task_id，任一方领取后整对关系只发一次。</x:v>
      </x:c>
      <x:c r="D43" s="348"/>
      <x:c r="E43" s="348"/>
      <x:c r="F43" s="348"/>
      <x:c r="G43" s="348"/>
    </x:row>
    <x:row r="44" ht="38" customHeight="1">
      <x:c r="A44" s="347" t="s">
        <x:v>3810</x:v>
      </x:c>
      <x:c r="B44" s="347"/>
      <x:c r="C44" s="291" t="str">
        <x:v>日/周任务按每段关系独立刷新；周期结束时未完成或未领取奖励过期，不补领，不影响其他关系。</x:v>
      </x:c>
      <x:c r="D44" s="291"/>
      <x:c r="E44" s="291"/>
      <x:c r="F44" s="291"/>
      <x:c r="G44" s="291"/>
    </x:row>
    <x:row r="45" ht="38" customHeight="1">
      <x:c r="A45" s="347" t="s">
        <x:v>3811</x:v>
      </x:c>
      <x:c r="B45" s="347"/>
      <x:c r="C45" s="348" t="str">
        <x:v>每段关系全部完成只更新自身汇总状态，不新增宝箱或额外奖励；某段关系付费任务未完成不影响其他关系。</x:v>
      </x:c>
      <x:c r="D45" s="348"/>
      <x:c r="E45" s="348"/>
      <x:c r="F45" s="348"/>
      <x:c r="G45" s="348"/>
    </x:row>
    <x:row r="46" ht="40" customHeight="1">
      <x:c r="A46" s="319" t="str">
        <x:v>适用关系</x:v>
      </x:c>
      <x:c r="B46" s="319"/>
      <x:c r="C46" s="325" t="str">
        <x:v>CP、闺蜜、挚友、兄弟均使用同一套4条日任务和4条周任务；CP_DAILY/CP_WEEKLY前缀作为兼容ID保留，不代表仅限CP。</x:v>
      </x:c>
      <x:c r="D46" s="325"/>
      <x:c r="E46" s="325"/>
      <x:c r="F46" s="325"/>
      <x:c r="G46" s="325"/>
    </x:row>
    <x:row r="47" ht="40" customHeight="1">
      <x:c r="A47" s="319" t="str">
        <x:v>多关系扇出</x:v>
      </x:c>
      <x:c r="B47" s="319"/>
      <x:c r="C47" s="331" t="str">
        <x:v>同一有效行为可同时推进多段符合条件的关系。例如A与CP、闺蜜、兄弟在A的CP房共同在房/在麦30分钟，三段关系分别累计30分钟，时长不分摊。</x:v>
      </x:c>
      <x:c r="D47" s="331"/>
      <x:c r="E47" s="331"/>
      <x:c r="F47" s="331"/>
      <x:c r="G47" s="331"/>
    </x:row>
    <x:row r="48" ht="40" customHeight="1">
      <x:c r="A48" s="319" t="str">
        <x:v>房间判定</x:v>
      </x:c>
      <x:c r="B48" s="319"/>
      <x:c r="C48" s="325" t="str">
        <x:v>CP关系共同在房只认CP房；闺蜜、挚友、兄弟认任意同一房间，CP房也可计入这些亲友关系。CP双方只在普通房间同处时，CP同房任务不增长。</x:v>
      </x:c>
      <x:c r="D48" s="325"/>
      <x:c r="E48" s="325"/>
      <x:c r="F48" s="325"/>
      <x:c r="G48" s="325"/>
    </x:row>
    <x:row r="49" ht="40" customHeight="1">
      <x:c r="A49" s="319" t="str">
        <x:v>时长去重</x:v>
      </x:c>
      <x:c r="B49" s="319"/>
      <x:c r="C49" s="331" t="str">
        <x:v>同房/同麦按每段关系的双人有效重叠区间累计；断线重连、重叠会话、客户端重报和重复投递按relationship_id+task_progress_segment_id去重。</x:v>
      </x:c>
      <x:c r="D49" s="331"/>
      <x:c r="E49" s="331"/>
      <x:c r="F49" s="331"/>
      <x:c r="G49" s="331"/>
    </x:row>
    <x:row r="50" ht="40" customHeight="1">
      <x:c r="A50" s="319" t="str">
        <x:v>关系隔离</x:v>
      </x:c>
      <x:c r="B50" s="319"/>
      <x:c r="C50" s="325" t="str">
        <x:v>每段关系独立达标、领取和记账；冻结、解除或失效只停止对应relationship_id，不影响同场景其他有效正式关系。</x:v>
      </x:c>
      <x:c r="D50" s="325"/>
      <x:c r="E50" s="325"/>
      <x:c r="F50" s="325"/>
      <x:c r="G50" s="325"/>
    </x:row>
  </x:sheetData>
  <x:mergeCells>
    <x:mergeCell ref="A1:G1"/>
    <x:mergeCell ref="A2:G2"/>
    <x:mergeCell ref="A23:G23"/>
    <x:mergeCell ref="A31:G31"/>
    <x:mergeCell ref="A39:G39"/>
    <x:mergeCell ref="A40:B40"/>
    <x:mergeCell ref="C40:G40"/>
    <x:mergeCell ref="A41:B41"/>
    <x:mergeCell ref="C41:G41"/>
    <x:mergeCell ref="A42:B42"/>
    <x:mergeCell ref="C42:G42"/>
    <x:mergeCell ref="A43:B43"/>
    <x:mergeCell ref="C43:G43"/>
    <x:mergeCell ref="A44:B44"/>
    <x:mergeCell ref="C44:G44"/>
    <x:mergeCell ref="A45:B45"/>
    <x:mergeCell ref="C45:G45"/>
    <x:mergeCell ref="A46:B46"/>
    <x:mergeCell ref="C46:G46"/>
    <x:mergeCell ref="A47:B47"/>
    <x:mergeCell ref="C47:G47"/>
    <x:mergeCell ref="A48:B48"/>
    <x:mergeCell ref="C48:G48"/>
    <x:mergeCell ref="A49:B49"/>
    <x:mergeCell ref="C49:G49"/>
    <x:mergeCell ref="A50:B50"/>
    <x:mergeCell ref="C50:G50"/>
  </x:mergeCells>
  <x:pageMargins left="0.7" right="0.7" top="0.75" bottom="0.75" header="0.3" footer="0.3"/>
  <x:tableParts count="1">
    <x:tablePart xmlns:r="http://schemas.openxmlformats.org/officeDocument/2006/relationships" r:id="R359be911fb594eff"/>
  </x:tableParts>
</x:worksheet>
</file>