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8083430a2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53d5b295c89645e7"/>
    <x:sheet xmlns:r="http://schemas.openxmlformats.org/officeDocument/2006/relationships" name="等级门槛" sheetId="2" r:id="Rfda274c52f874848"/>
    <x:sheet xmlns:r="http://schemas.openxmlformats.org/officeDocument/2006/relationships" name="物料与UI" sheetId="3" r:id="R923e844729cf4f7b"/>
    <x:sheet xmlns:r="http://schemas.openxmlformats.org/officeDocument/2006/relationships" name="礼物与戒指" sheetId="4" r:id="Rd2c434b2546c431c"/>
    <x:sheet xmlns:r="http://schemas.openxmlformats.org/officeDocument/2006/relationships" name="迁移与规则" sheetId="5" r:id="Rae57780ab96a439c"/>
    <x:sheet xmlns:r="http://schemas.openxmlformats.org/officeDocument/2006/relationships" name="样本回放" sheetId="6" r:id="Rcf91fa6ce8884c5d"/>
  </x:sheets>
</x:workbook>
</file>

<file path=xl/sharedStrings.xml><?xml version="1.0" encoding="utf-8"?>
<x:sst xmlns:x="http://schemas.openxmlformats.org/spreadsheetml/2006/main">
  <x:si>
    <x:t xml:space="preserve">方案定义</x:t>
  </x:si>
  <x:si>
    <x:r>
      <x:rPr>
        <x:b/>
        <x:sz val="10"/>
        <x:color rgb="FFFFFFFF"/>
        <x:rFont val="Linux Libertine G"/>
        <x:family val="2"/>
      </x:rPr>
      <x:t xml:space="preserve">五档有效样本回放（</x:t>
    </x:r>
    <x:r>
      <x:rPr>
        <x:b/>
        <x:sz val="10"/>
        <x:color rgb="FFFFFFFF"/>
        <x:rFont val="Arial"/>
      </x:rPr>
      <x:t xml:space="preserve">n=311</x:t>
    </x:r>
    <x:r>
      <x:rPr>
        <x:b/>
        <x:sz val="10"/>
        <x:color rgb="FFFFFFFF"/>
        <x:rFont val="Linux Libertine G"/>
        <x:family val="2"/>
      </x:rPr>
      <x:t xml:space="preserve">）</x:t>
    </x:r>
  </x:si>
  <x:si>
    <x:t xml:space="preserve">问题</x:t>
  </x:si>
  <x:si>
    <x:t xml:space="preserve">明确口径</x:t>
  </x:si>
  <x:si>
    <x:t xml:space="preserve">为什么</x:t>
  </x:si>
  <x:si>
    <x:t xml:space="preserve">保留什么</x:t>
  </x:si>
  <x:si>
    <x:t xml:space="preserve">新增什么</x:t>
  </x:si>
  <x:si>
    <x:t xml:space="preserve">不再做什么</x:t>
  </x:si>
  <x:si>
    <x:t xml:space="preserve">物料档位</x:t>
  </x:si>
  <x:si>
    <x:t xml:space="preserve">等级范围</x:t>
  </x:si>
  <x:si>
    <x:t xml:space="preserve">起点</x:t>
  </x:si>
  <x:si>
    <x:t xml:space="preserve">有效样本数</x:t>
  </x:si>
  <x:si>
    <x:t xml:space="preserve">占比</x:t>
  </x:si>
  <x:si>
    <x:t xml:space="preserve">正式等级</x:t>
  </x:si>
  <x:si>
    <x:t xml:space="preserve">Lv1-Lv100</x:t>
  </x:si>
  <x:si>
    <x:t xml:space="preserve">五级会把百万级跨度压成四次巨大跳档</x:t>
  </x:si>
  <x:si>
    <x:r>
      <x:rPr>
        <x:sz val="10"/>
        <x:color rgb="FF24343F"/>
        <x:rFont val="Linux Libertine G"/>
        <x:family val="2"/>
      </x:rPr>
      <x:t xml:space="preserve">同一</x:t>
    </x:r>
    <x:r>
      <x:rPr>
        <x:sz val="10"/>
        <x:color rgb="FF24343F"/>
        <x:rFont val="Arial"/>
      </x:rPr>
      <x:t xml:space="preserve">CP EXP</x:t>
    </x:r>
    <x:r>
      <x:rPr>
        <x:sz val="10"/>
        <x:color rgb="FF24343F"/>
        <x:rFont val="Linux Libertine G"/>
        <x:family val="2"/>
      </x:rPr>
      <x:t xml:space="preserve">账户</x:t>
    </x:r>
  </x:si>
  <x:si>
    <x:r>
      <x:rPr>
        <x:sz val="10"/>
        <x:color rgb="FF24343F"/>
        <x:rFont val="Arial"/>
      </x:rPr>
      <x:t xml:space="preserve">99</x:t>
    </x:r>
    <x:r>
      <x:rPr>
        <x:sz val="10"/>
        <x:color rgb="FF24343F"/>
        <x:rFont val="Linux Libertine G"/>
        <x:family val="2"/>
      </x:rPr>
      <x:t xml:space="preserve">次真实升级反馈</x:t>
    </x:r>
  </x:si>
  <x:si>
    <x:r>
      <x:rPr>
        <x:sz val="10"/>
        <x:color rgb="FF24343F"/>
        <x:rFont val="Linux Libertine G"/>
        <x:family val="2"/>
      </x:rPr>
      <x:t xml:space="preserve">荣誉节点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隐藏等级</x:t>
    </x:r>
  </x:si>
  <x:si>
    <x:t xml:space="preserve">G1</x:t>
  </x:si>
  <x:si>
    <x:t xml:space="preserve">Lv1-Lv20</x:t>
  </x:si>
  <x:si>
    <x:t xml:space="preserve">物料数量</x:t>
  </x:si>
  <x:si>
    <x:r>
      <x:rPr>
        <x:sz val="10"/>
        <x:color rgb="FF24343F"/>
        <x:rFont val="Arial"/>
      </x:rPr>
      <x:t xml:space="preserve">G1-G5</x:t>
    </x:r>
    <x:r>
      <x:rPr>
        <x:sz val="10"/>
        <x:color rgb="FF24343F"/>
        <x:rFont val="Linux Libertine G"/>
        <x:family val="2"/>
      </x:rPr>
      <x:t xml:space="preserve">共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</x:t>
    </x:r>
  </x:si>
  <x:si>
    <x:r>
      <x:rPr>
        <x:sz val="10"/>
        <x:color rgb="FF24343F"/>
        <x:rFont val="Linux Libertine G"/>
        <x:family val="2"/>
      </x:rPr>
      <x:t xml:space="preserve">设计时间只承担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套完整视觉</x:t>
    </x:r>
  </x:si>
  <x:si>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套独立物料</x:t>
    </x:r>
  </x:si>
  <x:si>
    <x:t xml:space="preserve">G2</x:t>
  </x:si>
  <x:si>
    <x:t xml:space="preserve">Lv21-Lv40</x:t>
  </x:si>
  <x:si>
    <x:t xml:space="preserve">建立门槛</x:t>
  </x:si>
  <x:si>
    <x:t xml:space="preserve">戒指申请流程</x:t>
  </x:si>
  <x:si>
    <x:r>
      <x:rPr>
        <x:sz val="10"/>
        <x:color rgb="FF24343F"/>
        <x:rFont val="Linux Libertine G"/>
        <x:family val="2"/>
      </x:rPr>
      <x:t xml:space="preserve">成功结成注入</x:t>
    </x:r>
    <x:r>
      <x:rPr>
        <x:sz val="10"/>
        <x:color rgb="FF24343F"/>
        <x:rFont val="Arial"/>
      </x:rPr>
      <x:t xml:space="preserve">1,000 CP EXP</x:t>
    </x:r>
  </x:si>
  <x:si>
    <x:r>
      <x:rPr>
        <x:sz val="10"/>
        <x:color rgb="FF24343F"/>
        <x:rFont val="Linux Libertine G"/>
        <x:family val="2"/>
      </x:rPr>
      <x:t xml:space="preserve">用</x:t>
    </x:r>
    <x:r>
      <x:rPr>
        <x:sz val="10"/>
        <x:color rgb="FF24343F"/>
        <x:rFont val="Arial"/>
      </x:rPr>
      <x:t xml:space="preserve">CP EXP</x:t>
    </x:r>
    <x:r>
      <x:rPr>
        <x:sz val="10"/>
        <x:color rgb="FF24343F"/>
        <x:rFont val="Linux Libertine G"/>
        <x:family val="2"/>
      </x:rPr>
      <x:t xml:space="preserve">反推申请资格</x:t>
    </x:r>
  </x:si>
  <x:si>
    <x:t xml:space="preserve">G3</x:t>
  </x:si>
  <x:si>
    <x:t xml:space="preserve">Lv41-Lv60</x:t>
  </x:si>
  <x:si>
    <x:t xml:space="preserve">校准样本</x:t>
  </x:si>
  <x:si>
    <x:r>
      <x:rPr>
        <x:sz val="10"/>
        <x:color rgb="FF24343F"/>
        <x:rFont val="Arial"/>
      </x:rPr>
      <x:t xml:space="preserve">312</x:t>
    </x:r>
    <x:r>
      <x:rPr>
        <x:sz val="10"/>
        <x:color rgb="FF24343F"/>
        <x:rFont val="Linux Libertine G"/>
        <x:family val="2"/>
      </x:rPr>
      <x:t xml:space="preserve">对保留；</x:t>
    </x:r>
    <x:r>
      <x:rPr>
        <x:sz val="10"/>
        <x:color rgb="FF24343F"/>
        <x:rFont val="Arial"/>
      </x:rPr>
      <x:t xml:space="preserve">311</x:t>
    </x:r>
    <x:r>
      <x:rPr>
        <x:sz val="10"/>
        <x:color rgb="FF24343F"/>
        <x:rFont val="Linux Libertine G"/>
        <x:family val="2"/>
      </x:rPr>
      <x:t xml:space="preserve">对参与设定</x:t>
    </x:r>
  </x:si>
  <x:si>
    <x:r>
      <x:rPr>
        <x:sz val="10"/>
        <x:color rgb="FF24343F"/>
        <x:rFont val="Arial"/>
      </x:rPr>
      <x:t xml:space="preserve">15,705,862</x:t>
    </x:r>
    <x:r>
      <x:rPr>
        <x:sz val="10"/>
        <x:color rgb="FF24343F"/>
        <x:rFont val="Linux Libertine G"/>
        <x:family val="2"/>
      </x:rPr>
      <x:t xml:space="preserve">为唯一极端样本</x:t>
    </x:r>
  </x:si>
  <x:si>
    <x:t xml:space="preserve">特殊样本照常迁移展示</x:t>
  </x:si>
  <x:si>
    <x:t xml:space="preserve">参与档位设定标记</x:t>
  </x:si>
  <x:si>
    <x:t xml:space="preserve">用极端值拉高全体门槛</x:t>
  </x:si>
  <x:si>
    <x:t xml:space="preserve">G4</x:t>
  </x:si>
  <x:si>
    <x:t xml:space="preserve">Lv61-Lv80</x:t>
  </x:si>
  <x:si>
    <x:t xml:space="preserve">等级曲线</x:t>
  </x:si>
  <x:si>
    <x:r>
      <x:rPr>
        <x:sz val="10"/>
        <x:color rgb="FF24343F"/>
        <x:rFont val="Arial"/>
      </x:rPr>
      <x:t xml:space="preserve">Lv1</x:t>
    </x:r>
    <x:r>
      <x:rPr>
        <x:sz val="10"/>
        <x:color rgb="FF24343F"/>
        <x:rFont val="Linux Libertine G"/>
        <x:family val="2"/>
      </x:rPr>
      <x:t xml:space="preserve">初始</x:t>
    </x:r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；</x:t>
    </x:r>
    <x:r>
      <x:rPr>
        <x:sz val="10"/>
        <x:color rgb="FF24343F"/>
        <x:rFont val="Arial"/>
      </x:rPr>
      <x:t xml:space="preserve">Lv1</x:t>
    </x:r>
    <x:r>
      <x:rPr>
        <x:sz val="10"/>
        <x:color rgb="FF24343F"/>
        <x:rFont val="Linux Libertine G"/>
        <x:family val="2"/>
      </x:rPr>
      <x:t xml:space="preserve">到</x:t>
    </x:r>
    <x:r>
      <x:rPr>
        <x:sz val="10"/>
        <x:color rgb="FF24343F"/>
        <x:rFont val="Arial"/>
      </x:rPr>
      <x:t xml:space="preserve">Lv2</x:t>
    </x:r>
    <x:r>
      <x:rPr>
        <x:sz val="10"/>
        <x:color rgb="FF24343F"/>
        <x:rFont val="Linux Libertine G"/>
        <x:family val="2"/>
      </x:rPr>
      <x:t xml:space="preserve">为</x:t>
    </x:r>
    <x:r>
      <x:rPr>
        <x:sz val="10"/>
        <x:color rgb="FF24343F"/>
        <x:rFont val="Arial"/>
      </x:rPr>
      <x:t xml:space="preserve">500</x:t>
    </x:r>
    <x:r>
      <x:rPr>
        <x:sz val="10"/>
        <x:color rgb="FF24343F"/>
        <x:rFont val="Linux Libertine G"/>
        <x:family val="2"/>
      </x:rPr>
      <x:t xml:space="preserve">；每级增量增长</x:t>
    </x:r>
    <x:r>
      <x:rPr>
        <x:sz val="10"/>
        <x:color rgb="FF24343F"/>
        <x:rFont val="Arial"/>
      </x:rPr>
      <x:t xml:space="preserve">8.5%</x:t>
    </x:r>
    <x:r>
      <x:rPr>
        <x:sz val="10"/>
        <x:color rgb="FF24343F"/>
        <x:rFont val="Linux Libertine G"/>
        <x:family val="2"/>
      </x:rPr>
      <x:t xml:space="preserve">；按</x:t>
    </x:r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取整</x:t>
    </x:r>
  </x:si>
  <x:si>
    <x:r>
      <x:rPr>
        <x:sz val="10"/>
        <x:color rgb="FF24343F"/>
        <x:rFont val="Linux Libertine G"/>
        <x:family val="2"/>
      </x:rPr>
      <x:t xml:space="preserve">初始经验进入累计门槛；</x:t>
    </x:r>
    <x:r>
      <x:rPr>
        <x:sz val="10"/>
        <x:color rgb="FF24343F"/>
        <x:rFont val="Arial"/>
      </x:rPr>
      <x:t xml:space="preserve">8.5%</x:t>
    </x:r>
    <x:r>
      <x:rPr>
        <x:sz val="10"/>
        <x:color rgb="FF24343F"/>
        <x:rFont val="Linux Libertine G"/>
        <x:family val="2"/>
      </x:rPr>
      <x:t xml:space="preserve">继续为高阶用户保留</x:t>
    </x:r>
    <x:r>
      <x:rPr>
        <x:sz val="10"/>
        <x:color rgb="FF24343F"/>
        <x:rFont val="Arial"/>
      </x:rPr>
      <x:t xml:space="preserve">Lv80</x:t>
    </x:r>
    <x:r>
      <x:rPr>
        <x:sz val="10"/>
        <x:color rgb="FF24343F"/>
        <x:rFont val="Linux Libertine G"/>
        <x:family val="2"/>
      </x:rPr>
      <x:t xml:space="preserve">过渡</x:t>
    </x:r>
  </x:si>
  <x:si>
    <x:t xml:space="preserve">现有增长来源</x:t>
  </x:si>
  <x:si>
    <x:t xml:space="preserve">可配置参数</x:t>
  </x:si>
  <x:si>
    <x:t xml:space="preserve">手工拼接档位</x:t>
  </x:si>
  <x:si>
    <x:t xml:space="preserve">G5</x:t>
  </x:si>
  <x:si>
    <x:t xml:space="preserve">Lv81-Lv100</x:t>
  </x:si>
  <x:si>
    <x:t xml:space="preserve">高阶用户</x:t>
  </x:si>
  <x:si>
    <x:r>
      <x:rPr>
        <x:sz val="10"/>
        <x:color rgb="FF24343F"/>
        <x:rFont val="Linux Libertine G"/>
        <x:family val="2"/>
      </x:rPr>
      <x:t xml:space="preserve">有效最高</x:t>
    </x:r>
    <x:r>
      <x:rPr>
        <x:sz val="10"/>
        <x:color rgb="FF24343F"/>
        <x:rFont val="Arial"/>
      </x:rPr>
      <x:t xml:space="preserve">3,550,012</x:t>
    </x:r>
    <x:r>
      <x:rPr>
        <x:sz val="10"/>
        <x:color rgb="FF24343F"/>
        <x:rFont val="Linux Libertine G"/>
        <x:family val="2"/>
      </x:rPr>
      <x:t xml:space="preserve">映射</x:t>
    </x:r>
    <x:r>
      <x:rPr>
        <x:sz val="10"/>
        <x:color rgb="FF24343F"/>
        <x:rFont val="Arial"/>
      </x:rPr>
      <x:t xml:space="preserve">Lv79/G4</x:t>
    </x:r>
  </x:si>
  <x:si>
    <x:r>
      <x:rPr>
        <x:sz val="10"/>
        <x:color rgb="FF24343F"/>
        <x:rFont val="Linux Libertine G"/>
        <x:family val="2"/>
      </x:rPr>
      <x:t xml:space="preserve">下一级</x:t>
    </x:r>
    <x:r>
      <x:rPr>
        <x:sz val="10"/>
        <x:color rgb="FF24343F"/>
        <x:rFont val="Arial"/>
      </x:rPr>
      <x:t xml:space="preserve">3,697,400</x:t>
    </x:r>
    <x:r>
      <x:rPr>
        <x:sz val="10"/>
        <x:color rgb="FF24343F"/>
        <x:rFont val="Linux Libertine G"/>
        <x:family val="2"/>
      </x:rPr>
      <x:t xml:space="preserve">；</x:t>
    </x:r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差</x:t>
    </x:r>
    <x:r>
      <x:rPr>
        <x:sz val="10"/>
        <x:color rgb="FF24343F"/>
        <x:rFont val="Arial"/>
      </x:rPr>
      <x:t xml:space="preserve">462,088</x:t>
    </x:r>
  </x:si>
  <x:si>
    <x:t xml:space="preserve">累计值不清零</x:t>
  </x:si>
  <x:si>
    <x:r>
      <x:rPr>
        <x:sz val="10"/>
        <x:color rgb="FF24343F"/>
        <x:rFont val="Linux Libertine G"/>
        <x:family val="2"/>
      </x:rPr>
      <x:t xml:space="preserve">距</x:t>
    </x:r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有</x:t>
    </x:r>
    <x:r>
      <x:rPr>
        <x:sz val="10"/>
        <x:color rgb="FF24343F"/>
        <x:rFont val="Arial"/>
      </x:rPr>
      <x:t xml:space="preserve">2</x:t>
    </x:r>
    <x:r>
      <x:rPr>
        <x:sz val="10"/>
        <x:color rgb="FF24343F"/>
        <x:rFont val="Linux Libertine G"/>
        <x:family val="2"/>
      </x:rPr>
      <x:t xml:space="preserve">级、距</x:t>
    </x:r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有</x:t>
    </x:r>
    <x:r>
      <x:rPr>
        <x:sz val="10"/>
        <x:color rgb="FF24343F"/>
        <x:rFont val="Arial"/>
      </x:rPr>
      <x:t xml:space="preserve">21</x:t>
    </x:r>
    <x:r>
      <x:rPr>
        <x:sz val="10"/>
        <x:color rgb="FF24343F"/>
        <x:rFont val="Linux Libertine G"/>
        <x:family val="2"/>
      </x:rPr>
      <x:t xml:space="preserve">级</x:t>
    </x:r>
  </x:si>
  <x:si>
    <x:r>
      <x:rPr>
        <x:sz val="10"/>
        <x:color rgb="FF24343F"/>
        <x:rFont val="Linux Libertine G"/>
        <x:family val="2"/>
      </x:rPr>
      <x:t xml:space="preserve">上线即占用</x:t>
    </x:r>
    <x:r>
      <x:rPr>
        <x:sz val="10"/>
        <x:color rgb="FF24343F"/>
        <x:rFont val="Arial"/>
      </x:rPr>
      <x:t xml:space="preserve">G5</x:t>
    </x:r>
  </x:si>
  <x:si>
    <x:t xml:space="preserve">普通升级</x:t>
  </x:si>
  <x:si>
    <x:t xml:space="preserve">更新等级数字、进度、轻提示</x:t>
  </x:si>
  <x:si>
    <x:t xml:space="preserve">无需新素材</x:t>
  </x:si>
  <x:si>
    <x:t xml:space="preserve">统一组件</x:t>
  </x:si>
  <x:si>
    <x:t xml:space="preserve">动态配置</x:t>
  </x:si>
  <x:si>
    <x:t xml:space="preserve">每级换装</x:t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</x:si>
  <x:si>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档升级</x:t>
    </x:r>
  </x:si>
  <x:si>
    <x:r>
      <x:rPr>
        <x:sz val="10"/>
        <x:color rgb="FF24343F"/>
        <x:rFont val="Arial"/>
      </x:rPr>
      <x:t xml:space="preserve">Lv21/41/61/81</x:t>
    </x:r>
    <x:r>
      <x:rPr>
        <x:sz val="10"/>
        <x:color rgb="FF24343F"/>
        <x:rFont val="Linux Libertine G"/>
        <x:family val="2"/>
      </x:rPr>
      <x:t xml:space="preserve">换整套物料</x:t>
    </x:r>
  </x:si>
  <x:si>
    <x:t xml:space="preserve">设计变化集中且明显</x:t>
  </x:si>
  <x:si>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套物料</x:t>
    </x:r>
  </x:si>
  <x:si>
    <x:r>
      <x:rPr>
        <x:sz val="10"/>
        <x:color rgb="FF24343F"/>
        <x:rFont val="Arial"/>
      </x:rPr>
      <x:t xml:space="preserve">4</x:t>
    </x:r>
    <x:r>
      <x:rPr>
        <x:sz val="10"/>
        <x:color rgb="FF24343F"/>
        <x:rFont val="Linux Libertine G"/>
        <x:family val="2"/>
      </x:rPr>
      <x:t xml:space="preserve">次换档表现</x:t>
    </x:r>
  </x:si>
  <x:si>
    <x:t xml:space="preserve">只换数字却叫新档</x:t>
  </x:si>
  <x:si>
    <x:t xml:space="preserve">关键等级节奏</x:t>
  </x:si>
  <x:si>
    <x:t xml:space="preserve">需要裁决</x:t>
  </x:si>
  <x:si>
    <x:t xml:space="preserve">等级</x:t>
  </x:si>
  <x:si>
    <x:t xml:space="preserve">累计门槛</x:t>
  </x:si>
  <x:si>
    <x:t xml:space="preserve">本段增量</x:t>
  </x:si>
  <x:si>
    <x:t xml:space="preserve">完全免费本段天数</x:t>
  </x:si>
  <x:si>
    <x:t xml:space="preserve">意义</x:t>
  </x:si>
  <x:si>
    <x:t xml:space="preserve">优先级</x:t>
  </x:si>
  <x:si>
    <x:t xml:space="preserve">当前建议</x:t>
  </x:si>
  <x:si>
    <x:t xml:space="preserve">状态</x:t>
  </x:si>
  <x:si>
    <x:t xml:space="preserve">Lv2</x:t>
  </x:si>
  <x:si>
    <x:t xml:space="preserve">数字等级进度</x:t>
  </x:si>
  <x:si>
    <x:t xml:space="preserve">P0</x:t>
  </x:si>
  <x:si>
    <x:r>
      <x:rPr>
        <x:sz val="10"/>
        <x:color rgb="FF24343F"/>
        <x:rFont val="Linux Libertine G"/>
        <x:family val="2"/>
      </x:rPr>
      <x:t xml:space="preserve">正式等级是否允许超过</x:t>
    </x:r>
    <x:r>
      <x:rPr>
        <x:sz val="10"/>
        <x:color rgb="FF24343F"/>
        <x:rFont val="Arial"/>
      </x:rPr>
      <x:t xml:space="preserve">5</x:t>
    </x:r>
  </x:si>
  <x:si>
    <x:r>
      <x:rPr>
        <x:sz val="10"/>
        <x:color rgb="FF24343F"/>
        <x:rFont val="Linux Libertine G"/>
        <x:family val="2"/>
      </x:rPr>
      <x:t xml:space="preserve">允许则采用</x:t>
    </x:r>
    <x:r>
      <x:rPr>
        <x:sz val="10"/>
        <x:color rgb="FF24343F"/>
        <x:rFont val="Arial"/>
      </x:rPr>
      <x:t xml:space="preserve">Lv1-Lv100</x:t>
    </x:r>
  </x:si>
  <x:si>
    <x:t xml:space="preserve">待技术确认</x:t>
  </x:si>
  <x:si>
    <x:t xml:space="preserve">Lv5</x:t>
  </x:si>
  <x:si>
    <x:r>
      <x:rPr>
        <x:sz val="10"/>
        <x:color rgb="FF24343F"/>
        <x:rFont val="Linux Libertine G"/>
        <x:family val="2"/>
      </x:rPr>
      <x:t xml:space="preserve">建立门槛与初始</x:t>
    </x:r>
    <x:r>
      <x:rPr>
        <x:sz val="10"/>
        <x:color rgb="FF24343F"/>
        <x:rFont val="Arial"/>
      </x:rPr>
      <x:t xml:space="preserve">EXP</x:t>
    </x:r>
  </x:si>
  <x:si>
    <x:t xml:space="preserve">Lv10</x:t>
  </x:si>
  <x:si>
    <x:t xml:space="preserve">等级数字是否动态渲染</x:t>
  </x:si>
  <x:si>
    <x:r>
      <x:rPr>
        <x:sz val="10"/>
        <x:color rgb="FF24343F"/>
        <x:rFont val="Linux Libertine G"/>
        <x:family val="2"/>
      </x:rPr>
      <x:t xml:space="preserve">必须动态，否则物料无法控制在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</x:t>
    </x:r>
  </x:si>
  <x:si>
    <x:r>
      <x:rPr>
        <x:sz val="10"/>
        <x:color rgb="FF24343F"/>
        <x:rFont val="Linux Libertine G"/>
        <x:family val="2"/>
      </x:rPr>
      <x:t xml:space="preserve">待设计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研发</x:t>
    </x:r>
  </x:si>
  <x:si>
    <x:t xml:space="preserve">Lv20</x:t>
  </x:si>
  <x:si>
    <x:r>
      <x:rPr>
        <x:sz val="10"/>
        <x:color rgb="FF24343F"/>
        <x:rFont val="Arial"/>
      </x:rPr>
      <x:t xml:space="preserve">30/90</x:t>
    </x:r>
    <x:r>
      <x:rPr>
        <x:sz val="10"/>
        <x:color rgb="FF24343F"/>
        <x:rFont val="Linux Libertine G"/>
        <x:family val="2"/>
      </x:rPr>
      <x:t xml:space="preserve">天回放</x:t>
    </x:r>
  </x:si>
  <x:si>
    <x:t xml:space="preserve">正式门槛发布前必做</x:t>
  </x:si>
  <x:si>
    <x:t xml:space="preserve">待数据</x:t>
  </x:si>
  <x:si>
    <x:t xml:space="preserve">Lv21</x:t>
  </x:si>
  <x:si>
    <x:t xml:space="preserve">切换整套物料</x:t>
  </x:si>
  <x:si>
    <x:t xml:space="preserve">P1</x:t>
  </x:si>
  <x:si>
    <x:r>
      <x:rPr>
        <x:sz val="10"/>
        <x:color rgb="FF24343F"/>
        <x:rFont val="Arial"/>
      </x:rPr>
      <x:t xml:space="preserve">G4/G5</x:t>
    </x:r>
    <x:r>
      <x:rPr>
        <x:sz val="10"/>
        <x:color rgb="FF24343F"/>
        <x:rFont val="Linux Libertine G"/>
        <x:family val="2"/>
      </x:rPr>
      <x:t xml:space="preserve">是否新增礼物</x:t>
    </x:r>
  </x:si>
  <x:si>
    <x:t xml:space="preserve">本版不新增；如需增加，单独立项并重新评审经济模型</x:t>
  </x:si>
  <x:si>
    <x:t xml:space="preserve">已收敛</x:t>
  </x:si>
  <x:si>
    <x:t xml:space="preserve">Lv40</x:t>
  </x:si>
  <x:si>
    <x:t xml:space="preserve">戒指调整</x:t>
  </x:si>
  <x:si>
    <x:t xml:space="preserve">本轮不动；核验单档效率后再决定</x:t>
  </x:si>
  <x:si>
    <x:t xml:space="preserve">待后台数据</x:t>
  </x:si>
  <x:si>
    <x:t xml:space="preserve">Lv41</x:t>
  </x:si>
  <x:si>
    <x:r>
      <x:rPr>
        <x:sz val="10"/>
        <x:color rgb="FF24343F"/>
        <x:rFont val="Linux Libertine G"/>
        <x:family val="2"/>
      </x:rPr>
      <x:t xml:space="preserve">私聊背景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全站飘屏</x:t>
    </x:r>
  </x:si>
  <x:si>
    <x:t xml:space="preserve">延后</x:t>
  </x:si>
  <x:si>
    <x:t xml:space="preserve">不进本期</x:t>
  </x:si>
  <x:si>
    <x:t xml:space="preserve">Lv60</x:t>
  </x:si>
  <x:si>
    <x:t xml:space="preserve">Lv61</x:t>
  </x:si>
  <x:si>
    <x:t xml:space="preserve">Lv75</x:t>
  </x:si>
  <x:si>
    <x:t xml:space="preserve">来源与限制</x:t>
  </x:si>
  <x:si>
    <x:t xml:space="preserve">Lv79</x:t>
  </x:si>
  <x:si>
    <x:t xml:space="preserve">当前有效最高样本</x:t>
  </x:si>
  <x:si>
    <x:t xml:space="preserve">来源</x:t>
  </x:si>
  <x:si>
    <x:t xml:space="preserve">用途</x:t>
  </x:si>
  <x:si>
    <x:t xml:space="preserve">Lv80</x:t>
  </x:si>
  <x:si>
    <x:r>
      <x:rPr>
        <x:sz val="10"/>
        <x:color rgb="FF24343F"/>
        <x:rFont val="Arial"/>
      </x:rPr>
      <x:t xml:space="preserve">312</x:t>
    </x:r>
    <x:r>
      <x:rPr>
        <x:sz val="10"/>
        <x:color rgb="FF24343F"/>
        <x:rFont val="Linux Libertine G"/>
        <x:family val="2"/>
      </x:rPr>
      <x:t xml:space="preserve">对现网静态值、增长规则和</x:t>
    </x:r>
    <x:r>
      <x:rPr>
        <x:sz val="10"/>
        <x:color rgb="FF24343F"/>
        <x:rFont val="Arial"/>
      </x:rPr>
      <x:t xml:space="preserve">1</x:t>
    </x:r>
    <x:r>
      <x:rPr>
        <x:sz val="10"/>
        <x:color rgb="FF24343F"/>
        <x:rFont val="Linux Libertine G"/>
        <x:family val="2"/>
      </x:rPr>
      <x:t xml:space="preserve">个</x:t>
    </x:r>
    <x:r>
      <x:rPr>
        <x:sz val="10"/>
        <x:color rgb="FF24343F"/>
        <x:rFont val="Arial"/>
      </x:rPr>
      <x:t xml:space="preserve">BOND+3</x:t>
    </x:r>
    <x:r>
      <x:rPr>
        <x:sz val="10"/>
        <x:color rgb="FF24343F"/>
        <x:rFont val="Linux Libertine G"/>
        <x:family val="2"/>
      </x:rPr>
      <x:t xml:space="preserve">个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礼物配置</x:t>
    </x:r>
  </x:si>
  <x:si>
    <x:t xml:space="preserve">Lv81</x:t>
  </x:si>
  <x:si>
    <x:t xml:space="preserve">Lv90</x:t>
  </x:si>
  <x:si>
    <x:t xml:space="preserve">用户确认</x:t>
  </x:si>
  <x:si>
    <x:t xml:space="preserve">Lv95</x:t>
  </x:si>
  <x:si>
    <x:t xml:space="preserve">限制</x:t>
  </x:si>
  <x:si>
    <x:r>
      <x:rPr>
        <x:sz val="10"/>
        <x:color rgb="FF24343F"/>
        <x:rFont val="Linux Libertine G"/>
        <x:family val="2"/>
      </x:rPr>
      <x:t xml:space="preserve">当前只有静态分布，没有最近</x:t>
    </x:r>
    <x:r>
      <x:rPr>
        <x:sz val="10"/>
        <x:color rgb="FF24343F"/>
        <x:rFont val="Arial"/>
      </x:rPr>
      <x:t xml:space="preserve">30/90</x:t>
    </x:r>
    <x:r>
      <x:rPr>
        <x:sz val="10"/>
        <x:color rgb="FF24343F"/>
        <x:rFont val="Linux Libertine G"/>
        <x:family val="2"/>
      </x:rPr>
      <x:t xml:space="preserve">天增量和付费频次</x:t>
    </x:r>
  </x:si>
  <x:si>
    <x:t xml:space="preserve">Lv100</x:t>
  </x:si>
  <x:si>
    <x:t xml:space="preserve">真实封顶</x:t>
  </x:si>
  <x:si>
    <x:t xml:space="preserve">结论边界</x:t>
  </x:si>
  <x:si>
    <x:r>
      <x:rPr>
        <x:sz val="10"/>
        <x:color rgb="FF24343F"/>
        <x:rFont val="Linux Libertine G"/>
        <x:family val="2"/>
      </x:rPr>
      <x:t xml:space="preserve">本版只优化</x:t>
    </x:r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级档位曲线；五档仍各</x:t>
    </x:r>
    <x:r>
      <x:rPr>
        <x:sz val="10"/>
        <x:color rgb="FF24343F"/>
        <x:rFont val="Arial"/>
      </x:rPr>
      <x:t xml:space="preserve">20</x:t>
    </x:r>
    <x:r>
      <x:rPr>
        <x:sz val="10"/>
        <x:color rgb="FF24343F"/>
        <x:rFont val="Linux Libertine G"/>
        <x:family val="2"/>
      </x:rPr>
      <x:t xml:space="preserve">级；礼物严格恢复附件，不把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个物料档位等同为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个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礼物</x:t>
    </x:r>
  </x:si>
  <x:si>
    <x:r>
      <x:rPr>
        <x:b/>
        <x:sz val="10"/>
        <x:color rgb="FFFFFFFF"/>
        <x:rFont val="Arial"/>
      </x:rPr>
      <x:t xml:space="preserve">v3.1</x:t>
    </x:r>
    <x:r>
      <x:rPr>
        <x:b/>
        <x:sz val="10"/>
        <x:color rgb="FFFFFFFF"/>
        <x:rFont val="Linux Libertine G"/>
        <x:family val="2"/>
      </x:rPr>
      <x:t xml:space="preserve">（零起点）与 </x:t>
    </x:r>
    <x:r>
      <x:rPr>
        <x:b/>
        <x:sz val="10"/>
        <x:color rgb="FFFFFFFF"/>
        <x:rFont val="Arial"/>
      </x:rPr>
      <x:t xml:space="preserve">v3.2</x:t>
    </x:r>
    <x:r>
      <x:rPr>
        <x:b/>
        <x:sz val="10"/>
        <x:color rgb="FFFFFFFF"/>
        <x:rFont val="Linux Libertine G"/>
        <x:family val="2"/>
      </x:rPr>
      <x:t xml:space="preserve">（结成注入</x:t>
    </x:r>
    <x:r>
      <x:rPr>
        <x:b/>
        <x:sz val="10"/>
        <x:color rgb="FFFFFFFF"/>
        <x:rFont val="Arial"/>
      </x:rPr>
      <x:t xml:space="preserve">1,000</x:t>
    </x:r>
    <x:r>
      <x:rPr>
        <x:b/>
        <x:sz val="10"/>
        <x:color rgb="FFFFFFFF"/>
        <x:rFont val="Linux Libertine G"/>
        <x:family val="2"/>
      </x:rPr>
      <x:t xml:space="preserve">）档位对比</x:t>
    </x:r>
  </x:si>
  <x:si>
    <x:t xml:space="preserve">指标</x:t>
  </x:si>
  <x:si>
    <x:r>
      <x:rPr>
        <x:b/>
        <x:sz val="10"/>
        <x:color rgb="FFFFFFFF"/>
        <x:rFont val="Arial"/>
      </x:rPr>
      <x:t xml:space="preserve">v3.1</x:t>
    </x:r>
    <x:r>
      <x:rPr>
        <x:b/>
        <x:sz val="10"/>
        <x:color rgb="FFFFFFFF"/>
        <x:rFont val="Linux Libertine G"/>
        <x:family val="2"/>
      </x:rPr>
      <x:t xml:space="preserve">（</x:t>
    </x:r>
    <x:r>
      <x:rPr>
        <x:b/>
        <x:sz val="10"/>
        <x:color rgb="FFFFFFFF"/>
        <x:rFont val="Arial"/>
      </x:rPr>
      <x:t xml:space="preserve">7%</x:t>
    </x:r>
    <x:r>
      <x:rPr>
        <x:b/>
        <x:sz val="10"/>
        <x:color rgb="FFFFFFFF"/>
        <x:rFont val="Linux Libertine G"/>
        <x:family val="2"/>
      </x:rPr>
      <x:t xml:space="preserve">，零起点）</x:t>
    </x:r>
  </x:si>
  <x:si>
    <x:r>
      <x:rPr>
        <x:b/>
        <x:sz val="10"/>
        <x:color rgb="FFFFFFFF"/>
        <x:rFont val="Arial"/>
      </x:rPr>
      <x:t xml:space="preserve">v3.2</x:t>
    </x:r>
    <x:r>
      <x:rPr>
        <x:b/>
        <x:sz val="10"/>
        <x:color rgb="FFFFFFFF"/>
        <x:rFont val="Linux Libertine G"/>
        <x:family val="2"/>
      </x:rPr>
      <x:t xml:space="preserve">（</x:t>
    </x:r>
    <x:r>
      <x:rPr>
        <x:b/>
        <x:sz val="10"/>
        <x:color rgb="FFFFFFFF"/>
        <x:rFont val="Arial"/>
      </x:rPr>
      <x:t xml:space="preserve">8.5%</x:t>
    </x:r>
    <x:r>
      <x:rPr>
        <x:b/>
        <x:sz val="10"/>
        <x:color rgb="FFFFFFFF"/>
        <x:rFont val="Linux Libertine G"/>
        <x:family val="2"/>
      </x:rPr>
      <x:t xml:space="preserve">，初始</x:t>
    </x:r>
    <x:r>
      <x:rPr>
        <x:b/>
        <x:sz val="10"/>
        <x:color rgb="FFFFFFFF"/>
        <x:rFont val="Arial"/>
      </x:rPr>
      <x:t xml:space="preserve">1,000</x:t>
    </x:r>
    <x:r>
      <x:rPr>
        <x:b/>
        <x:sz val="10"/>
        <x:color rgb="FFFFFFFF"/>
        <x:rFont val="Linux Libertine G"/>
        <x:family val="2"/>
      </x:rPr>
      <x:t xml:space="preserve">）</x:t>
    </x:r>
  </x:si>
  <x:si>
    <x:t xml:space="preserve">变化</x:t>
  </x:si>
  <x:si>
    <x:t xml:space="preserve">判断</x:t>
  </x:si>
  <x:si>
    <x:t xml:space="preserve">每级增量增长率</x:t>
  </x:si>
  <x:si>
    <x:r>
      <x:rPr>
        <x:sz val="10"/>
        <x:color rgb="FF24343F"/>
        <x:rFont val="Arial"/>
      </x:rPr>
      <x:t xml:space="preserve">8.4%</x:t>
    </x:r>
    <x:r>
      <x:rPr>
        <x:sz val="10"/>
        <x:color rgb="FF24343F"/>
        <x:rFont val="Linux Libertine G"/>
        <x:family val="2"/>
      </x:rPr>
      <x:t xml:space="preserve">是落入</x:t>
    </x:r>
    <x:r>
      <x:rPr>
        <x:sz val="10"/>
        <x:color rgb="FF24343F"/>
        <x:rFont val="Arial"/>
      </x:rPr>
      <x:t xml:space="preserve">G4</x:t>
    </x:r>
    <x:r>
      <x:rPr>
        <x:sz val="10"/>
        <x:color rgb="FF24343F"/>
        <x:rFont val="Linux Libertine G"/>
        <x:family val="2"/>
      </x:rPr>
      <x:t xml:space="preserve">的最低边界；</x:t>
    </x:r>
    <x:r>
      <x:rPr>
        <x:sz val="10"/>
        <x:color rgb="FF24343F"/>
        <x:rFont val="Arial"/>
      </x:rPr>
      <x:t xml:space="preserve">8.5%</x:t>
    </x:r>
    <x:r>
      <x:rPr>
        <x:sz val="10"/>
        <x:color rgb="FF24343F"/>
        <x:rFont val="Linux Libertine G"/>
        <x:family val="2"/>
      </x:rPr>
      <x:t xml:space="preserve">避免卡在</x:t>
    </x:r>
    <x:r>
      <x:rPr>
        <x:sz val="10"/>
        <x:color rgb="FF24343F"/>
        <x:rFont val="Arial"/>
      </x:rPr>
      <x:t xml:space="preserve">Lv80</x:t>
    </x:r>
  </x:si>
  <x:si>
    <x:r>
      <x:rPr>
        <x:sz val="10"/>
        <x:color rgb="FF24343F"/>
        <x:rFont val="Arial"/>
      </x:rPr>
      <x:t xml:space="preserve">Lv1</x:t>
    </x:r>
    <x:r>
      <x:rPr>
        <x:sz val="10"/>
        <x:color rgb="FF24343F"/>
        <x:rFont val="Linux Libertine G"/>
        <x:family val="2"/>
      </x:rPr>
      <x:t xml:space="preserve">累计门槛</x:t>
    </x:r>
  </x:si>
  <x:si>
    <x:r>
      <x:rPr>
        <x:sz val="10"/>
        <x:color rgb="FF24343F"/>
        <x:rFont val="Linux Libertine G"/>
        <x:family val="2"/>
      </x:rPr>
      <x:t xml:space="preserve">新方案将结成时</x:t>
    </x:r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初始</x:t>
    </x:r>
    <x:r>
      <x:rPr>
        <x:sz val="10"/>
        <x:color rgb="FF24343F"/>
        <x:rFont val="Arial"/>
      </x:rPr>
      <x:t xml:space="preserve">EXP</x:t>
    </x:r>
    <x:r>
      <x:rPr>
        <x:sz val="10"/>
        <x:color rgb="FF24343F"/>
        <x:rFont val="Linux Libertine G"/>
        <x:family val="2"/>
      </x:rPr>
      <x:t xml:space="preserve">计入等级累计</x:t>
    </x:r>
  </x:si>
  <x:si>
    <x:r>
      <x:rPr>
        <x:sz val="10"/>
        <x:color rgb="FF24343F"/>
        <x:rFont val="Arial"/>
      </x:rPr>
      <x:t xml:space="preserve">G2</x:t>
    </x:r>
    <x:r>
      <x:rPr>
        <x:sz val="10"/>
        <x:color rgb="FF24343F"/>
        <x:rFont val="Linux Libertine G"/>
        <x:family val="2"/>
      </x:rPr>
      <x:t xml:space="preserve">起点（</x:t>
    </x:r>
    <x:r>
      <x:rPr>
        <x:sz val="10"/>
        <x:color rgb="FF24343F"/>
        <x:rFont val="Arial"/>
      </x:rPr>
      <x:t xml:space="preserve">Lv21</x:t>
    </x:r>
    <x:r>
      <x:rPr>
        <x:sz val="10"/>
        <x:color rgb="FF24343F"/>
        <x:rFont val="Linux Libertine G"/>
        <x:family val="2"/>
      </x:rPr>
      <x:t xml:space="preserve">）</x:t>
    </x:r>
  </x:si>
  <x:si>
    <x:t xml:space="preserve">低段仅小幅抬升，仍保持频繁升级</x:t>
  </x:si>
  <x:si>
    <x:r>
      <x:rPr>
        <x:sz val="10"/>
        <x:color rgb="FF24343F"/>
        <x:rFont val="Arial"/>
      </x:rPr>
      <x:t xml:space="preserve">G3</x:t>
    </x:r>
    <x:r>
      <x:rPr>
        <x:sz val="10"/>
        <x:color rgb="FF24343F"/>
        <x:rFont val="Linux Libertine G"/>
        <x:family val="2"/>
      </x:rPr>
      <x:t xml:space="preserve">起点（</x:t>
    </x:r>
    <x:r>
      <x:rPr>
        <x:sz val="10"/>
        <x:color rgb="FF24343F"/>
        <x:rFont val="Arial"/>
      </x:rPr>
      <x:t xml:space="preserve">Lv41</x:t>
    </x:r>
    <x:r>
      <x:rPr>
        <x:sz val="10"/>
        <x:color rgb="FF24343F"/>
        <x:rFont val="Linux Libertine G"/>
        <x:family val="2"/>
      </x:rPr>
      <x:t xml:space="preserve">）</x:t>
    </x:r>
  </x:si>
  <x:si>
    <x:t xml:space="preserve">中段开始拉开付费成长差异</x:t>
  </x:si>
  <x:si>
    <x:r>
      <x:rPr>
        <x:sz val="10"/>
        <x:color rgb="FF24343F"/>
        <x:rFont val="Arial"/>
      </x:rPr>
      <x:t xml:space="preserve">G4</x:t>
    </x:r>
    <x:r>
      <x:rPr>
        <x:sz val="10"/>
        <x:color rgb="FF24343F"/>
        <x:rFont val="Linux Libertine G"/>
        <x:family val="2"/>
      </x:rPr>
      <x:t xml:space="preserve">起点（</x:t>
    </x:r>
    <x:r>
      <x:rPr>
        <x:sz val="10"/>
        <x:color rgb="FF24343F"/>
        <x:rFont val="Arial"/>
      </x:rPr>
      <x:t xml:space="preserve">Lv61</x:t>
    </x:r>
    <x:r>
      <x:rPr>
        <x:sz val="10"/>
        <x:color rgb="FF24343F"/>
        <x:rFont val="Linux Libertine G"/>
        <x:family val="2"/>
      </x:rPr>
      <x:t xml:space="preserve">）</x:t>
    </x:r>
  </x:si>
  <x:si>
    <x:r>
      <x:rPr>
        <x:sz val="10"/>
        <x:color rgb="FF24343F"/>
        <x:rFont val="Linux Libertine G"/>
        <x:family val="2"/>
      </x:rPr>
      <x:t xml:space="preserve">有效高阶用户集中在</x:t>
    </x:r>
    <x:r>
      <x:rPr>
        <x:sz val="10"/>
        <x:color rgb="FF24343F"/>
        <x:rFont val="Arial"/>
      </x:rPr>
      <x:t xml:space="preserve">G4</x:t>
    </x:r>
    <x:r>
      <x:rPr>
        <x:sz val="10"/>
        <x:color rgb="FF24343F"/>
        <x:rFont val="Linux Libertine G"/>
        <x:family val="2"/>
      </x:rPr>
      <x:t xml:space="preserve">竞争</x:t>
    </x:r>
  </x:si>
  <x:si>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起点（</x:t>
    </x:r>
    <x:r>
      <x:rPr>
        <x:sz val="10"/>
        <x:color rgb="FF24343F"/>
        <x:rFont val="Arial"/>
      </x:rPr>
      <x:t xml:space="preserve">Lv81</x:t>
    </x:r>
    <x:r>
      <x:rPr>
        <x:sz val="10"/>
        <x:color rgb="FF24343F"/>
        <x:rFont val="Linux Libertine G"/>
        <x:family val="2"/>
      </x:rPr>
      <x:t xml:space="preserve">）</x:t>
    </x:r>
  </x:si>
  <x:si>
    <x:r>
      <x:rPr>
        <x:sz val="10"/>
        <x:color rgb="FF24343F"/>
        <x:rFont val="Linux Libertine G"/>
        <x:family val="2"/>
      </x:rPr>
      <x:t xml:space="preserve">上线时有效样本为</x:t>
    </x:r>
    <x:r>
      <x:rPr>
        <x:sz val="10"/>
        <x:color rgb="FF24343F"/>
        <x:rFont val="Arial"/>
      </x:rPr>
      <x:t xml:space="preserve">0</x:t>
    </x:r>
    <x:r>
      <x:rPr>
        <x:sz val="10"/>
        <x:color rgb="FF24343F"/>
        <x:rFont val="Linux Libertine G"/>
        <x:family val="2"/>
      </x:rPr>
      <x:t xml:space="preserve">，作为全新最高目标</x:t>
    </x:r>
  </x:si>
  <x:si>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门槛</x:t>
    </x:r>
  </x:si>
  <x:si>
    <x:r>
      <x:rPr>
        <x:sz val="10"/>
        <x:color rgb="FF24343F"/>
        <x:rFont val="Linux Libertine G"/>
        <x:family val="2"/>
      </x:rPr>
      <x:t xml:space="preserve">为</x:t>
    </x:r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保留</x:t>
    </x:r>
    <x:r>
      <x:rPr>
        <x:sz val="10"/>
        <x:color rgb="FF24343F"/>
        <x:rFont val="Arial"/>
      </x:rPr>
      <x:t xml:space="preserve">20</x:t>
    </x:r>
    <x:r>
      <x:rPr>
        <x:sz val="10"/>
        <x:color rgb="FF24343F"/>
        <x:rFont val="Linux Libertine G"/>
        <x:family val="2"/>
      </x:rPr>
      <x:t xml:space="preserve">级完整成长空间</x:t>
    </x:r>
  </x:si>
  <x:si>
    <x:t xml:space="preserve">有效最高样本映射</x:t>
  </x:si>
  <x:si>
    <x:r>
      <x:rPr>
        <x:sz val="10"/>
        <x:color rgb="FF24343F"/>
        <x:rFont val="Linux Libertine G"/>
        <x:family val="2"/>
      </x:rPr>
      <x:t xml:space="preserve">从</x:t>
    </x:r>
    <x:r>
      <x:rPr>
        <x:sz val="10"/>
        <x:color rgb="FF24343F"/>
        <x:rFont val="Arial"/>
      </x:rPr>
      <x:t xml:space="preserve">Lv92/G5</x:t>
    </x:r>
    <x:r>
      <x:rPr>
        <x:sz val="10"/>
        <x:color rgb="FF24343F"/>
        <x:rFont val="Linux Libertine G"/>
        <x:family val="2"/>
      </x:rPr>
      <x:t xml:space="preserve">回落至</x:t>
    </x:r>
    <x:r>
      <x:rPr>
        <x:sz val="10"/>
        <x:color rgb="FF24343F"/>
        <x:rFont val="Arial"/>
      </x:rPr>
      <x:t xml:space="preserve">Lv79/G4</x:t>
    </x:r>
  </x:si>
  <x:si>
    <x:r>
      <x:rPr>
        <x:sz val="10"/>
        <x:color rgb="FF24343F"/>
        <x:rFont val="Linux Libertine G"/>
        <x:family val="2"/>
      </x:rPr>
      <x:t xml:space="preserve">距</x:t>
    </x:r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剩余等级</x:t>
    </x:r>
  </x:si>
  <x:si>
    <x:r>
      <x:rPr>
        <x:sz val="10"/>
        <x:color rgb="FF24343F"/>
        <x:rFont val="Linux Libertine G"/>
        <x:family val="2"/>
      </x:rPr>
      <x:t xml:space="preserve">由</x:t>
    </x:r>
    <x:r>
      <x:rPr>
        <x:sz val="10"/>
        <x:color rgb="FF24343F"/>
        <x:rFont val="Arial"/>
      </x:rPr>
      <x:t xml:space="preserve">8</x:t>
    </x:r>
    <x:r>
      <x:rPr>
        <x:sz val="10"/>
        <x:color rgb="FF24343F"/>
        <x:rFont val="Linux Libertine G"/>
        <x:family val="2"/>
      </x:rPr>
      <x:t xml:space="preserve">级扩大至</x:t>
    </x:r>
    <x:r>
      <x:rPr>
        <x:sz val="10"/>
        <x:color rgb="FF24343F"/>
        <x:rFont val="Arial"/>
      </x:rPr>
      <x:t xml:space="preserve">21</x:t>
    </x:r>
    <x:r>
      <x:rPr>
        <x:sz val="10"/>
        <x:color rgb="FF24343F"/>
        <x:rFont val="Linux Libertine G"/>
        <x:family val="2"/>
      </x:rPr>
      <x:t xml:space="preserve">级</x:t>
    </x:r>
  </x:si>
  <x:si>
    <x:r>
      <x:rPr>
        <x:sz val="10"/>
        <x:color rgb="FF24343F"/>
        <x:rFont val="Arial"/>
      </x:rPr>
      <x:t xml:space="preserve">G1-G5</x:t>
    </x:r>
    <x:r>
      <x:rPr>
        <x:sz val="10"/>
        <x:color rgb="FF24343F"/>
        <x:rFont val="Linux Libertine G"/>
        <x:family val="2"/>
      </x:rPr>
      <x:t xml:space="preserve">有效样本分布</x:t>
    </x:r>
  </x:si>
  <x:si>
    <x:t xml:space="preserve">182 / 82 / 34 / 11 / 2</x:t>
  </x:si>
  <x:si>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：</x:t>
    </x:r>
    <x:r>
      <x:rPr>
        <x:sz val="10"/>
        <x:color rgb="FF24343F"/>
        <x:rFont val="Arial"/>
      </x:rPr>
      <x:t xml:space="preserve">2 → 0</x:t>
    </x:r>
  </x:si>
  <x:si>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空档为本版有意设计</x:t>
    </x:r>
  </x:si>
  <x:si>
    <x:t xml:space="preserve">曲线参数与用户分布汇总</x:t>
  </x:si>
  <x:si>
    <x:t xml:space="preserve">参数</x:t>
  </x:si>
  <x:si>
    <x:t xml:space="preserve">数值</x:t>
  </x:si>
  <x:si>
    <x:t xml:space="preserve">单位</x:t>
  </x:si>
  <x:si>
    <x:t xml:space="preserve">解释</x:t>
  </x:si>
  <x:si>
    <x:r>
      <x:rPr>
        <x:b/>
        <x:sz val="10"/>
        <x:color rgb="FFFFFFFF"/>
        <x:rFont val="Linux Libertine G"/>
        <x:family val="2"/>
      </x:rPr>
      <x:t xml:space="preserve">建立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初始参数</x:t>
    </x:r>
  </x:si>
  <x:si>
    <x:t xml:space="preserve">说明</x:t>
  </x:si>
  <x:si>
    <x:t xml:space="preserve">用户总数</x:t>
  </x:si>
  <x:si>
    <x:t xml:space="preserve">总百分比</x:t>
  </x:si>
  <x:si>
    <x:t xml:space="preserve">统计口径</x:t>
  </x:si>
  <x:si>
    <x:t xml:space="preserve">首段升级增量</x:t>
  </x:si>
  <x:si>
    <x:t xml:space="preserve">CP EXP</x:t>
  </x:si>
  <x:si>
    <x:r>
      <x:rPr>
        <x:sz val="10"/>
        <x:color rgb="FF24343F"/>
        <x:rFont val="Arial"/>
      </x:rPr>
      <x:t xml:space="preserve">Lv1</x:t>
    </x:r>
    <x:r>
      <x:rPr>
        <x:sz val="10"/>
        <x:color rgb="FF24343F"/>
        <x:rFont val="Linux Libertine G"/>
        <x:family val="2"/>
      </x:rPr>
      <x:t xml:space="preserve">到</x:t>
    </x:r>
    <x:r>
      <x:rPr>
        <x:sz val="10"/>
        <x:color rgb="FF24343F"/>
        <x:rFont val="Arial"/>
      </x:rPr>
      <x:t xml:space="preserve">Lv2</x:t>
    </x:r>
    <x:r>
      <x:rPr>
        <x:sz val="10"/>
        <x:color rgb="FF24343F"/>
        <x:rFont val="Linux Libertine G"/>
        <x:family val="2"/>
      </x:rPr>
      <x:t xml:space="preserve">所需增量</x:t>
    </x:r>
  </x:si>
  <x:si>
    <x:r>
      <x:rPr>
        <x:sz val="10"/>
        <x:color rgb="FF24343F"/>
        <x:rFont val="Linux Libertine G"/>
        <x:family val="2"/>
      </x:rPr>
      <x:t xml:space="preserve">现平台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建立门槛</x:t>
    </x:r>
  </x:si>
  <x:si>
    <x:t xml:space="preserve">好友亲密值</x:t>
  </x:si>
  <x:si>
    <x:t xml:space="preserve">当前平台口径，仅作对比</x:t>
  </x:si>
  <x:si>
    <x:r>
      <x:rPr>
        <x:sz val="10"/>
        <x:color rgb="FF24343F"/>
        <x:rFont val="Linux Libertine G"/>
        <x:family val="2"/>
      </x:rPr>
      <x:t xml:space="preserve">有效样本，汇总档内</x:t>
    </x:r>
    <x:r>
      <x:rPr>
        <x:sz val="10"/>
        <x:color rgb="FF24343F"/>
        <x:rFont val="Arial"/>
      </x:rPr>
      <x:t xml:space="preserve">20</x:t>
    </x:r>
    <x:r>
      <x:rPr>
        <x:sz val="10"/>
        <x:color rgb="FF24343F"/>
        <x:rFont val="Linux Libertine G"/>
        <x:family val="2"/>
      </x:rPr>
      <x:t xml:space="preserve">级</x:t>
    </x:r>
  </x:si>
  <x:si>
    <x:t xml:space="preserve">%</x:t>
  </x:si>
  <x:si>
    <x:t xml:space="preserve">下一等级所需增量按统一比例增长</x:t>
  </x:si>
  <x:si>
    <x:r>
      <x:rPr>
        <x:sz val="10"/>
        <x:color rgb="FF24343F"/>
        <x:rFont val="Linux Libertine G"/>
        <x:family val="2"/>
      </x:rPr>
      <x:t xml:space="preserve">本方案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建立门槛</x:t>
    </x:r>
  </x:si>
  <x:si>
    <x:t xml:space="preserve">门槛取整单位</x:t>
  </x:si>
  <x:si>
    <x:t xml:space="preserve">每段增量四舍五入</x:t>
  </x:si>
  <x:si>
    <x:r>
      <x:rPr>
        <x:sz val="10"/>
        <x:color rgb="FF24343F"/>
        <x:rFont val="Linux Libertine G"/>
        <x:family val="2"/>
      </x:rPr>
      <x:t xml:space="preserve">结成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初始经验</x:t>
    </x:r>
  </x:si>
  <x:si>
    <x:r>
      <x:rPr>
        <x:sz val="10"/>
        <x:color rgb="FF24343F"/>
        <x:rFont val="Linux Libertine G"/>
        <x:family val="2"/>
      </x:rPr>
      <x:t xml:space="preserve">关系创建成功后一次性注入，进入</x:t>
    </x:r>
    <x:r>
      <x:rPr>
        <x:sz val="10"/>
        <x:color rgb="FF24343F"/>
        <x:rFont val="Arial"/>
      </x:rPr>
      <x:t xml:space="preserve">Lv1</x:t>
    </x:r>
  </x:si>
  <x:si>
    <x:t xml:space="preserve">完全免费周上限</x:t>
  </x:si>
  <x:si>
    <x:r>
      <x:rPr>
        <x:sz val="10"/>
        <x:color rgb="FF24343F"/>
        <x:rFont val="Arial"/>
      </x:rPr>
      <x:t xml:space="preserve">CP EXP/</x:t>
    </x:r>
    <x:r>
      <x:rPr>
        <x:sz val="10"/>
        <x:color rgb="FF24343F"/>
        <x:rFont val="Linux Libertine G"/>
        <x:family val="2"/>
      </x:rPr>
      <x:t xml:space="preserve">周</x:t>
    </x:r>
  </x:si>
  <x:si>
    <x:r>
      <x:rPr>
        <x:sz val="10"/>
        <x:color rgb="FF24343F"/>
        <x:rFont val="Linux Libertine G"/>
        <x:family val="2"/>
      </x:rPr>
      <x:t xml:space="preserve">私信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游戏</x:t>
    </x:r>
    <x:r>
      <x:rPr>
        <x:sz val="10"/>
        <x:color rgb="FF24343F"/>
        <x:rFont val="Arial"/>
      </x:rPr>
      <x:t xml:space="preserve">350</x:t>
    </x:r>
    <x:r>
      <x:rPr>
        <x:sz val="10"/>
        <x:color rgb="FF24343F"/>
        <x:rFont val="Linux Libertine G"/>
        <x:family val="2"/>
      </x:rPr>
      <x:t xml:space="preserve">，非付费日任务</x:t>
    </x:r>
    <x:r>
      <x:rPr>
        <x:sz val="10"/>
        <x:color rgb="FF24343F"/>
        <x:rFont val="Arial"/>
      </x:rPr>
      <x:t xml:space="preserve">210</x:t>
    </x:r>
    <x:r>
      <x:rPr>
        <x:sz val="10"/>
        <x:color rgb="FF24343F"/>
        <x:rFont val="Linux Libertine G"/>
        <x:family val="2"/>
      </x:rPr>
      <x:t xml:space="preserve">，非付费周任务</x:t>
    </x:r>
    <x:r>
      <x:rPr>
        <x:sz val="10"/>
        <x:color rgb="FF24343F"/>
        <x:rFont val="Arial"/>
      </x:rPr>
      <x:t xml:space="preserve">60</x:t>
    </x:r>
  </x:si>
  <x:si>
    <x:t xml:space="preserve">物料范围</x:t>
  </x:si>
  <x:si>
    <x:r>
      <x:rPr>
        <x:b/>
        <x:sz val="10"/>
        <x:color rgb="FFFFFFFF"/>
        <x:rFont val="Linux Libertine G"/>
        <x:family val="2"/>
      </x:rPr>
      <x:t xml:space="preserve">累计</x:t>
    </x:r>
    <x:r>
      <x:rPr>
        <x:b/>
        <x:sz val="10"/>
        <x:color rgb="FFFFFFFF"/>
        <x:rFont val="Arial"/>
      </x:rPr>
      <x:t xml:space="preserve">CP EXP</x:t>
    </x:r>
    <x:r>
      <x:rPr>
        <x:b/>
        <x:sz val="10"/>
        <x:color rgb="FFFFFFFF"/>
        <x:rFont val="Linux Libertine G"/>
        <x:family val="2"/>
      </x:rPr>
      <x:t xml:space="preserve">门槛</x:t>
    </x:r>
  </x:si>
  <x:si>
    <x:t xml:space="preserve">较上一级增加</x:t>
  </x:si>
  <x:si>
    <x:t xml:space="preserve">取整后增幅</x:t>
  </x:si>
  <x:si>
    <x:t xml:space="preserve">有效样本占比</x:t>
  </x:si>
  <x:si>
    <x:r>
      <x:rPr>
        <x:b/>
        <x:sz val="10"/>
        <x:color rgb="FFFFFFFF"/>
        <x:rFont val="Linux Libertine G"/>
        <x:family val="2"/>
      </x:rPr>
      <x:t xml:space="preserve">展示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触发</x:t>
    </x:r>
  </x:si>
  <x:si>
    <x:t xml:space="preserve">n.a.</x:t>
  </x:si>
  <x:si>
    <x:r>
      <x:rPr>
        <x:sz val="10"/>
        <x:color rgb="FF24343F"/>
        <x:rFont val="Linux Libertine G"/>
        <x:family val="2"/>
      </x:rPr>
      <x:t xml:space="preserve">结成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，注入</x:t>
    </x:r>
    <x:r>
      <x:rPr>
        <x:sz val="10"/>
        <x:color rgb="FF24343F"/>
        <x:rFont val="Arial"/>
      </x:rPr>
      <x:t xml:space="preserve">1,000 EXP</x:t>
    </x:r>
    <x:r>
      <x:rPr>
        <x:sz val="10"/>
        <x:color rgb="FF24343F"/>
        <x:rFont val="Linux Libertine G"/>
        <x:family val="2"/>
      </x:rPr>
      <x:t xml:space="preserve">并显示</x:t>
    </x:r>
    <x:r>
      <x:rPr>
        <x:sz val="10"/>
        <x:color rgb="FF24343F"/>
        <x:rFont val="Arial"/>
      </x:rPr>
      <x:t xml:space="preserve">G1</x:t>
    </x:r>
    <x:r>
      <x:rPr>
        <x:sz val="10"/>
        <x:color rgb="FF24343F"/>
        <x:rFont val="Linux Libertine G"/>
        <x:family val="2"/>
      </x:rPr>
      <x:t xml:space="preserve">物料</x:t>
    </x:r>
  </x:si>
  <x:si>
    <x:t xml:space="preserve">更新等级数字、进度和升级提示</x:t>
  </x:si>
  <x:si>
    <x:r>
      <x:rPr>
        <x:sz val="10"/>
        <x:color rgb="FF24343F"/>
        <x:rFont val="Linux Libertine G"/>
        <x:family val="2"/>
      </x:rPr>
      <x:t xml:space="preserve">切换</x:t>
    </x:r>
    <x:r>
      <x:rPr>
        <x:sz val="10"/>
        <x:color rgb="FF24343F"/>
        <x:rFont val="Arial"/>
      </x:rPr>
      <x:t xml:space="preserve">G2</x:t>
    </x:r>
    <x:r>
      <x:rPr>
        <x:sz val="10"/>
        <x:color rgb="FF24343F"/>
        <x:rFont val="Linux Libertine G"/>
        <x:family val="2"/>
      </x:rPr>
      <x:t xml:space="preserve">整套物料</x:t>
    </x:r>
  </x:si>
  <x:si>
    <x:r>
      <x:rPr>
        <x:sz val="10"/>
        <x:color rgb="FF24343F"/>
        <x:rFont val="Linux Libertine G"/>
        <x:family val="2"/>
      </x:rPr>
      <x:t xml:space="preserve">切换</x:t>
    </x:r>
    <x:r>
      <x:rPr>
        <x:sz val="10"/>
        <x:color rgb="FF24343F"/>
        <x:rFont val="Arial"/>
      </x:rPr>
      <x:t xml:space="preserve">G3</x:t>
    </x:r>
    <x:r>
      <x:rPr>
        <x:sz val="10"/>
        <x:color rgb="FF24343F"/>
        <x:rFont val="Linux Libertine G"/>
        <x:family val="2"/>
      </x:rPr>
      <x:t xml:space="preserve">整套物料</x:t>
    </x:r>
  </x:si>
  <x:si>
    <x:r>
      <x:rPr>
        <x:sz val="10"/>
        <x:color rgb="FF24343F"/>
        <x:rFont val="Linux Libertine G"/>
        <x:family val="2"/>
      </x:rPr>
      <x:t xml:space="preserve">切换</x:t>
    </x:r>
    <x:r>
      <x:rPr>
        <x:sz val="10"/>
        <x:color rgb="FF24343F"/>
        <x:rFont val="Arial"/>
      </x:rPr>
      <x:t xml:space="preserve">G4</x:t>
    </x:r>
    <x:r>
      <x:rPr>
        <x:sz val="10"/>
        <x:color rgb="FF24343F"/>
        <x:rFont val="Linux Libertine G"/>
        <x:family val="2"/>
      </x:rPr>
      <x:t xml:space="preserve">整套物料</x:t>
    </x:r>
  </x:si>
  <x:si>
    <x:r>
      <x:rPr>
        <x:sz val="10"/>
        <x:color rgb="FF24343F"/>
        <x:rFont val="Linux Libertine G"/>
        <x:family val="2"/>
      </x:rPr>
      <x:t xml:space="preserve">切换</x:t>
    </x:r>
    <x:r>
      <x:rPr>
        <x:sz val="10"/>
        <x:color rgb="FF24343F"/>
        <x:rFont val="Arial"/>
      </x:rPr>
      <x:t xml:space="preserve">G5</x:t>
    </x:r>
    <x:r>
      <x:rPr>
        <x:sz val="10"/>
        <x:color rgb="FF24343F"/>
        <x:rFont val="Linux Libertine G"/>
        <x:family val="2"/>
      </x:rPr>
      <x:t xml:space="preserve">整套物料</x:t>
    </x:r>
  </x:si>
  <x:si>
    <x:t xml:space="preserve">达到真实最高等级</x:t>
  </x:si>
  <x:si>
    <x:r>
      <x:rPr>
        <x:i/>
        <x:sz val="10"/>
        <x:color rgb="FF657580"/>
        <x:rFont val="Linux Libertine G"/>
        <x:family val="2"/>
      </x:rPr>
      <x:t xml:space="preserve">每档同时展示达到门槛、档内跨度和下一档</x:t>
    </x:r>
    <x:r>
      <x:rPr>
        <x:i/>
        <x:sz val="10"/>
        <x:color rgb="FF657580"/>
        <x:rFont val="Arial"/>
      </x:rPr>
      <x:t xml:space="preserve">/</x:t>
    </x:r>
    <x:r>
      <x:rPr>
        <x:i/>
        <x:sz val="10"/>
        <x:color rgb="FF657580"/>
        <x:rFont val="Linux Libertine G"/>
        <x:family val="2"/>
      </x:rPr>
      <x:t xml:space="preserve">满级门槛；只有</x:t>
    </x:r>
    <x:r>
      <x:rPr>
        <x:i/>
        <x:sz val="10"/>
        <x:color rgb="FF657580"/>
        <x:rFont val="Arial"/>
      </x:rPr>
      <x:t xml:space="preserve">G</x:t>
    </x:r>
    <x:r>
      <x:rPr>
        <x:i/>
        <x:sz val="10"/>
        <x:color rgb="FF657580"/>
        <x:rFont val="Linux Libertine G"/>
        <x:family val="2"/>
      </x:rPr>
      <x:t xml:space="preserve">档变化才替换整套素材。</x:t>
    </x:r>
  </x:si>
  <x:si>
    <x:t xml:space="preserve">五档物料映射</x:t>
  </x:si>
  <x:si>
    <x:t xml:space="preserve">达到本档所需亲密值</x:t>
  </x:si>
  <x:si>
    <x:t xml:space="preserve">本档亲密值跨度</x:t>
  </x:si>
  <x:si>
    <x:r>
      <x:rPr>
        <x:b/>
        <x:sz val="10"/>
        <x:color rgb="FFFFFFFF"/>
        <x:rFont val="Linux Libertine G"/>
        <x:family val="2"/>
      </x:rPr>
      <x:t xml:space="preserve">下一档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满级所需亲密值</x:t>
    </x:r>
  </x:si>
  <x:si>
    <x:t xml:space="preserve">勋章</x:t>
  </x:si>
  <x:si>
    <x:t xml:space="preserve">铭牌</x:t>
  </x:si>
  <x:si>
    <x:r>
      <x:rPr>
        <x:b/>
        <x:sz val="10"/>
        <x:color rgb="FFFFFFFF"/>
        <x:rFont val="Linux Libertine G"/>
        <x:family val="2"/>
      </x:rPr>
      <x:t xml:space="preserve">主页</x:t>
    </x:r>
    <x:r>
      <x:rPr>
        <x:b/>
        <x:sz val="10"/>
        <x:color rgb="FFFFFFFF"/>
        <x:rFont val="Arial"/>
      </x:rPr>
      <x:t xml:space="preserve">CP</x:t>
    </x:r>
    <x:r>
      <x:rPr>
        <x:b/>
        <x:sz val="10"/>
        <x:color rgb="FFFFFFFF"/>
        <x:rFont val="Linux Libertine G"/>
        <x:family val="2"/>
      </x:rPr>
      <x:t xml:space="preserve">小框</x:t>
    </x:r>
  </x:si>
  <x:si>
    <x:t xml:space="preserve">麦位标识</x:t>
  </x:si>
  <x:si>
    <x:t xml:space="preserve">档内升级变化</x:t>
  </x:si>
  <x:si>
    <x:t xml:space="preserve">换档变化</x:t>
  </x:si>
  <x:si>
    <x:r>
      <x:rPr>
        <x:sz val="10"/>
        <x:color rgb="FF24343F"/>
        <x:rFont val="Linux Libertine G"/>
        <x:family val="2"/>
      </x:rPr>
      <x:t xml:space="preserve">勋章</x:t>
    </x:r>
    <x:r>
      <x:rPr>
        <x:sz val="10"/>
        <x:color rgb="FF24343F"/>
        <x:rFont val="Arial"/>
      </x:rPr>
      <x:t xml:space="preserve">1</x:t>
    </x:r>
  </x:si>
  <x:si>
    <x:r>
      <x:rPr>
        <x:sz val="10"/>
        <x:color rgb="FF24343F"/>
        <x:rFont val="Linux Libertine G"/>
        <x:family val="2"/>
      </x:rPr>
      <x:t xml:space="preserve">铭牌</x:t>
    </x:r>
    <x:r>
      <x:rPr>
        <x:sz val="10"/>
        <x:color rgb="FF24343F"/>
        <x:rFont val="Arial"/>
      </x:rPr>
      <x:t xml:space="preserve">1</x:t>
    </x:r>
  </x:si>
  <x:si>
    <x:r>
      <x:rPr>
        <x:sz val="10"/>
        <x:color rgb="FF24343F"/>
        <x:rFont val="Linux Libertine G"/>
        <x:family val="2"/>
      </x:rPr>
      <x:t xml:space="preserve">样式</x:t>
    </x:r>
    <x:r>
      <x:rPr>
        <x:sz val="10"/>
        <x:color rgb="FF24343F"/>
        <x:rFont val="Arial"/>
      </x:rPr>
      <x:t xml:space="preserve">1</x:t>
    </x:r>
  </x:si>
  <x:si>
    <x:r>
      <x:rPr>
        <x:sz val="10"/>
        <x:color rgb="FF24343F"/>
        <x:rFont val="Linux Libertine G"/>
        <x:family val="2"/>
      </x:rPr>
      <x:t xml:space="preserve">动态等级数字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进度</x:t>
    </x:r>
  </x:si>
  <x:si>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建立时获得</x:t>
    </x:r>
  </x:si>
  <x:si>
    <x:r>
      <x:rPr>
        <x:sz val="10"/>
        <x:color rgb="FF24343F"/>
        <x:rFont val="Linux Libertine G"/>
        <x:family val="2"/>
      </x:rPr>
      <x:t xml:space="preserve">勋章</x:t>
    </x:r>
    <x:r>
      <x:rPr>
        <x:sz val="10"/>
        <x:color rgb="FF24343F"/>
        <x:rFont val="Arial"/>
      </x:rPr>
      <x:t xml:space="preserve">2</x:t>
    </x:r>
  </x:si>
  <x:si>
    <x:r>
      <x:rPr>
        <x:sz val="10"/>
        <x:color rgb="FF24343F"/>
        <x:rFont val="Linux Libertine G"/>
        <x:family val="2"/>
      </x:rPr>
      <x:t xml:space="preserve">铭牌</x:t>
    </x:r>
    <x:r>
      <x:rPr>
        <x:sz val="10"/>
        <x:color rgb="FF24343F"/>
        <x:rFont val="Arial"/>
      </x:rPr>
      <x:t xml:space="preserve">2</x:t>
    </x:r>
  </x:si>
  <x:si>
    <x:r>
      <x:rPr>
        <x:sz val="10"/>
        <x:color rgb="FF24343F"/>
        <x:rFont val="Linux Libertine G"/>
        <x:family val="2"/>
      </x:rPr>
      <x:t xml:space="preserve">样式</x:t>
    </x:r>
    <x:r>
      <x:rPr>
        <x:sz val="10"/>
        <x:color rgb="FF24343F"/>
        <x:rFont val="Arial"/>
      </x:rPr>
      <x:t xml:space="preserve">2</x:t>
    </x:r>
  </x:si>
  <x:si>
    <x:r>
      <x:rPr>
        <x:sz val="10"/>
        <x:color rgb="FF24343F"/>
        <x:rFont val="Linux Libertine G"/>
        <x:family val="2"/>
      </x:rPr>
      <x:t xml:space="preserve">整套替换为</x:t>
    </x:r>
    <x:r>
      <x:rPr>
        <x:sz val="10"/>
        <x:color rgb="FF24343F"/>
        <x:rFont val="Arial"/>
      </x:rPr>
      <x:t xml:space="preserve">G2</x:t>
    </x:r>
  </x:si>
  <x:si>
    <x:r>
      <x:rPr>
        <x:sz val="10"/>
        <x:color rgb="FF24343F"/>
        <x:rFont val="Linux Libertine G"/>
        <x:family val="2"/>
      </x:rPr>
      <x:t xml:space="preserve">勋章</x:t>
    </x:r>
    <x:r>
      <x:rPr>
        <x:sz val="10"/>
        <x:color rgb="FF24343F"/>
        <x:rFont val="Arial"/>
      </x:rPr>
      <x:t xml:space="preserve">3</x:t>
    </x:r>
  </x:si>
  <x:si>
    <x:r>
      <x:rPr>
        <x:sz val="10"/>
        <x:color rgb="FF24343F"/>
        <x:rFont val="Linux Libertine G"/>
        <x:family val="2"/>
      </x:rPr>
      <x:t xml:space="preserve">铭牌</x:t>
    </x:r>
    <x:r>
      <x:rPr>
        <x:sz val="10"/>
        <x:color rgb="FF24343F"/>
        <x:rFont val="Arial"/>
      </x:rPr>
      <x:t xml:space="preserve">3</x:t>
    </x:r>
  </x:si>
  <x:si>
    <x:r>
      <x:rPr>
        <x:sz val="10"/>
        <x:color rgb="FF24343F"/>
        <x:rFont val="Linux Libertine G"/>
        <x:family val="2"/>
      </x:rPr>
      <x:t xml:space="preserve">样式</x:t>
    </x:r>
    <x:r>
      <x:rPr>
        <x:sz val="10"/>
        <x:color rgb="FF24343F"/>
        <x:rFont val="Arial"/>
      </x:rPr>
      <x:t xml:space="preserve">3</x:t>
    </x:r>
  </x:si>
  <x:si>
    <x:r>
      <x:rPr>
        <x:sz val="10"/>
        <x:color rgb="FF24343F"/>
        <x:rFont val="Linux Libertine G"/>
        <x:family val="2"/>
      </x:rPr>
      <x:t xml:space="preserve">整套替换为</x:t>
    </x:r>
    <x:r>
      <x:rPr>
        <x:sz val="10"/>
        <x:color rgb="FF24343F"/>
        <x:rFont val="Arial"/>
      </x:rPr>
      <x:t xml:space="preserve">G3</x:t>
    </x:r>
  </x:si>
  <x:si>
    <x:r>
      <x:rPr>
        <x:sz val="10"/>
        <x:color rgb="FF24343F"/>
        <x:rFont val="Linux Libertine G"/>
        <x:family val="2"/>
      </x:rPr>
      <x:t xml:space="preserve">勋章</x:t>
    </x:r>
    <x:r>
      <x:rPr>
        <x:sz val="10"/>
        <x:color rgb="FF24343F"/>
        <x:rFont val="Arial"/>
      </x:rPr>
      <x:t xml:space="preserve">4</x:t>
    </x:r>
  </x:si>
  <x:si>
    <x:r>
      <x:rPr>
        <x:sz val="10"/>
        <x:color rgb="FF24343F"/>
        <x:rFont val="Linux Libertine G"/>
        <x:family val="2"/>
      </x:rPr>
      <x:t xml:space="preserve">铭牌</x:t>
    </x:r>
    <x:r>
      <x:rPr>
        <x:sz val="10"/>
        <x:color rgb="FF24343F"/>
        <x:rFont val="Arial"/>
      </x:rPr>
      <x:t xml:space="preserve">4</x:t>
    </x:r>
  </x:si>
  <x:si>
    <x:r>
      <x:rPr>
        <x:sz val="10"/>
        <x:color rgb="FF24343F"/>
        <x:rFont val="Linux Libertine G"/>
        <x:family val="2"/>
      </x:rPr>
      <x:t xml:space="preserve">样式</x:t>
    </x:r>
    <x:r>
      <x:rPr>
        <x:sz val="10"/>
        <x:color rgb="FF24343F"/>
        <x:rFont val="Arial"/>
      </x:rPr>
      <x:t xml:space="preserve">4</x:t>
    </x:r>
  </x:si>
  <x:si>
    <x:r>
      <x:rPr>
        <x:sz val="10"/>
        <x:color rgb="FF24343F"/>
        <x:rFont val="Linux Libertine G"/>
        <x:family val="2"/>
      </x:rPr>
      <x:t xml:space="preserve">整套替换为</x:t>
    </x:r>
    <x:r>
      <x:rPr>
        <x:sz val="10"/>
        <x:color rgb="FF24343F"/>
        <x:rFont val="Arial"/>
      </x:rPr>
      <x:t xml:space="preserve">G4</x:t>
    </x:r>
  </x:si>
  <x:si>
    <x:r>
      <x:rPr>
        <x:sz val="10"/>
        <x:color rgb="FF24343F"/>
        <x:rFont val="Linux Libertine G"/>
        <x:family val="2"/>
      </x:rPr>
      <x:t xml:space="preserve">勋章</x:t>
    </x:r>
    <x:r>
      <x:rPr>
        <x:sz val="10"/>
        <x:color rgb="FF24343F"/>
        <x:rFont val="Arial"/>
      </x:rPr>
      <x:t xml:space="preserve">5</x:t>
    </x:r>
  </x:si>
  <x:si>
    <x:r>
      <x:rPr>
        <x:sz val="10"/>
        <x:color rgb="FF24343F"/>
        <x:rFont val="Linux Libertine G"/>
        <x:family val="2"/>
      </x:rPr>
      <x:t xml:space="preserve">铭牌</x:t>
    </x:r>
    <x:r>
      <x:rPr>
        <x:sz val="10"/>
        <x:color rgb="FF24343F"/>
        <x:rFont val="Arial"/>
      </x:rPr>
      <x:t xml:space="preserve">5</x:t>
    </x:r>
  </x:si>
  <x:si>
    <x:r>
      <x:rPr>
        <x:sz val="10"/>
        <x:color rgb="FF24343F"/>
        <x:rFont val="Linux Libertine G"/>
        <x:family val="2"/>
      </x:rPr>
      <x:t xml:space="preserve">样式</x:t>
    </x:r>
    <x:r>
      <x:rPr>
        <x:sz val="10"/>
        <x:color rgb="FF24343F"/>
        <x:rFont val="Arial"/>
      </x:rPr>
      <x:t xml:space="preserve">5</x:t>
    </x:r>
  </x:si>
  <x:si>
    <x:r>
      <x:rPr>
        <x:sz val="10"/>
        <x:color rgb="FF24343F"/>
        <x:rFont val="Linux Libertine G"/>
        <x:family val="2"/>
      </x:rPr>
      <x:t xml:space="preserve">整套替换为</x:t>
    </x:r>
    <x:r>
      <x:rPr>
        <x:sz val="10"/>
        <x:color rgb="FF24343F"/>
        <x:rFont val="Arial"/>
      </x:rPr>
      <x:t xml:space="preserve">G5</x:t>
    </x:r>
  </x:si>
  <x:si>
    <x:r>
      <x:rPr>
        <x:b/>
        <x:sz val="10"/>
        <x:color rgb="FFFFFFFF"/>
        <x:rFont val="Arial"/>
      </x:rPr>
      <x:t xml:space="preserve">UI</x:t>
    </x:r>
    <x:r>
      <x:rPr>
        <x:b/>
        <x:sz val="10"/>
        <x:color rgb="FFFFFFFF"/>
        <x:rFont val="Linux Libertine G"/>
        <x:family val="2"/>
      </x:rPr>
      <x:t xml:space="preserve">显示规则</x:t>
    </x:r>
  </x:si>
  <x:si>
    <x:t xml:space="preserve">场景</x:t>
  </x:si>
  <x:si>
    <x:t xml:space="preserve">显示内容</x:t>
  </x:si>
  <x:si>
    <x:t xml:space="preserve">何时变化</x:t>
  </x:si>
  <x:si>
    <x:t xml:space="preserve">是否新增物料</x:t>
  </x:si>
  <x:si>
    <x:t xml:space="preserve">验收标准</x:t>
  </x:si>
  <x:si>
    <x:t xml:space="preserve">关系主页</x:t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</x:si>
  <x:si>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档物料、</x:t>
    </x:r>
    <x:r>
      <x:rPr>
        <x:sz val="10"/>
        <x:color rgb="FF24343F"/>
        <x:rFont val="Arial"/>
      </x:rPr>
      <x:t xml:space="preserve">Lv</x:t>
    </x:r>
    <x:r>
      <x:rPr>
        <x:sz val="10"/>
        <x:color rgb="FF24343F"/>
        <x:rFont val="Linux Libertine G"/>
        <x:family val="2"/>
      </x:rPr>
      <x:t xml:space="preserve">数字、当前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下级</x:t>
    </x:r>
    <x:r>
      <x:rPr>
        <x:sz val="10"/>
        <x:color rgb="FF24343F"/>
        <x:rFont val="Arial"/>
      </x:rPr>
      <x:t xml:space="preserve">EXP</x:t>
    </x:r>
    <x:r>
      <x:rPr>
        <x:sz val="10"/>
        <x:color rgb="FF24343F"/>
        <x:rFont val="Linux Libertine G"/>
        <x:family val="2"/>
      </x:rPr>
      <x:t xml:space="preserve">、进度条</x:t>
    </x:r>
  </x:si>
  <x:si>
    <x:r>
      <x:rPr>
        <x:sz val="10"/>
        <x:color rgb="FF24343F"/>
        <x:rFont val="Linux Libertine G"/>
        <x:family val="2"/>
      </x:rPr>
      <x:t xml:space="preserve">每级更新数字和进度；每</x:t>
    </x:r>
    <x:r>
      <x:rPr>
        <x:sz val="10"/>
        <x:color rgb="FF24343F"/>
        <x:rFont val="Arial"/>
      </x:rPr>
      <x:t xml:space="preserve">20</x:t>
    </x:r>
    <x:r>
      <x:rPr>
        <x:sz val="10"/>
        <x:color rgb="FF24343F"/>
        <x:rFont val="Linux Libertine G"/>
        <x:family val="2"/>
      </x:rPr>
      <x:t xml:space="preserve">级换</x:t>
    </x:r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</x:t>
    </x:r>
  </x:si>
  <x:si>
    <x:r>
      <x:rPr>
        <x:sz val="10"/>
        <x:color rgb="FF24343F"/>
        <x:rFont val="Linux Libertine G"/>
        <x:family val="2"/>
      </x:rPr>
      <x:t xml:space="preserve">仅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</x:t>
    </x:r>
  </x:si>
  <x:si>
    <x:t xml:space="preserve">用户能同时看懂等级与物料档</x:t>
  </x:si>
  <x:si>
    <x:r>
      <x:rPr>
        <x:sz val="10"/>
        <x:color rgb="FF24343F"/>
        <x:rFont val="Linux Libertine G"/>
        <x:family val="2"/>
      </x:rPr>
      <x:t xml:space="preserve">勋章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铭牌</x:t>
    </x:r>
  </x:si>
  <x:si>
    <x:r>
      <x:rPr>
        <x:sz val="10"/>
        <x:color rgb="FF24343F"/>
        <x:rFont val="Linux Libertine G"/>
        <x:family val="2"/>
      </x:rPr>
      <x:t xml:space="preserve">一套底图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服务端等级数字</x:t>
    </x:r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</x:si>
  <x:si>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档变化才换底图</x:t>
    </x:r>
  </x:si>
  <x:si>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套底图</x:t>
    </x:r>
  </x:si>
  <x:si>
    <x:t xml:space="preserve">数字不可烘焙进图片</x:t>
  </x:si>
  <x:si>
    <x:r>
      <x:rPr>
        <x:sz val="10"/>
        <x:color rgb="FF24343F"/>
        <x:rFont val="Linux Libertine G"/>
        <x:family val="2"/>
      </x:rPr>
      <x:t xml:space="preserve">主页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小框</x:t>
    </x:r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</x:si>
  <x:si>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档边框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动态等级数字</x:t>
    </x:r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</x:si>
  <x:si>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档变化才换框</x:t>
    </x:r>
  </x:si>
  <x:si>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</x:t>
    </x:r>
  </x:si>
  <x:si>
    <x:t xml:space="preserve">不改尺寸和信息层级</x:t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</x:si>
  <x:si>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档标识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动态等级数字</x:t>
    </x:r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</x:si>
  <x:si>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档变化才换标识</x:t>
    </x:r>
  </x:si>
  <x:si>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套或复用现有结构换皮</x:t>
    </x:r>
  </x:si>
  <x:si>
    <x:t xml:space="preserve">低端机静态也能识别</x:t>
  </x:si>
  <x:si>
    <x:r>
      <x:rPr>
        <x:sz val="10"/>
        <x:color rgb="FF24343F"/>
        <x:rFont val="Arial"/>
      </x:rPr>
      <x:t xml:space="preserve">LvN</x:t>
    </x:r>
    <x:r>
      <x:rPr>
        <x:sz val="10"/>
        <x:color rgb="FF24343F"/>
        <x:rFont val="Linux Libertine G"/>
        <x:family val="2"/>
      </x:rPr>
      <x:t xml:space="preserve">升级提示</x:t>
    </x:r>
  </x:si>
  <x:si>
    <x:t xml:space="preserve">每次跨等级</x:t>
  </x:si>
  <x:si>
    <x:t xml:space="preserve">0</x:t>
  </x:si>
  <x:si>
    <x:t xml:space="preserve">不播放整套换装动效</x:t>
  </x:si>
  <x:si>
    <x:t xml:space="preserve">物料换档</x:t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</x:si>
  <x:si>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档升级提示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整套外观切换</x:t>
    </x:r>
  </x:si>
  <x:si>
    <x:t xml:space="preserve">Lv21/41/61/81</x:t>
  </x:si>
  <x:si>
    <x:r>
      <x:rPr>
        <x:sz val="10"/>
        <x:color rgb="FF24343F"/>
        <x:rFont val="Linux Libertine G"/>
        <x:family val="2"/>
      </x:rPr>
      <x:t xml:space="preserve">使用既有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</x:t>
    </x:r>
  </x:si>
  <x:si>
    <x:t xml:space="preserve">视觉变化明显</x:t>
  </x:si>
  <x:si>
    <x:r>
      <x:rPr>
        <x:sz val="10"/>
        <x:color rgb="FF24343F"/>
        <x:rFont val="Linux Libertine G"/>
        <x:family val="2"/>
      </x:rPr>
      <x:t xml:space="preserve">满级、累计</x:t>
    </x:r>
    <x:r>
      <x:rPr>
        <x:sz val="10"/>
        <x:color rgb="FF24343F"/>
        <x:rFont val="Arial"/>
      </x:rPr>
      <x:t xml:space="preserve">CP EXP</x:t>
    </x:r>
    <x:r>
      <x:rPr>
        <x:sz val="10"/>
        <x:color rgb="FF24343F"/>
        <x:rFont val="Linux Libertine G"/>
        <x:family val="2"/>
      </x:rPr>
      <x:t xml:space="preserve">、达到日期</x:t>
    </x:r>
  </x:si>
  <x:si>
    <x:r>
      <x:rPr>
        <x:sz val="10"/>
        <x:color rgb="FF24343F"/>
        <x:rFont val="Linux Libertine G"/>
        <x:family val="2"/>
      </x:rPr>
      <x:t xml:space="preserve">首次达到</x:t>
    </x:r>
    <x:r>
      <x:rPr>
        <x:sz val="10"/>
        <x:color rgb="FF24343F"/>
        <x:rFont val="Arial"/>
      </x:rPr>
      <x:t xml:space="preserve">Lv100</x:t>
    </x:r>
  </x:si>
  <x:si>
    <x:t xml:space="preserve">不再展示虚假下一节点</x:t>
  </x:si>
  <x:si>
    <x:t xml:space="preserve">旧端降级</x:t>
  </x:si>
  <x:si>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档静态图</x:t>
    </x:r>
    <x:r>
      <x:rPr>
        <x:sz val="10"/>
        <x:color rgb="FF24343F"/>
        <x:rFont val="Arial"/>
      </x:rPr>
      <x:t xml:space="preserve">+Lv</x:t>
    </x:r>
    <x:r>
      <x:rPr>
        <x:sz val="10"/>
        <x:color rgb="FF24343F"/>
        <x:rFont val="Linux Libertine G"/>
        <x:family val="2"/>
      </x:rPr>
      <x:t xml:space="preserve">数字</x:t>
    </x:r>
  </x:si>
  <x:si>
    <x:t xml:space="preserve">动效或新组件不支持时</x:t>
  </x:si>
  <x:si>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张静态降级图</x:t>
    </x:r>
  </x:si>
  <x:si>
    <x:t xml:space="preserve">不可显示空白或普通默认框</x:t>
  </x:si>
  <x:si>
    <x:t xml:space="preserve">设计工作量边界</x:t>
  </x:si>
  <x:si>
    <x:t xml:space="preserve">物料</x:t>
  </x:si>
  <x:si>
    <x:t xml:space="preserve">正式数量</x:t>
  </x:si>
  <x:si>
    <x:t xml:space="preserve">动态部分</x:t>
  </x:si>
  <x:si>
    <x:t xml:space="preserve">本期要求</x:t>
  </x:si>
  <x:si>
    <x:t xml:space="preserve">不做</x:t>
  </x:si>
  <x:si>
    <x:r>
      <x:rPr>
        <x:sz val="10"/>
        <x:color rgb="FF24343F"/>
        <x:rFont val="Arial"/>
      </x:rPr>
      <x:t xml:space="preserve">Lv1-Lv100</x:t>
    </x:r>
    <x:r>
      <x:rPr>
        <x:sz val="10"/>
        <x:color rgb="FF24343F"/>
        <x:rFont val="Linux Libertine G"/>
        <x:family val="2"/>
      </x:rPr>
      <x:t xml:space="preserve">数字</x:t>
    </x:r>
  </x:si>
  <x:si>
    <x:r>
      <x:rPr>
        <x:sz val="10"/>
        <x:color rgb="FF24343F"/>
        <x:rFont val="Arial"/>
      </x:rPr>
      <x:t xml:space="preserve">G1-G5</x:t>
    </x:r>
    <x:r>
      <x:rPr>
        <x:sz val="10"/>
        <x:color rgb="FF24343F"/>
        <x:rFont val="Linux Libertine G"/>
        <x:family val="2"/>
      </x:rPr>
      <x:t xml:space="preserve">五套</x:t>
    </x:r>
  </x:si>
  <x:si>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张独立勋章</x:t>
    </x:r>
  </x:si>
  <x:si>
    <x:t xml:space="preserve">等级数字由程序渲染</x:t>
  </x:si>
  <x:si>
    <x:t xml:space="preserve">等级数字</x:t>
  </x:si>
  <x:si>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张独立铭牌</x:t>
    </x:r>
  </x:si>
  <x:si>
    <x:t xml:space="preserve">尺寸与排版统一</x:t>
  </x:si>
  <x:si>
    <x:r>
      <x:rPr>
        <x:sz val="10"/>
        <x:color rgb="FF24343F"/>
        <x:rFont val="Linux Libertine G"/>
        <x:family val="2"/>
      </x:rPr>
      <x:t xml:space="preserve">等级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进度</x:t>
    </x:r>
  </x:si>
  <x:si>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套页面</x:t>
    </x:r>
  </x:si>
  <x:si>
    <x:t xml:space="preserve">共用同一组件</x:t>
  </x:si>
  <x:si>
    <x:r>
      <x:rPr>
        <x:sz val="10"/>
        <x:color rgb="FF24343F"/>
        <x:rFont val="Arial"/>
      </x:rPr>
      <x:t xml:space="preserve">G1-G5</x:t>
    </x:r>
    <x:r>
      <x:rPr>
        <x:sz val="10"/>
        <x:color rgb="FF24343F"/>
        <x:rFont val="Linux Libertine G"/>
        <x:family val="2"/>
      </x:rPr>
      <x:t xml:space="preserve">五套或现有结构换皮</x:t>
    </x:r>
  </x:si>
  <x:si>
    <x:t xml:space="preserve">每级独立结构</x:t>
  </x:si>
  <x:si>
    <x:t xml:space="preserve">静态降级必做</x:t>
  </x:si>
  <x:si>
    <x:t xml:space="preserve">换档动效</x:t>
  </x:si>
  <x:si>
    <x:r>
      <x:rPr>
        <x:sz val="10"/>
        <x:color rgb="FF24343F"/>
        <x:rFont val="Arial"/>
      </x:rPr>
      <x:t xml:space="preserve">Lv21/41/61/81</x:t>
    </x:r>
    <x:r>
      <x:rPr>
        <x:sz val="10"/>
        <x:color rgb="FF24343F"/>
        <x:rFont val="Linux Libertine G"/>
        <x:family val="2"/>
      </x:rPr>
      <x:t xml:space="preserve">触发</x:t>
    </x:r>
  </x:si>
  <x:si>
    <x:r>
      <x:rPr>
        <x:sz val="10"/>
        <x:color rgb="FF24343F"/>
        <x:rFont val="Linux Libertine G"/>
        <x:family val="2"/>
      </x:rPr>
      <x:t xml:space="preserve">统一容器换色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粒子参数</x:t>
    </x:r>
  </x:si>
  <x:si>
    <x:t xml:space="preserve">每级升级动效</x:t>
  </x:si>
  <x:si>
    <x:t xml:space="preserve">普通升级使用同一轻提示</x:t>
  </x:si>
  <x:si>
    <x:t xml:space="preserve">普通升级提示</x:t>
  </x:si>
  <x:si>
    <x:r>
      <x:rPr>
        <x:sz val="10"/>
        <x:color rgb="FF24343F"/>
        <x:rFont val="Arial"/>
      </x:rPr>
      <x:t xml:space="preserve">Lv</x:t>
    </x:r>
    <x:r>
      <x:rPr>
        <x:sz val="10"/>
        <x:color rgb="FF24343F"/>
        <x:rFont val="Linux Libertine G"/>
        <x:family val="2"/>
      </x:rPr>
      <x:t xml:space="preserve">数字</x:t>
    </x:r>
  </x:si>
  <x:si>
    <x:t xml:space="preserve">统一模板</x:t>
  </x:si>
  <x:si>
    <x:r>
      <x:rPr>
        <x:sz val="10"/>
        <x:color rgb="FF24343F"/>
        <x:rFont val="Arial"/>
      </x:rPr>
      <x:t xml:space="preserve">99</x:t>
    </x:r>
    <x:r>
      <x:rPr>
        <x:sz val="10"/>
        <x:color rgb="FF24343F"/>
        <x:rFont val="Linux Libertine G"/>
        <x:family val="2"/>
      </x:rPr>
      <x:t xml:space="preserve">套独立素材</x:t>
    </x:r>
  </x:si>
  <x:si>
    <x:t xml:space="preserve">同一动效模板复用</x:t>
  </x:si>
  <x:si>
    <x:t xml:space="preserve">私聊背景</x:t>
  </x:si>
  <x:si>
    <x:t xml:space="preserve">-</x:t>
  </x:si>
  <x:si>
    <x:t xml:space="preserve">下版本</x:t>
  </x:si>
  <x:si>
    <x:t xml:space="preserve">本期制作</x:t>
  </x:si>
  <x:si>
    <x:t xml:space="preserve">保持原排期</x:t>
  </x:si>
  <x:si>
    <x:t xml:space="preserve">全站飘屏</x:t>
  </x:si>
  <x:si>
    <x:t xml:space="preserve">默认关闭</x:t>
  </x:si>
  <x:si>
    <x:t xml:space="preserve">先做当前房间范围</x:t>
  </x:si>
  <x:si>
    <x:t xml:space="preserve">现有增长来源保留，任务口径优化</x:t>
  </x:si>
  <x:si>
    <x:t xml:space="preserve">现有规则</x:t>
  </x:si>
  <x:si>
    <x:t xml:space="preserve">周期上限</x:t>
  </x:si>
  <x:si>
    <x:t xml:space="preserve">本方案</x:t>
  </x:si>
  <x:si>
    <x:t xml:space="preserve">作用</x:t>
  </x:si>
  <x:si>
    <x:t xml:space="preserve">备注</x:t>
  </x:si>
  <x:si>
    <x:t xml:space="preserve">私信双向回合</x:t>
  </x:si>
  <x:si>
    <x:r>
      <x:rPr>
        <x:sz val="10"/>
        <x:color rgb="FF24343F"/>
        <x:rFont val="Arial"/>
      </x:rPr>
      <x:t xml:space="preserve">+1/</x:t>
    </x:r>
    <x:r>
      <x:rPr>
        <x:sz val="10"/>
        <x:color rgb="FF24343F"/>
        <x:rFont val="Linux Libertine G"/>
        <x:family val="2"/>
      </x:rPr>
      <x:t xml:space="preserve">有效回合</x:t>
    </x:r>
  </x:si>
  <x:si>
    <x:r>
      <x:rPr>
        <x:sz val="10"/>
        <x:color rgb="FF24343F"/>
        <x:rFont val="Arial"/>
      </x:rPr>
      <x:t xml:space="preserve">20/</x:t>
    </x:r>
    <x:r>
      <x:rPr>
        <x:sz val="10"/>
        <x:color rgb="FF24343F"/>
        <x:rFont val="Linux Libertine G"/>
        <x:family val="2"/>
      </x:rPr>
      <x:t xml:space="preserve">日</x:t>
    </x:r>
  </x:si>
  <x:si>
    <x:t xml:space="preserve">不调整</x:t>
  </x:si>
  <x:si>
    <x:t xml:space="preserve">免费日常</x:t>
  </x:si>
  <x:si>
    <x:t xml:space="preserve">完成后自动入账</x:t>
  </x:si>
  <x:si>
    <x:t xml:space="preserve">共同游戏</x:t>
  </x:si>
  <x:si>
    <x:r>
      <x:rPr>
        <x:sz val="10"/>
        <x:color rgb="FF24343F"/>
        <x:rFont val="Arial"/>
      </x:rPr>
      <x:t xml:space="preserve">+10/</x:t>
    </x:r>
    <x:r>
      <x:rPr>
        <x:sz val="10"/>
        <x:color rgb="FF24343F"/>
        <x:rFont val="Linux Libertine G"/>
        <x:family val="2"/>
      </x:rPr>
      <x:t xml:space="preserve">局</x:t>
    </x:r>
  </x:si>
  <x:si>
    <x:r>
      <x:rPr>
        <x:sz val="10"/>
        <x:color rgb="FF24343F"/>
        <x:rFont val="Arial"/>
      </x:rPr>
      <x:t xml:space="preserve">30/</x:t>
    </x:r>
    <x:r>
      <x:rPr>
        <x:sz val="10"/>
        <x:color rgb="FF24343F"/>
        <x:rFont val="Linux Libertine G"/>
        <x:family val="2"/>
      </x:rPr>
      <x:t xml:space="preserve">日</x:t>
    </x:r>
  </x:si>
  <x:si>
    <x:t xml:space="preserve">有效局结算</x:t>
  </x:si>
  <x:si>
    <x:t xml:space="preserve">普通礼物</x:t>
  </x:si>
  <x:si>
    <x:r>
      <x:rPr>
        <x:sz val="10"/>
        <x:color rgb="FF24343F"/>
        <x:rFont val="Linux Libertine G"/>
        <x:family val="2"/>
      </x:rPr>
      <x:t xml:space="preserve">实际支付金币</x:t>
    </x:r>
    <x:r>
      <x:rPr>
        <x:sz val="10"/>
        <x:color rgb="FF24343F"/>
        <x:rFont val="Arial"/>
      </x:rPr>
      <x:t xml:space="preserve">/100</x:t>
    </x:r>
  </x:si>
  <x:si>
    <x:t xml:space="preserve">无上限</x:t>
  </x:si>
  <x:si>
    <x:t xml:space="preserve">基础付费</x:t>
  </x:si>
  <x:si>
    <x:t xml:space="preserve">沿用取整</x:t>
  </x:si>
  <x:si>
    <x:t xml:space="preserve">幸运礼物</x:t>
  </x:si>
  <x:si>
    <x:r>
      <x:rPr>
        <x:sz val="10"/>
        <x:color rgb="FF24343F"/>
        <x:rFont val="Arial"/>
      </x:rPr>
      <x:t xml:space="preserve">floor(</x:t>
    </x:r>
    <x:r>
      <x:rPr>
        <x:sz val="10"/>
        <x:color rgb="FF24343F"/>
        <x:rFont val="Linux Libertine G"/>
        <x:family val="2"/>
      </x:rPr>
      <x:t xml:space="preserve">实际支付金币</x:t>
    </x:r>
    <x:r>
      <x:rPr>
        <x:sz val="10"/>
        <x:color rgb="FF24343F"/>
        <x:rFont val="Arial"/>
      </x:rPr>
      <x:t xml:space="preserve">/1000)</x:t>
    </x:r>
  </x:si>
  <x:si>
    <x:t xml:space="preserve">低效率付费</x:t>
  </x:si>
  <x:si>
    <x:t xml:space="preserve">不计中奖返奖</x:t>
  </x:si>
  <x:si>
    <x:r>
      <x:rPr>
        <x:sz val="10"/>
        <x:color rgb="FF24343F"/>
        <x:rFont val="Arial"/>
      </x:rPr>
      <x:t xml:space="preserve">BOND</x:t>
    </x:r>
    <x:r>
      <x:rPr>
        <x:sz val="10"/>
        <x:color rgb="FF24343F"/>
        <x:rFont val="Linux Libertine G"/>
        <x:family val="2"/>
      </x:rPr>
      <x:t xml:space="preserve">礼物</x:t>
    </x:r>
  </x:si>
  <x:si>
    <x:r>
      <x:rPr>
        <x:sz val="10"/>
        <x:color rgb="FF24343F"/>
        <x:rFont val="Linux Libertine G"/>
        <x:family val="2"/>
      </x:rPr>
      <x:t xml:space="preserve">固定</x:t>
    </x:r>
    <x:r>
      <x:rPr>
        <x:sz val="10"/>
        <x:color rgb="FF24343F"/>
        <x:rFont val="Arial"/>
      </x:rPr>
      <x:t xml:space="preserve">+350</x:t>
    </x:r>
  </x:si>
  <x:si>
    <x:t xml:space="preserve">严格按附件</x:t>
  </x:si>
  <x:si>
    <x:t xml:space="preserve">通用关系消费</x:t>
  </x:si>
  <x:si>
    <x:t xml:space="preserve">同行礼盒；任一有效正式关系</x:t>
  </x:si>
  <x:si>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礼物</x:t>
    </x:r>
  </x:si>
  <x:si>
    <x:r>
      <x:rPr>
        <x:sz val="10"/>
        <x:color rgb="FF24343F"/>
        <x:rFont val="Linux Libertine G"/>
        <x:family val="2"/>
      </x:rPr>
      <x:t xml:space="preserve">固定</x:t>
    </x:r>
    <x:r>
      <x:rPr>
        <x:sz val="10"/>
        <x:color rgb="FF24343F"/>
        <x:rFont val="Arial"/>
      </x:rPr>
      <x:t xml:space="preserve">+600/+1,750/+6,000</x:t>
    </x:r>
  </x:si>
  <x:si>
    <x:r>
      <x:rPr>
        <x:sz val="10"/>
        <x:color rgb="FF24343F"/>
        <x:rFont val="Linux Libertine G"/>
        <x:family val="2"/>
      </x:rPr>
      <x:t xml:space="preserve">严格按附件</x:t>
    </x:r>
    <x:r>
      <x:rPr>
        <x:sz val="10"/>
        <x:color rgb="FF24343F"/>
        <x:rFont val="Arial"/>
      </x:rPr>
      <x:t xml:space="preserve">3</x:t>
    </x:r>
    <x:r>
      <x:rPr>
        <x:sz val="10"/>
        <x:color rgb="FF24343F"/>
        <x:rFont val="Linux Libertine G"/>
        <x:family val="2"/>
      </x:rPr>
      <x:t xml:space="preserve">档</x:t>
    </x:r>
  </x:si>
  <x:si>
    <x:t xml:space="preserve">付费成长加速</x:t>
  </x:si>
  <x:si>
    <x:r>
      <x:rPr>
        <x:sz val="10"/>
        <x:color rgb="FF24343F"/>
        <x:rFont val="Arial"/>
      </x:rPr>
      <x:t xml:space="preserve">Lv1/Lv10/Lv20</x:t>
    </x:r>
    <x:r>
      <x:rPr>
        <x:sz val="10"/>
        <x:color rgb="FF24343F"/>
        <x:rFont val="Linux Libertine G"/>
        <x:family val="2"/>
      </x:rPr>
      <x:t xml:space="preserve">解锁；不得使用戒指造型</x:t>
    </x:r>
  </x:si>
  <x:si>
    <x:t xml:space="preserve">日任务</x:t>
  </x:si>
  <x:si>
    <x:r>
      <x:rPr>
        <x:sz val="10"/>
        <x:color rgb="FF24343F"/>
        <x:rFont val="Linux Libertine G"/>
        <x:family val="2"/>
      </x:rPr>
      <x:t xml:space="preserve">名义上限</x:t>
    </x:r>
    <x:r>
      <x:rPr>
        <x:sz val="10"/>
        <x:color rgb="FF24343F"/>
        <x:rFont val="Arial"/>
      </x:rPr>
      <x:t xml:space="preserve">40</x:t>
    </x:r>
    <x:r>
      <x:rPr>
        <x:sz val="10"/>
        <x:color rgb="FF24343F"/>
        <x:rFont val="Linux Libertine G"/>
        <x:family val="2"/>
      </x:rPr>
      <x:t xml:space="preserve">（</x:t>
    </x:r>
    <x:r>
      <x:rPr>
        <x:sz val="10"/>
        <x:color rgb="FF24343F"/>
        <x:rFont val="Arial"/>
      </x:rPr>
      <x:t xml:space="preserve">4</x:t>
    </x:r>
    <x:r>
      <x:rPr>
        <x:sz val="10"/>
        <x:color rgb="FF24343F"/>
        <x:rFont val="Linux Libertine G"/>
        <x:family val="2"/>
      </x:rPr>
      <x:t xml:space="preserve">项</x:t>
    </x:r>
    <x:r>
      <x:rPr>
        <x:sz val="10"/>
        <x:color rgb="FF24343F"/>
        <x:rFont val="Arial"/>
      </x:rPr>
      <x:t xml:space="preserve">×10</x:t>
    </x:r>
    <x:r>
      <x:rPr>
        <x:sz val="10"/>
        <x:color rgb="FF24343F"/>
        <x:rFont val="Linux Libertine G"/>
        <x:family val="2"/>
      </x:rPr>
      <x:t xml:space="preserve">）</x:t>
    </x:r>
  </x:si>
  <x:si>
    <x:t xml:space="preserve">按日</x:t>
  </x:si>
  <x:si>
    <x:t xml:space="preserve">任务重构</x:t>
  </x:si>
  <x:si>
    <x:r>
      <x:rPr>
        <x:sz val="10"/>
        <x:color rgb="FF24343F"/>
        <x:rFont val="Linux Libertine G"/>
        <x:family val="2"/>
      </x:rPr>
      <x:t xml:space="preserve">互动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轻付费</x:t>
    </x:r>
  </x:si>
  <x:si>
    <x:r>
      <x:rPr>
        <x:sz val="10"/>
        <x:color rgb="FF24343F"/>
        <x:rFont val="Linux Libertine G"/>
        <x:family val="2"/>
      </x:rPr>
      <x:t xml:space="preserve">亲密聊天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同房陪伴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同麦陪伴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送份礼物；达标自动到账</x:t>
    </x:r>
  </x:si>
  <x:si>
    <x:t xml:space="preserve">周任务</x:t>
  </x:si>
  <x:si>
    <x:r>
      <x:rPr>
        <x:sz val="10"/>
        <x:color rgb="FF24343F"/>
        <x:rFont val="Linux Libertine G"/>
        <x:family val="2"/>
      </x:rPr>
      <x:t xml:space="preserve">名义上限</x:t>
    </x:r>
    <x:r>
      <x:rPr>
        <x:sz val="10"/>
        <x:color rgb="FF24343F"/>
        <x:rFont val="Arial"/>
      </x:rPr>
      <x:t xml:space="preserve">80</x:t>
    </x:r>
    <x:r>
      <x:rPr>
        <x:sz val="10"/>
        <x:color rgb="FF24343F"/>
        <x:rFont val="Linux Libertine G"/>
        <x:family val="2"/>
      </x:rPr>
      <x:t xml:space="preserve">（</x:t>
    </x:r>
    <x:r>
      <x:rPr>
        <x:sz val="10"/>
        <x:color rgb="FF24343F"/>
        <x:rFont val="Arial"/>
      </x:rPr>
      <x:t xml:space="preserve">4</x:t>
    </x:r>
    <x:r>
      <x:rPr>
        <x:sz val="10"/>
        <x:color rgb="FF24343F"/>
        <x:rFont val="Linux Libertine G"/>
        <x:family val="2"/>
      </x:rPr>
      <x:t xml:space="preserve">项</x:t>
    </x:r>
    <x:r>
      <x:rPr>
        <x:sz val="10"/>
        <x:color rgb="FF24343F"/>
        <x:rFont val="Arial"/>
      </x:rPr>
      <x:t xml:space="preserve">×20</x:t>
    </x:r>
    <x:r>
      <x:rPr>
        <x:sz val="10"/>
        <x:color rgb="FF24343F"/>
        <x:rFont val="Linux Libertine G"/>
        <x:family val="2"/>
      </x:rPr>
      <x:t xml:space="preserve">）</x:t>
    </x:r>
  </x:si>
  <x:si>
    <x:t xml:space="preserve">按周</x:t>
  </x:si>
  <x:si>
    <x:r>
      <x:rPr>
        <x:sz val="10"/>
        <x:color rgb="FF24343F"/>
        <x:rFont val="Linux Libertine G"/>
        <x:family val="2"/>
      </x:rPr>
      <x:t xml:space="preserve">跨日活跃</x:t>
    </x:r>
    <x:r>
      <x:rPr>
        <x:sz val="10"/>
        <x:color rgb="FF24343F"/>
        <x:rFont val="Arial"/>
      </x:rPr>
      <x:t xml:space="preserve">+</x:t>
    </x:r>
    <x:r>
      <x:rPr>
        <x:sz val="10"/>
        <x:color rgb="FF24343F"/>
        <x:rFont val="Linux Libertine G"/>
        <x:family val="2"/>
      </x:rPr>
      <x:t xml:space="preserve">关系表达</x:t>
    </x:r>
  </x:si>
  <x:si>
    <x:r>
      <x:rPr>
        <x:sz val="10"/>
        <x:color rgb="FF24343F"/>
        <x:rFont val="Linux Libertine G"/>
        <x:family val="2"/>
      </x:rPr>
      <x:t xml:space="preserve">三日相伴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常伴在麦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五日有互动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关系升温；达标自动到账</x:t>
    </x:r>
  </x:si>
  <x:si>
    <x:r>
      <x:rPr>
        <x:b/>
        <x:sz val="10"/>
        <x:color rgb="FFFFFFFF"/>
        <x:rFont val="Linux Libertine G"/>
        <x:family val="2"/>
      </x:rPr>
      <x:t xml:space="preserve">附件礼物配置（</x:t>
    </x:r>
    <x:r>
      <x:rPr>
        <x:b/>
        <x:sz val="10"/>
        <x:color rgb="FFFFFFFF"/>
        <x:rFont val="Arial"/>
      </x:rPr>
      <x:t xml:space="preserve">1</x:t>
    </x:r>
    <x:r>
      <x:rPr>
        <x:b/>
        <x:sz val="10"/>
        <x:color rgb="FFFFFFFF"/>
        <x:rFont val="Linux Libertine G"/>
        <x:family val="2"/>
      </x:rPr>
      <x:t xml:space="preserve">个</x:t>
    </x:r>
    <x:r>
      <x:rPr>
        <x:b/>
        <x:sz val="10"/>
        <x:color rgb="FFFFFFFF"/>
        <x:rFont val="Arial"/>
      </x:rPr>
      <x:t xml:space="preserve">BOND + 3</x:t>
    </x:r>
    <x:r>
      <x:rPr>
        <x:b/>
        <x:sz val="10"/>
        <x:color rgb="FFFFFFFF"/>
        <x:rFont val="Linux Libertine G"/>
        <x:family val="2"/>
      </x:rPr>
      <x:t xml:space="preserve">个</x:t>
    </x:r>
    <x:r>
      <x:rPr>
        <x:b/>
        <x:sz val="10"/>
        <x:color rgb="FFFFFFFF"/>
        <x:rFont val="Arial"/>
      </x:rPr>
      <x:t xml:space="preserve">CP</x:t>
    </x:r>
    <x:r>
      <x:rPr>
        <x:b/>
        <x:sz val="10"/>
        <x:color rgb="FFFFFFFF"/>
        <x:rFont val="Linux Libertine G"/>
        <x:family val="2"/>
      </x:rPr>
      <x:t xml:space="preserve">）</x:t>
    </x:r>
  </x:si>
  <x:si>
    <x:t xml:space="preserve">编码</x:t>
  </x:si>
  <x:si>
    <x:t xml:space="preserve">礼物名称</x:t>
  </x:si>
  <x:si>
    <x:r>
      <x:rPr>
        <x:b/>
        <x:sz val="10"/>
        <x:color rgb="FFFFFFFF"/>
        <x:rFont val="Linux Libertine G"/>
        <x:family val="2"/>
      </x:rPr>
      <x:t xml:space="preserve">解锁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适用</x:t>
    </x:r>
  </x:si>
  <x:si>
    <x:t xml:space="preserve">价格</x:t>
  </x:si>
  <x:si>
    <x:t xml:space="preserve">固定亲密值</x:t>
  </x:si>
  <x:si>
    <x:r>
      <x:rPr>
        <x:b/>
        <x:sz val="10"/>
        <x:color rgb="FFFFFFFF"/>
        <x:rFont val="Linux Libertine G"/>
        <x:family val="2"/>
      </x:rPr>
      <x:t xml:space="preserve">亲密值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千金币</x:t>
    </x:r>
  </x:si>
  <x:si>
    <x:t xml:space="preserve">礼物缩略图</x:t>
  </x:si>
  <x:si>
    <x:t xml:space="preserve">详情主视觉</x:t>
  </x:si>
  <x:si>
    <x:t xml:space="preserve">静态降级图</x:t>
  </x:si>
  <x:si>
    <x:t xml:space="preserve">BOND_GIFT_01</x:t>
  </x:si>
  <x:si>
    <x:t xml:space="preserve">同行礼盒</x:t>
  </x:si>
  <x:si>
    <x:t xml:space="preserve">任一有效正式关系</x:t>
  </x:si>
  <x:si>
    <x:t xml:space="preserve">需要</x:t>
  </x:si>
  <x:si>
    <x:t xml:space="preserve">CP_GIFT_01</x:t>
  </x:si>
  <x:si>
    <x:t xml:space="preserve">心动花束</x:t>
  </x:si>
  <x:si>
    <x:r>
      <x:rPr>
        <x:sz val="10"/>
        <x:color rgb="FF24343F"/>
        <x:rFont val="Linux Libertine G"/>
        <x:family val="2"/>
      </x:rPr>
      <x:t xml:space="preserve">有效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；</x:t>
    </x:r>
    <x:r>
      <x:rPr>
        <x:sz val="10"/>
        <x:color rgb="FF24343F"/>
        <x:rFont val="Arial"/>
      </x:rPr>
      <x:t xml:space="preserve">Lv1</x:t>
    </x:r>
    <x:r>
      <x:rPr>
        <x:sz val="10"/>
        <x:color rgb="FF24343F"/>
        <x:rFont val="Linux Libertine G"/>
        <x:family val="2"/>
      </x:rPr>
      <x:t xml:space="preserve">解锁</x:t>
    </x:r>
  </x:si>
  <x:si>
    <x:t xml:space="preserve">CP_GIFT_02</x:t>
  </x:si>
  <x:si>
    <x:t xml:space="preserve">星河情书</x:t>
  </x:si>
  <x:si>
    <x:r>
      <x:rPr>
        <x:sz val="10"/>
        <x:color rgb="FF24343F"/>
        <x:rFont val="Linux Libertine G"/>
        <x:family val="2"/>
      </x:rPr>
      <x:t xml:space="preserve">有效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；</x:t>
    </x:r>
    <x:r>
      <x:rPr>
        <x:sz val="10"/>
        <x:color rgb="FF24343F"/>
        <x:rFont val="Arial"/>
      </x:rPr>
      <x:t xml:space="preserve">Lv10</x:t>
    </x:r>
    <x:r>
      <x:rPr>
        <x:sz val="10"/>
        <x:color rgb="FF24343F"/>
        <x:rFont val="Linux Libertine G"/>
        <x:family val="2"/>
      </x:rPr>
      <x:t xml:space="preserve">解锁</x:t>
    </x:r>
  </x:si>
  <x:si>
    <x:t xml:space="preserve">CP_GIFT_03</x:t>
  </x:si>
  <x:si>
    <x:t xml:space="preserve">永恒城堡</x:t>
  </x:si>
  <x:si>
    <x:r>
      <x:rPr>
        <x:sz val="10"/>
        <x:color rgb="FF24343F"/>
        <x:rFont val="Linux Libertine G"/>
        <x:family val="2"/>
      </x:rPr>
      <x:t xml:space="preserve">有效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；</x:t>
    </x:r>
    <x:r>
      <x:rPr>
        <x:sz val="10"/>
        <x:color rgb="FF24343F"/>
        <x:rFont val="Arial"/>
      </x:rPr>
      <x:t xml:space="preserve">Lv20</x:t>
    </x:r>
    <x:r>
      <x:rPr>
        <x:sz val="10"/>
        <x:color rgb="FF24343F"/>
        <x:rFont val="Linux Libertine G"/>
        <x:family val="2"/>
      </x:rPr>
      <x:t xml:space="preserve">解锁</x:t>
    </x:r>
  </x:si>
  <x:si>
    <x:t xml:space="preserve">戒指兼容规则</x:t>
  </x:si>
  <x:si>
    <x:t xml:space="preserve">项目</x:t>
  </x:si>
  <x:si>
    <x:t xml:space="preserve">当前口径</x:t>
  </x:si>
  <x:si>
    <x:t xml:space="preserve">判断规则</x:t>
  </x:si>
  <x:si>
    <x:t xml:space="preserve">待确认</x:t>
  </x:si>
  <x:si>
    <x:r>
      <x:rPr>
        <x:sz val="10"/>
        <x:color rgb="FF24343F"/>
        <x:rFont val="Arial"/>
      </x:rPr>
      <x:t xml:space="preserve">Super Love</x:t>
    </x:r>
    <x:r>
      <x:rPr>
        <x:sz val="10"/>
        <x:color rgb="FF24343F"/>
        <x:rFont val="Linux Libertine G"/>
        <x:family val="2"/>
      </x:rPr>
      <x:t xml:space="preserve">戒指组合效率（原型）</x:t>
    </x:r>
  </x:si>
  <x:si>
    <x:t xml:space="preserve">仅作待核验参考</x:t>
  </x:si>
  <x:si>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枚原型数据合计</x:t>
    </x:r>
    <x:r>
      <x:rPr>
        <x:sz val="10"/>
        <x:color rgb="FF24343F"/>
        <x:rFont val="Arial"/>
      </x:rPr>
      <x:t xml:space="preserve">CP EXP/</x:t>
    </x:r>
    <x:r>
      <x:rPr>
        <x:sz val="10"/>
        <x:color rgb="FF24343F"/>
        <x:rFont val="Linux Libertine G"/>
        <x:family val="2"/>
      </x:rPr>
      <x:t xml:space="preserve">总价</x:t>
    </x:r>
    <x:r>
      <x:rPr>
        <x:sz val="10"/>
        <x:color rgb="FF24343F"/>
        <x:rFont val="Arial"/>
      </x:rPr>
      <x:t xml:space="preserve">×1000</x:t>
    </x:r>
  </x:si>
  <x:si>
    <x:t xml:space="preserve">后台真实价格、奖励和购买限制</x:t>
  </x:si>
  <x:si>
    <x:r>
      <x:rPr>
        <x:sz val="10"/>
        <x:color rgb="FF24343F"/>
        <x:rFont val="Linux Libertine G"/>
        <x:family val="2"/>
      </x:rPr>
      <x:t xml:space="preserve">附件</x:t>
    </x:r>
    <x:r>
      <x:rPr>
        <x:sz val="10"/>
        <x:color rgb="FF24343F"/>
        <x:rFont val="Arial"/>
      </x:rPr>
      <x:t xml:space="preserve">BOND</x:t>
    </x:r>
    <x:r>
      <x:rPr>
        <x:sz val="10"/>
        <x:color rgb="FF24343F"/>
        <x:rFont val="Linux Libertine G"/>
        <x:family val="2"/>
      </x:rPr>
      <x:t xml:space="preserve">礼物效率</x:t>
    </x:r>
  </x:si>
  <x:si>
    <x:t xml:space="preserve">保持附件原值</x:t>
  </x:si>
  <x:si>
    <x:r>
      <x:rPr>
        <x:sz val="10"/>
        <x:color rgb="FF24343F"/>
        <x:rFont val="Arial"/>
      </x:rPr>
      <x:t xml:space="preserve">350/18,888×1000</x:t>
    </x:r>
    <x:r>
      <x:rPr>
        <x:sz val="10"/>
        <x:color rgb="FF24343F"/>
        <x:rFont val="Linux Libertine G"/>
        <x:family val="2"/>
      </x:rPr>
      <x:t xml:space="preserve">；不按戒指反推</x:t>
    </x:r>
  </x:si>
  <x:si>
    <x:t xml:space="preserve">无</x:t>
  </x:si>
  <x:si>
    <x:r>
      <x:rPr>
        <x:sz val="10"/>
        <x:color rgb="FF24343F"/>
        <x:rFont val="Linux Libertine G"/>
        <x:family val="2"/>
      </x:rPr>
      <x:t xml:space="preserve">附件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礼物效率</x:t>
    </x:r>
  </x:si>
  <x:si>
    <x:t xml:space="preserve">20.00 / 25.00 / 30.00</x:t>
  </x:si>
  <x:si>
    <x:t xml:space="preserve">保持附件梯度</x:t>
  </x:si>
  <x:si>
    <x:t xml:space="preserve">保留高档礼物加速梯度</x:t>
  </x:si>
  <x:si>
    <x:t xml:space="preserve">确认该梯度为运营目标</x:t>
  </x:si>
  <x:si>
    <x:t xml:space="preserve">是否用戒指反推礼物</x:t>
  </x:si>
  <x:si>
    <x:t xml:space="preserve">否</x:t>
  </x:si>
  <x:si>
    <x:r>
      <x:rPr>
        <x:sz val="10"/>
        <x:color rgb="FF24343F"/>
        <x:rFont val="Linux Libertine G"/>
        <x:family val="2"/>
      </x:rPr>
      <x:t xml:space="preserve">礼物数量、价格、奖励和解锁以</x:t>
    </x:r>
    <x:r>
      <x:rPr>
        <x:sz val="10"/>
        <x:color rgb="FF24343F"/>
        <x:rFont val="Arial"/>
      </x:rPr>
      <x:t xml:space="preserve">v3.7</x:t>
    </x:r>
    <x:r>
      <x:rPr>
        <x:sz val="10"/>
        <x:color rgb="FF24343F"/>
        <x:rFont val="Linux Libertine G"/>
        <x:family val="2"/>
      </x:rPr>
      <x:t xml:space="preserve">附件为准</x:t>
    </x:r>
  </x:si>
  <x:si>
    <x:t xml:space="preserve">是否立即调戒指</x:t>
  </x:si>
  <x:si>
    <x:t xml:space="preserve">先核验后台商品与现网规则，再单独评审</x:t>
  </x:si>
  <x:si>
    <x:t xml:space="preserve">重复购买、库存、退款和币种</x:t>
  </x:si>
  <x:si>
    <x:t xml:space="preserve">造型边界</x:t>
  </x:si>
  <x:si>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礼物不得使用戒指</x:t>
    </x:r>
  </x:si>
  <x:si>
    <x:t xml:space="preserve">与求婚、升级戒指明确区分</x:t>
  </x:si>
  <x:si>
    <x:t xml:space="preserve">设计验收</x:t>
  </x:si>
  <x:si>
    <x:t xml:space="preserve">周期</x:t>
  </x:si>
  <x:si>
    <x:t xml:space="preserve">任务</x:t>
  </x:si>
  <x:si>
    <x:t xml:space="preserve">达标条件</x:t>
  </x:si>
  <x:si>
    <x:t xml:space="preserve">可计礼物</x:t>
  </x:si>
  <x:si>
    <x:r>
      <x:rPr>
        <x:sz val="10"/>
        <x:color rgb="FF24343F"/>
        <x:rFont val="Linux Libertine G"/>
        <x:family val="2"/>
      </x:rPr>
      <x:t xml:space="preserve">不计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撤销</x:t>
    </x:r>
  </x:si>
  <x:si>
    <x:t xml:space="preserve">奖励</x:t>
  </x:si>
  <x:si>
    <x:t xml:space="preserve">结算</x:t>
  </x:si>
  <x:si>
    <x:t xml:space="preserve">关系复用</x:t>
  </x:si>
  <x:si>
    <x:t xml:space="preserve">日</x:t>
  </x:si>
  <x:si>
    <x:t xml:space="preserve">REL_D_01</x:t>
  </x:si>
  <x:si>
    <x:t xml:space="preserve">亲密聊天</x:t>
  </x:si>
  <x:si>
    <x:r>
      <x:rPr>
        <x:sz val="10"/>
        <x:color rgb="FF24343F"/>
        <x:rFont val="Linux Libertine G"/>
        <x:family val="2"/>
      </x:rPr>
      <x:t xml:space="preserve">双方各发送</x:t>
    </x:r>
    <x:r>
      <x:rPr>
        <x:sz val="10"/>
        <x:color rgb="FF24343F"/>
        <x:rFont val="Arial"/>
      </x:rPr>
      <x:t xml:space="preserve">3</x:t>
    </x:r>
    <x:r>
      <x:rPr>
        <x:sz val="10"/>
        <x:color rgb="FF24343F"/>
        <x:rFont val="Linux Libertine G"/>
        <x:family val="2"/>
      </x:rPr>
      <x:t xml:space="preserve">条消息</x:t>
    </x:r>
  </x:si>
  <x:si>
    <x:r>
      <x:rPr>
        <x:sz val="10"/>
        <x:color rgb="FF24343F"/>
        <x:rFont val="Linux Libertine G"/>
        <x:family val="2"/>
      </x:rPr>
      <x:t xml:space="preserve">无效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撤回消息不计</x:t>
    </x:r>
  </x:si>
  <x:si>
    <x:t xml:space="preserve">+10</x:t>
  </x:si>
  <x:si>
    <x:t xml:space="preserve">达标自动到账</x:t>
  </x:si>
  <x:si>
    <x:r>
      <x:rPr>
        <x:sz val="10"/>
        <x:color rgb="FF24343F"/>
        <x:rFont val="Arial"/>
      </x:rPr>
      <x:t xml:space="preserve">CP/</x:t>
    </x:r>
    <x:r>
      <x:rPr>
        <x:sz val="10"/>
        <x:color rgb="FF24343F"/>
        <x:rFont val="Linux Libertine G"/>
        <x:family val="2"/>
      </x:rPr>
      <x:t xml:space="preserve">兄弟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闺蜜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挚友</x:t>
    </x:r>
  </x:si>
  <x:si>
    <x:t xml:space="preserve">REL_D_02</x:t>
  </x:si>
  <x:si>
    <x:t xml:space="preserve">同房陪伴</x:t>
  </x:si>
  <x:si>
    <x:r>
      <x:rPr>
        <x:sz val="11"/>
        <x:rFont val="Linux Libertine G"/>
        <x:family val="2"/>
      </x:rPr>
      <x:t xml:space="preserve">同房</x:t>
    </x:r>
    <x:r>
      <x:rPr>
        <x:sz val="11"/>
        <x:rFont val="Calibri"/>
      </x:rPr>
      <x:t xml:space="preserve">10</x:t>
    </x:r>
    <x:r>
      <x:rPr>
        <x:sz val="11"/>
        <x:rFont val="Linux Libertine G"/>
        <x:family val="2"/>
      </x:rPr>
      <x:t xml:space="preserve">分钟；双方各完成</x:t>
    </x:r>
    <x:r>
      <x:rPr>
        <x:sz val="11"/>
        <x:rFont val="Calibri"/>
      </x:rPr>
      <x:t xml:space="preserve">1</x:t>
    </x:r>
    <x:r>
      <x:rPr>
        <x:sz val="11"/>
        <x:rFont val="Linux Libertine G"/>
        <x:family val="2"/>
      </x:rPr>
      <x:t xml:space="preserve">次发言、发消息或发送房间表情</x:t>
    </x:r>
  </x:si>
  <x:si>
    <x:t xml:space="preserve">纯挂机、单方无主动操作不计</x:t>
  </x:si>
  <x:si>
    <x:r>
      <x:rPr>
        <x:sz val="11"/>
        <x:rFont val="Calibri"/>
      </x:rPr>
      <x:t xml:space="preserve">CP/</x:t>
    </x:r>
    <x:r>
      <x:rPr>
        <x:sz val="11"/>
        <x:rFont val="Linux Libertine G"/>
        <x:family val="2"/>
      </x:rPr>
      <x:t xml:space="preserve">兄弟</x:t>
    </x:r>
    <x:r>
      <x:rPr>
        <x:sz val="11"/>
        <x:rFont val="Calibri"/>
      </x:rPr>
      <x:t xml:space="preserve">/</x:t>
    </x:r>
    <x:r>
      <x:rPr>
        <x:sz val="11"/>
        <x:rFont val="Linux Libertine G"/>
        <x:family val="2"/>
      </x:rPr>
      <x:t xml:space="preserve">闺蜜</x:t>
    </x:r>
    <x:r>
      <x:rPr>
        <x:sz val="11"/>
        <x:rFont val="Calibri"/>
      </x:rPr>
      <x:t xml:space="preserve">/</x:t>
    </x:r>
    <x:r>
      <x:rPr>
        <x:sz val="11"/>
        <x:rFont val="Linux Libertine G"/>
        <x:family val="2"/>
      </x:rPr>
      <x:t xml:space="preserve">挚友</x:t>
    </x:r>
  </x:si>
  <x:si>
    <x:t xml:space="preserve">REL_D_03</x:t>
  </x:si>
  <x:si>
    <x:t xml:space="preserve">同麦陪伴</x:t>
  </x:si>
  <x:si>
    <x:r>
      <x:rPr>
        <x:sz val="11"/>
        <x:rFont val="Linux Libertine G"/>
        <x:family val="2"/>
      </x:rPr>
      <x:t xml:space="preserve">双方同时在麦累计</x:t>
    </x:r>
    <x:r>
      <x:rPr>
        <x:sz val="11"/>
        <x:rFont val="Calibri"/>
      </x:rPr>
      <x:t xml:space="preserve">5</x:t>
    </x:r>
    <x:r>
      <x:rPr>
        <x:sz val="11"/>
        <x:rFont val="Linux Libertine G"/>
        <x:family val="2"/>
      </x:rPr>
      <x:t xml:space="preserve">分钟；不要求说话</x:t>
    </x:r>
  </x:si>
  <x:si>
    <x:t xml:space="preserve">未上麦、非重叠时长不计</x:t>
  </x:si>
  <x:si>
    <x:t xml:space="preserve">REL_D_04</x:t>
  </x:si>
  <x:si>
    <x:t xml:space="preserve">送份礼物</x:t>
  </x:si>
  <x:si>
    <x:r>
      <x:rPr>
        <x:sz val="11"/>
        <x:rFont val="Linux Libertine G"/>
        <x:family val="2"/>
      </x:rPr>
      <x:t xml:space="preserve">向当前关系对象送出</x:t>
    </x:r>
    <x:r>
      <x:rPr>
        <x:sz val="11"/>
        <x:rFont val="Calibri"/>
      </x:rPr>
      <x:t xml:space="preserve">1</x:t>
    </x:r>
    <x:r>
      <x:rPr>
        <x:sz val="11"/>
        <x:rFont val="Linux Libertine G"/>
        <x:family val="2"/>
      </x:rPr>
      <x:t xml:space="preserve">份本次实际消耗金币的礼物；</x:t>
    </x:r>
    <x:r>
      <x:rPr>
        <x:sz val="11"/>
        <x:rFont val="Calibri"/>
      </x:rPr>
      <x:t xml:space="preserve">actual_coin_cost&gt;0</x:t>
    </x:r>
  </x:si>
  <x:si>
    <x:r>
      <x:rPr>
        <x:sz val="11"/>
        <x:rFont val="Linux Libertine G"/>
        <x:family val="2"/>
      </x:rPr>
      <x:t xml:space="preserve">普通</x:t>
    </x:r>
    <x:r>
      <x:rPr>
        <x:sz val="11"/>
        <x:rFont val="Calibri"/>
      </x:rPr>
      <x:t xml:space="preserve">/</x:t>
    </x:r>
    <x:r>
      <x:rPr>
        <x:sz val="11"/>
        <x:rFont val="Linux Libertine G"/>
        <x:family val="2"/>
      </x:rPr>
      <x:t xml:space="preserve">活动</x:t>
    </x:r>
    <x:r>
      <x:rPr>
        <x:sz val="11"/>
        <x:rFont val="Calibri"/>
      </x:rPr>
      <x:t xml:space="preserve">/</x:t>
    </x:r>
    <x:r>
      <x:rPr>
        <x:sz val="11"/>
        <x:rFont val="Linux Libertine G"/>
        <x:family val="2"/>
      </x:rPr>
      <x:t xml:space="preserve">幸运礼物</x:t>
    </x:r>
  </x:si>
  <x:si>
    <x:t xml:space="preserve">背包、免费、赠送、全额券、失败不计；退款撤销</x:t>
  </x:si>
  <x:si>
    <x:t xml:space="preserve">批量赠送一次只完成一次</x:t>
  </x:si>
  <x:si>
    <x:t xml:space="preserve">周</x:t>
  </x:si>
  <x:si>
    <x:t xml:space="preserve">REL_W_01</x:t>
  </x:si>
  <x:si>
    <x:t xml:space="preserve">三日相伴</x:t>
  </x:si>
  <x:si>
    <x:r>
      <x:rPr>
        <x:sz val="11"/>
        <x:rFont val="Calibri"/>
      </x:rPr>
      <x:t xml:space="preserve">3</x:t>
    </x:r>
    <x:r>
      <x:rPr>
        <x:sz val="11"/>
        <x:rFont val="Linux Libertine G"/>
        <x:family val="2"/>
      </x:rPr>
      <x:t xml:space="preserve">个自然日完成同房陪伴或同麦陪伴</x:t>
    </x:r>
  </x:si>
  <x:si>
    <x:r>
      <x:rPr>
        <x:sz val="11"/>
        <x:rFont val="Linux Libertine G"/>
        <x:family val="2"/>
      </x:rPr>
      <x:t xml:space="preserve">同一自然日只记</x:t>
    </x:r>
    <x:r>
      <x:rPr>
        <x:sz val="11"/>
        <x:rFont val="Calibri"/>
      </x:rPr>
      <x:t xml:space="preserve">1</x:t>
    </x:r>
    <x:r>
      <x:rPr>
        <x:sz val="11"/>
        <x:rFont val="Linux Libertine G"/>
        <x:family val="2"/>
      </x:rPr>
      <x:t xml:space="preserve">天</x:t>
    </x:r>
  </x:si>
  <x:si>
    <x:t xml:space="preserve">+20</x:t>
  </x:si>
  <x:si>
    <x:t xml:space="preserve">REL_W_02</x:t>
  </x:si>
  <x:si>
    <x:t xml:space="preserve">常伴在麦</x:t>
  </x:si>
  <x:si>
    <x:r>
      <x:rPr>
        <x:sz val="11"/>
        <x:rFont val="Linux Libertine G"/>
        <x:family val="2"/>
      </x:rPr>
      <x:t xml:space="preserve">累计同麦</x:t>
    </x:r>
    <x:r>
      <x:rPr>
        <x:sz val="11"/>
        <x:rFont val="Calibri"/>
      </x:rPr>
      <x:t xml:space="preserve">60</x:t>
    </x:r>
    <x:r>
      <x:rPr>
        <x:sz val="11"/>
        <x:rFont val="Linux Libertine G"/>
        <x:family val="2"/>
      </x:rPr>
      <x:t xml:space="preserve">分钟，至少分布在</x:t>
    </x:r>
    <x:r>
      <x:rPr>
        <x:sz val="11"/>
        <x:rFont val="Calibri"/>
      </x:rPr>
      <x:t xml:space="preserve">3</x:t>
    </x:r>
    <x:r>
      <x:rPr>
        <x:sz val="11"/>
        <x:rFont val="Linux Libertine G"/>
        <x:family val="2"/>
      </x:rPr>
      <x:t xml:space="preserve">个自然日</x:t>
    </x:r>
  </x:si>
  <x:si>
    <x:r>
      <x:rPr>
        <x:sz val="11"/>
        <x:rFont val="Linux Libertine G"/>
        <x:family val="2"/>
      </x:rPr>
      <x:t xml:space="preserve">非重叠</x:t>
    </x:r>
    <x:r>
      <x:rPr>
        <x:sz val="11"/>
        <x:rFont val="Calibri"/>
      </x:rPr>
      <x:t xml:space="preserve">/</x:t>
    </x:r>
    <x:r>
      <x:rPr>
        <x:sz val="11"/>
        <x:rFont val="Linux Libertine G"/>
        <x:family val="2"/>
      </x:rPr>
      <x:t xml:space="preserve">异常时长不计</x:t>
    </x:r>
  </x:si>
  <x:si>
    <x:t xml:space="preserve">REL_W_03</x:t>
  </x:si>
  <x:si>
    <x:t xml:space="preserve">五日有互动</x:t>
  </x:si>
  <x:si>
    <x:r>
      <x:rPr>
        <x:sz val="11"/>
        <x:rFont val="Calibri"/>
      </x:rPr>
      <x:t xml:space="preserve">5</x:t>
    </x:r>
    <x:r>
      <x:rPr>
        <x:sz val="11"/>
        <x:rFont val="Linux Libertine G"/>
        <x:family val="2"/>
      </x:rPr>
      <x:t xml:space="preserve">个自然日每天至少完成</x:t>
    </x:r>
    <x:r>
      <x:rPr>
        <x:sz val="11"/>
        <x:rFont val="Calibri"/>
      </x:rPr>
      <x:t xml:space="preserve">1</x:t>
    </x:r>
    <x:r>
      <x:rPr>
        <x:sz val="11"/>
        <x:rFont val="Linux Libertine G"/>
        <x:family val="2"/>
      </x:rPr>
      <x:t xml:space="preserve">项日任务</x:t>
    </x:r>
  </x:si>
  <x:si>
    <x:r>
      <x:rPr>
        <x:sz val="11"/>
        <x:rFont val="Linux Libertine G"/>
        <x:family val="2"/>
      </x:rPr>
      <x:t xml:space="preserve">同日多项只记</x:t>
    </x:r>
    <x:r>
      <x:rPr>
        <x:sz val="11"/>
        <x:rFont val="Calibri"/>
      </x:rPr>
      <x:t xml:space="preserve">1</x:t>
    </x:r>
    <x:r>
      <x:rPr>
        <x:sz val="11"/>
        <x:rFont val="Linux Libertine G"/>
        <x:family val="2"/>
      </x:rPr>
      <x:t xml:space="preserve">天</x:t>
    </x:r>
  </x:si>
  <x:si>
    <x:t xml:space="preserve">REL_W_04</x:t>
  </x:si>
  <x:si>
    <x:t xml:space="preserve">关系升温</x:t>
  </x:si>
  <x:si>
    <x:r>
      <x:rPr>
        <x:sz val="11"/>
        <x:rFont val="Linux Libertine G"/>
        <x:family val="2"/>
      </x:rPr>
      <x:t xml:space="preserve">送出</x:t>
    </x:r>
    <x:r>
      <x:rPr>
        <x:sz val="11"/>
        <x:rFont val="Calibri"/>
      </x:rPr>
      <x:t xml:space="preserve">1</x:t>
    </x:r>
    <x:r>
      <x:rPr>
        <x:sz val="11"/>
        <x:rFont val="Linux Libertine G"/>
        <x:family val="2"/>
      </x:rPr>
      <x:t xml:space="preserve">份适用于当前关系的关系礼物</x:t>
    </x:r>
  </x:si>
  <x:si>
    <x:r>
      <x:rPr>
        <x:sz val="11"/>
        <x:rFont val="Calibri"/>
      </x:rPr>
      <x:t xml:space="preserve">CP</x:t>
    </x:r>
    <x:r>
      <x:rPr>
        <x:sz val="11"/>
        <x:rFont val="Linux Libertine G"/>
        <x:family val="2"/>
      </x:rPr>
      <x:t xml:space="preserve">：</x:t>
    </x:r>
    <x:r>
      <x:rPr>
        <x:sz val="11"/>
        <x:rFont val="Calibri"/>
      </x:rPr>
      <x:t xml:space="preserve">BOND/CP</x:t>
    </x:r>
    <x:r>
      <x:rPr>
        <x:sz val="11"/>
        <x:rFont val="Linux Libertine G"/>
        <x:family val="2"/>
      </x:rPr>
      <x:t xml:space="preserve">礼物；亲友：</x:t>
    </x:r>
    <x:r>
      <x:rPr>
        <x:sz val="11"/>
        <x:rFont val="Calibri"/>
      </x:rPr>
      <x:t xml:space="preserve">BOND</x:t>
    </x:r>
    <x:r>
      <x:rPr>
        <x:sz val="11"/>
        <x:rFont val="Linux Libertine G"/>
        <x:family val="2"/>
      </x:rPr>
      <x:t xml:space="preserve">礼物</x:t>
    </x:r>
  </x:si>
  <x:si>
    <x:t xml:space="preserve">升级戒指不计；退款撤销</x:t>
  </x:si>
  <x:si>
    <x:t xml:space="preserve">可与日送份礼物同单完成</x:t>
  </x:si>
  <x:si>
    <x:t xml:space="preserve">状态与数值流</x:t>
  </x:si>
  <x:si>
    <x:t xml:space="preserve">阶段</x:t>
  </x:si>
  <x:si>
    <x:t xml:space="preserve">使用字段</x:t>
  </x:si>
  <x:si>
    <x:r>
      <x:rPr>
        <x:b/>
        <x:sz val="10"/>
        <x:color rgb="FFFFFFFF"/>
        <x:rFont val="Linux Libertine G"/>
        <x:family val="2"/>
      </x:rPr>
      <x:t xml:space="preserve">条件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动作</x:t>
    </x:r>
  </x:si>
  <x:si>
    <x:t xml:space="preserve">结果</x:t>
  </x:si>
  <x:si>
    <x:t xml:space="preserve">异常处理</x:t>
  </x:si>
  <x:si>
    <x:t xml:space="preserve">是否改变原增长逻辑</x:t>
  </x:si>
  <x:si>
    <x:t xml:space="preserve">建立前</x:t>
  </x:si>
  <x:si>
    <x:t xml:space="preserve">好友亲密度</x:t>
  </x:si>
  <x:si>
    <x:r>
      <x:rPr>
        <x:sz val="10"/>
        <x:color rgb="FF24343F"/>
        <x:rFont val="Linux Libertine G"/>
        <x:family val="2"/>
      </x:rPr>
      <x:t xml:space="preserve">现平台</x:t>
    </x:r>
    <x:r>
      <x:rPr>
        <x:sz val="10"/>
        <x:color rgb="FF24343F"/>
        <x:rFont val="Arial"/>
      </x:rPr>
      <x:t xml:space="preserve">700</x:t>
    </x:r>
    <x:r>
      <x:rPr>
        <x:sz val="10"/>
        <x:color rgb="FF24343F"/>
        <x:rFont val="Linux Libertine G"/>
        <x:family val="2"/>
      </x:rPr>
      <x:t xml:space="preserve">；本方案达到</x:t>
    </x:r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可发起求婚</x:t>
    </x:r>
  </x:si>
  <x:si>
    <x:t xml:space="preserve">达到本方案门槛后进入戒指申请流程</x:t>
  </x:si>
  <x:si>
    <x:r>
      <x:rPr>
        <x:sz val="10"/>
        <x:color rgb="FF24343F"/>
        <x:rFont val="Linux Libertine G"/>
        <x:family val="2"/>
      </x:rPr>
      <x:t xml:space="preserve">不足时提示距</x:t>
    </x:r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的差值</x:t>
    </x:r>
  </x:si>
  <x:si>
    <x:t xml:space="preserve">建立成功</x:t>
  </x:si>
  <x:si>
    <x:t xml:space="preserve">对方接受且关系创建成功</x:t>
  </x:si>
  <x:si>
    <x:r>
      <x:rPr>
        <x:sz val="10"/>
        <x:color rgb="FF24343F"/>
        <x:rFont val="Linux Libertine G"/>
        <x:family val="2"/>
      </x:rPr>
      <x:t xml:space="preserve">一次性注入</x:t>
    </x:r>
    <x:r>
      <x:rPr>
        <x:sz val="10"/>
        <x:color rgb="FF24343F"/>
        <x:rFont val="Arial"/>
      </x:rPr>
      <x:t xml:space="preserve">1,000 CP EXP</x:t>
    </x:r>
    <x:r>
      <x:rPr>
        <x:sz val="10"/>
        <x:color rgb="FF24343F"/>
        <x:rFont val="Linux Libertine G"/>
        <x:family val="2"/>
      </x:rPr>
      <x:t xml:space="preserve">，进入</x:t>
    </x:r>
    <x:r>
      <x:rPr>
        <x:sz val="10"/>
        <x:color rgb="FF24343F"/>
        <x:rFont val="Arial"/>
      </x:rPr>
      <x:t xml:space="preserve">Lv1/G1</x:t>
    </x:r>
  </x:si>
  <x:si>
    <x:t xml:space="preserve">创建事件幂等，禁止重复注入</x:t>
  </x:si>
  <x:si>
    <x:t xml:space="preserve">建立失败</x:t>
  </x:si>
  <x:si>
    <x:r>
      <x:rPr>
        <x:sz val="10"/>
        <x:color rgb="FF24343F"/>
        <x:rFont val="Linux Libertine G"/>
        <x:family val="2"/>
      </x:rPr>
      <x:t xml:space="preserve">好友亲密度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戒指</x:t>
    </x:r>
  </x:si>
  <x:si>
    <x:t xml:space="preserve">申请创建失败</x:t>
  </x:si>
  <x:si>
    <x:r>
      <x:rPr>
        <x:sz val="10"/>
        <x:color rgb="FF24343F"/>
        <x:rFont val="Linux Libertine G"/>
        <x:family val="2"/>
      </x:rPr>
      <x:t xml:space="preserve">不创建</x:t>
    </x:r>
    <x:r>
      <x:rPr>
        <x:sz val="10"/>
        <x:color rgb="FF24343F"/>
        <x:rFont val="Arial"/>
      </x:rPr>
      <x:t xml:space="preserve">CP EXP</x:t>
    </x:r>
    <x:r>
      <x:rPr>
        <x:sz val="10"/>
        <x:color rgb="FF24343F"/>
        <x:rFont val="Linux Libertine G"/>
        <x:family val="2"/>
      </x:rPr>
      <x:t xml:space="preserve">账户</x:t>
    </x:r>
  </x:si>
  <x:si>
    <x:t xml:space="preserve">按现有规则退回或补偿戒指</x:t>
  </x:si>
  <x:si>
    <x:t xml:space="preserve">存量迁移</x:t>
  </x:si>
  <x:si>
    <x:r>
      <x:rPr>
        <x:sz val="10"/>
        <x:color rgb="FF24343F"/>
        <x:rFont val="Linux Libertine G"/>
        <x:family val="2"/>
      </x:rPr>
      <x:t xml:space="preserve">现网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累计字段</x:t>
    </x:r>
  </x:si>
  <x:si>
    <x:t xml:space="preserve">读取发布前不可变快照</x:t>
  </x:si>
  <x:si>
    <x:r>
      <x:rPr>
        <x:sz val="10"/>
        <x:color rgb="FF24343F"/>
        <x:rFont val="Linux Libertine G"/>
        <x:family val="2"/>
      </x:rPr>
      <x:t xml:space="preserve">按</x:t>
    </x:r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级门槛重算等级和</x:t>
    </x:r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</x:t>
    </x:r>
  </x:si>
  <x:si>
    <x:t xml:space="preserve">字段缺失进入人工核验</x:t>
  </x:si>
  <x:si>
    <x:t xml:space="preserve">档位校准</x:t>
  </x:si>
  <x:si>
    <x:r>
      <x:rPr>
        <x:sz val="10"/>
        <x:color rgb="FF24343F"/>
        <x:rFont val="Linux Libertine G"/>
        <x:family val="2"/>
      </x:rPr>
      <x:t xml:space="preserve">最高</x:t>
    </x:r>
    <x:r>
      <x:rPr>
        <x:sz val="10"/>
        <x:color rgb="FF24343F"/>
        <x:rFont val="Arial"/>
      </x:rPr>
      <x:t xml:space="preserve">15,705,862</x:t>
    </x:r>
    <x:r>
      <x:rPr>
        <x:sz val="10"/>
        <x:color rgb="FF24343F"/>
        <x:rFont val="Linux Libertine G"/>
        <x:family val="2"/>
      </x:rPr>
      <x:t xml:space="preserve">作为特殊个案排除</x:t>
    </x:r>
  </x:si>
  <x:si>
    <x:r>
      <x:rPr>
        <x:sz val="10"/>
        <x:color rgb="FF24343F"/>
        <x:rFont val="Linux Libertine G"/>
        <x:family val="2"/>
      </x:rPr>
      <x:t xml:space="preserve">其余</x:t>
    </x:r>
    <x:r>
      <x:rPr>
        <x:sz val="10"/>
        <x:color rgb="FF24343F"/>
        <x:rFont val="Arial"/>
      </x:rPr>
      <x:t xml:space="preserve">311</x:t>
    </x:r>
    <x:r>
      <x:rPr>
        <x:sz val="10"/>
        <x:color rgb="FF24343F"/>
        <x:rFont val="Linux Libertine G"/>
        <x:family val="2"/>
      </x:rPr>
      <x:t xml:space="preserve">对参与统计；有效最高落</x:t>
    </x:r>
    <x:r>
      <x:rPr>
        <x:sz val="10"/>
        <x:color rgb="FF24343F"/>
        <x:rFont val="Arial"/>
      </x:rPr>
      <x:t xml:space="preserve">Lv79/G4</x:t>
    </x:r>
  </x:si>
  <x:si>
    <x:t xml:space="preserve">特殊样本仍迁移、展示且不清零</x:t>
  </x:si>
  <x:si>
    <x:r>
      <x:rPr>
        <x:sz val="10"/>
        <x:color rgb="FF24343F"/>
        <x:rFont val="Linux Libertine G"/>
        <x:family val="2"/>
      </x:rPr>
      <x:t xml:space="preserve">存量低于</x:t>
    </x:r>
    <x:r>
      <x:rPr>
        <x:sz val="10"/>
        <x:color rgb="FF24343F"/>
        <x:rFont val="Arial"/>
      </x:rPr>
      <x:t xml:space="preserve">1,000</x:t>
    </x:r>
  </x:si>
  <x:si>
    <x:t xml:space="preserve">关系已有效</x:t>
  </x:si>
  <x:si>
    <x:r>
      <x:rPr>
        <x:sz val="10"/>
        <x:color rgb="FF24343F"/>
        <x:rFont val="Linux Libertine G"/>
        <x:family val="2"/>
      </x:rPr>
      <x:t xml:space="preserve">继续有效并统一映射</x:t>
    </x:r>
    <x:r>
      <x:rPr>
        <x:sz val="10"/>
        <x:color rgb="FF24343F"/>
        <x:rFont val="Arial"/>
      </x:rPr>
      <x:t xml:space="preserve">Lv1</x:t>
    </x:r>
  </x:si>
  <x:si>
    <x:t xml:space="preserve">不得解除、追缴或补发</x:t>
  </x:si>
  <x:si>
    <x:t xml:space="preserve">日常成长</x:t>
  </x:si>
  <x:si>
    <x:r>
      <x:rPr>
        <x:sz val="10"/>
        <x:color rgb="FF24343F"/>
        <x:rFont val="Linux Libertine G"/>
        <x:family val="2"/>
      </x:rPr>
      <x:t xml:space="preserve">沿用现有互动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任务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礼物</x:t>
    </x:r>
  </x:si>
  <x:si>
    <x:t xml:space="preserve">累计并重算等级</x:t>
  </x:si>
  <x:si>
    <x:r>
      <x:rPr>
        <x:sz val="10"/>
        <x:color rgb="FF24343F"/>
        <x:rFont val="Linux Libertine G"/>
        <x:family val="2"/>
      </x:rPr>
      <x:t xml:space="preserve">事件</x:t>
    </x:r>
    <x:r>
      <x:rPr>
        <x:sz val="10"/>
        <x:color rgb="FF24343F"/>
        <x:rFont val="Arial"/>
      </x:rPr>
      <x:t xml:space="preserve">ID</x:t>
    </x:r>
    <x:r>
      <x:rPr>
        <x:sz val="10"/>
        <x:color rgb="FF24343F"/>
        <x:rFont val="Linux Libertine G"/>
        <x:family val="2"/>
      </x:rPr>
      <x:t xml:space="preserve">幂等</x:t>
    </x:r>
  </x:si>
  <x:si>
    <x:r>
      <x:rPr>
        <x:sz val="10"/>
        <x:color rgb="FF24343F"/>
        <x:rFont val="Linux Libertine G"/>
        <x:family val="2"/>
      </x:rPr>
      <x:t xml:space="preserve">降级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保护</x:t>
    </x:r>
  </x:si>
  <x:si>
    <x:r>
      <x:rPr>
        <x:sz val="10"/>
        <x:color rgb="FF24343F"/>
        <x:rFont val="Linux Libertine G"/>
        <x:family val="2"/>
      </x:rPr>
      <x:t xml:space="preserve">有效</x:t>
    </x:r>
    <x:r>
      <x:rPr>
        <x:sz val="10"/>
        <x:color rgb="FF24343F"/>
        <x:rFont val="Arial"/>
      </x:rPr>
      <x:t xml:space="preserve">CP EXP</x:t>
    </x:r>
  </x:si>
  <x:si>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以后</x:t>
    </x:r>
  </x:si>
  <x:si>
    <x:t xml:space="preserve">继续记录合法累计值</x:t>
  </x:si>
  <x:si>
    <x:r>
      <x:rPr>
        <x:sz val="10"/>
        <x:color rgb="FF24343F"/>
        <x:rFont val="Linux Libertine G"/>
        <x:family val="2"/>
      </x:rPr>
      <x:t xml:space="preserve">显示</x:t>
    </x:r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和溢出值</x:t>
    </x:r>
  </x:si>
  <x:si>
    <x:t xml:space="preserve">不生成新等级或新奖励</x:t>
  </x:si>
  <x:si>
    <x:t xml:space="preserve">现平台</x:t>
  </x:si>
  <x:si>
    <x:t xml:space="preserve">用户最新确认</x:t>
  </x:si>
  <x:si>
    <x:t xml:space="preserve">本方案采用</x:t>
  </x:si>
  <x:si>
    <x:t xml:space="preserve">风险</x:t>
  </x:si>
  <x:si>
    <x:t xml:space="preserve">动作</x:t>
  </x:si>
  <x:si>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建立门槛</x:t>
    </x:r>
  </x:si>
  <x:si>
    <x:r>
      <x:rPr>
        <x:sz val="10"/>
        <x:color rgb="FF24343F"/>
        <x:rFont val="Arial"/>
      </x:rPr>
      <x:t xml:space="preserve">700</x:t>
    </x:r>
    <x:r>
      <x:rPr>
        <x:sz val="10"/>
        <x:color rgb="FF24343F"/>
        <x:rFont val="Linux Libertine G"/>
        <x:family val="2"/>
      </x:rPr>
      <x:t xml:space="preserve">好友亲密值</x:t>
    </x:r>
  </x:si>
  <x:si>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好友亲密值</x:t>
    </x:r>
  </x:si>
  <x:si>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好友亲密值；建成注入</x:t>
    </x:r>
    <x:r>
      <x:rPr>
        <x:sz val="10"/>
        <x:color rgb="FF24343F"/>
        <x:rFont val="Arial"/>
      </x:rPr>
      <x:t xml:space="preserve">1,000 CP EXP</x:t>
    </x:r>
  </x:si>
  <x:si>
    <x:t xml:space="preserve">等级数</x:t>
  </x:si>
  <x:si>
    <x:t xml:space="preserve">待技术核验</x:t>
  </x:si>
  <x:si>
    <x:r>
      <x:rPr>
        <x:sz val="10"/>
        <x:color rgb="FF24343F"/>
        <x:rFont val="Linux Libertine G"/>
        <x:family val="2"/>
      </x:rPr>
      <x:t xml:space="preserve">允许评估超过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级</x:t>
    </x:r>
  </x:si>
  <x:si>
    <x:t xml:space="preserve">需确认客户端是否已支持三位等级数字</x:t>
  </x:si>
  <x:si>
    <x:t xml:space="preserve">技术评估</x:t>
  </x:si>
  <x:si>
    <x:t xml:space="preserve">物料数</x:t>
  </x:si>
  <x:si>
    <x:t xml:space="preserve">待盘点</x:t>
  </x:si>
  <x:si>
    <x:r>
      <x:rPr>
        <x:sz val="10"/>
        <x:color rgb="FF24343F"/>
        <x:rFont val="Linux Libertine G"/>
        <x:family val="2"/>
      </x:rPr>
      <x:t xml:space="preserve">设计只承受</x:t>
    </x:r>
    <x:r>
      <x:rPr>
        <x:sz val="10"/>
        <x:color rgb="FF24343F"/>
        <x:rFont val="Arial"/>
      </x:rPr>
      <x:t xml:space="preserve">5</x:t>
    </x:r>
    <x:r>
      <x:rPr>
        <x:sz val="10"/>
        <x:color rgb="FF24343F"/>
        <x:rFont val="Linux Libertine G"/>
        <x:family val="2"/>
      </x:rPr>
      <x:t xml:space="preserve">套</x:t>
    </x:r>
  </x:si>
  <x:si>
    <x:t xml:space="preserve">G1-G5</x:t>
  </x:si>
  <x:si>
    <x:r>
      <x:rPr>
        <x:sz val="10"/>
        <x:color rgb="FF24343F"/>
        <x:rFont val="Linux Libertine G"/>
        <x:family val="2"/>
      </x:rPr>
      <x:t xml:space="preserve">若等级数字烘焙进图会重新变成</x:t>
    </x:r>
    <x:r>
      <x:rPr>
        <x:sz val="10"/>
        <x:color rgb="FF24343F"/>
        <x:rFont val="Arial"/>
      </x:rPr>
      <x:t xml:space="preserve">100</x:t>
    </x:r>
    <x:r>
      <x:rPr>
        <x:sz val="10"/>
        <x:color rgb="FF24343F"/>
        <x:rFont val="Linux Libertine G"/>
        <x:family val="2"/>
      </x:rPr>
      <x:t xml:space="preserve">套</x:t>
    </x:r>
  </x:si>
  <x:si>
    <x:t xml:space="preserve">数字必须动态渲染</x:t>
  </x:si>
  <x:si>
    <x:t xml:space="preserve">服务端与配置要求</x:t>
  </x:si>
  <x:si>
    <x:r>
      <x:rPr>
        <x:b/>
        <x:sz val="10"/>
        <x:color rgb="FFFFFFFF"/>
        <x:rFont val="Linux Libertine G"/>
        <x:family val="2"/>
      </x:rPr>
      <x:t xml:space="preserve">字段</x:t>
    </x:r>
    <x:r>
      <x:rPr>
        <x:b/>
        <x:sz val="10"/>
        <x:color rgb="FFFFFFFF"/>
        <x:rFont val="Arial"/>
      </x:rPr>
      <x:t xml:space="preserve">/</x:t>
    </x:r>
    <x:r>
      <x:rPr>
        <x:b/>
        <x:sz val="10"/>
        <x:color rgb="FFFFFFFF"/>
        <x:rFont val="Linux Libertine G"/>
        <x:family val="2"/>
      </x:rPr>
      <x:t xml:space="preserve">配置</x:t>
    </x:r>
  </x:si>
  <x:si>
    <x:t xml:space="preserve">含义</x:t>
  </x:si>
  <x:si>
    <x:t xml:space="preserve">客户端使用</x:t>
  </x:si>
  <x:si>
    <x:t xml:space="preserve">变更规则</x:t>
  </x:si>
  <x:si>
    <x:t xml:space="preserve">验收</x:t>
  </x:si>
  <x:si>
    <x:t xml:space="preserve">cp_exp_initial</x:t>
  </x:si>
  <x:si>
    <x:r>
      <x:rPr>
        <x:sz val="10"/>
        <x:color rgb="FF24343F"/>
        <x:rFont val="Linux Libertine G"/>
        <x:family val="2"/>
      </x:rPr>
      <x:t xml:space="preserve">结成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时一次性经验</x:t>
    </x:r>
  </x:si>
  <x:si>
    <x:t xml:space="preserve">关系创建成功事件</x:t>
  </x:si>
  <x:si>
    <x:r>
      <x:rPr>
        <x:sz val="10"/>
        <x:color rgb="FF24343F"/>
        <x:rFont val="Linux Libertine G"/>
        <x:family val="2"/>
      </x:rPr>
      <x:t xml:space="preserve">成功后显示</x:t>
    </x:r>
    <x:r>
      <x:rPr>
        <x:sz val="10"/>
        <x:color rgb="FF24343F"/>
        <x:rFont val="Arial"/>
      </x:rPr>
      <x:t xml:space="preserve">Lv1/G1</x:t>
    </x:r>
  </x:si>
  <x:si>
    <x:r>
      <x:rPr>
        <x:sz val="10"/>
        <x:color rgb="FF24343F"/>
        <x:rFont val="Linux Libertine G"/>
        <x:family val="2"/>
      </x:rPr>
      <x:t xml:space="preserve">固定</x:t>
    </x:r>
    <x:r>
      <x:rPr>
        <x:sz val="10"/>
        <x:color rgb="FF24343F"/>
        <x:rFont val="Arial"/>
      </x:rPr>
      <x:t xml:space="preserve">1,000</x:t>
    </x:r>
    <x:r>
      <x:rPr>
        <x:sz val="10"/>
        <x:color rgb="FF24343F"/>
        <x:rFont val="Linux Libertine G"/>
        <x:family val="2"/>
      </x:rPr>
      <x:t xml:space="preserve">；事件幂等；仅新关系</x:t>
    </x:r>
  </x:si>
  <x:si>
    <x:t xml:space="preserve">成功一次只入账一次</x:t>
  </x:si>
  <x:si>
    <x:t xml:space="preserve">cp_exp_total</x:t>
  </x:si>
  <x:si>
    <x:r>
      <x:rPr>
        <x:sz val="10"/>
        <x:color rgb="FF24343F"/>
        <x:rFont val="Linux Libertine G"/>
        <x:family val="2"/>
      </x:rPr>
      <x:t xml:space="preserve">建立后</x:t>
    </x:r>
    <x:r>
      <x:rPr>
        <x:sz val="10"/>
        <x:color rgb="FF24343F"/>
        <x:rFont val="Arial"/>
      </x:rPr>
      <x:t xml:space="preserve">CP</x:t>
    </x:r>
    <x:r>
      <x:rPr>
        <x:sz val="10"/>
        <x:color rgb="FF24343F"/>
        <x:rFont val="Linux Libertine G"/>
        <x:family val="2"/>
      </x:rPr>
      <x:t xml:space="preserve">累计值</x:t>
    </x:r>
  </x:si>
  <x:si>
    <x:t xml:space="preserve">服务端</x:t>
  </x:si>
  <x:si>
    <x:t xml:space="preserve">只展示服务端结果</x:t>
  </x:si>
  <x:si>
    <x:r>
      <x:rPr>
        <x:sz val="10"/>
        <x:color rgb="FF24343F"/>
        <x:rFont val="Linux Libertine G"/>
        <x:family val="2"/>
      </x:rPr>
      <x:t xml:space="preserve">存量原值保留；新关系起点</x:t>
    </x:r>
    <x:r>
      <x:rPr>
        <x:sz val="10"/>
        <x:color rgb="FF24343F"/>
        <x:rFont val="Arial"/>
      </x:rPr>
      <x:t xml:space="preserve">1,000</x:t>
    </x:r>
  </x:si>
  <x:si>
    <x:t xml:space="preserve">存量与流水可对账</x:t>
  </x:si>
  <x:si>
    <x:t xml:space="preserve">cp_level</x:t>
  </x:si>
  <x:si>
    <x:t xml:space="preserve">门槛配置计算</x:t>
  </x:si>
  <x:si>
    <x:t xml:space="preserve">动态数字</x:t>
  </x:si>
  <x:si>
    <x:t xml:space="preserve">规则版本化</x:t>
  </x:si>
  <x:si>
    <x:t xml:space="preserve">边界前后值正确</x:t>
  </x:si>
  <x:si>
    <x:t xml:space="preserve">cp_grade</x:t>
  </x:si>
  <x:si>
    <x:r>
      <x:rPr>
        <x:sz val="10"/>
        <x:color rgb="FF24343F"/>
        <x:rFont val="Arial"/>
      </x:rPr>
      <x:t xml:space="preserve">G1-G5</x:t>
    </x:r>
    <x:r>
      <x:rPr>
        <x:sz val="10"/>
        <x:color rgb="FF24343F"/>
        <x:rFont val="Linux Libertine G"/>
        <x:family val="2"/>
      </x:rPr>
      <x:t xml:space="preserve">物料档</x:t>
    </x:r>
  </x:si>
  <x:si>
    <x:t xml:space="preserve">由等级推导</x:t>
  </x:si>
  <x:si>
    <x:t xml:space="preserve">选择资产包</x:t>
  </x:si>
  <x:si>
    <x:t xml:space="preserve">不允许独立漂移</x:t>
  </x:si>
  <x:si>
    <x:r>
      <x:rPr>
        <x:sz val="10"/>
        <x:color rgb="FF24343F"/>
        <x:rFont val="Arial"/>
      </x:rPr>
      <x:t xml:space="preserve">Lv20/21</x:t>
    </x:r>
    <x:r>
      <x:rPr>
        <x:sz val="10"/>
        <x:color rgb="FF24343F"/>
        <x:rFont val="Linux Libertine G"/>
        <x:family val="2"/>
      </x:rPr>
      <x:t xml:space="preserve">等边界正确</x:t>
    </x:r>
  </x:si>
  <x:si>
    <x:t xml:space="preserve">level_rule_version</x:t>
  </x:si>
  <x:si>
    <x:t xml:space="preserve">等级规则版本</x:t>
  </x:si>
  <x:si>
    <x:t xml:space="preserve">后台</x:t>
  </x:si>
  <x:si>
    <x:t xml:space="preserve">不上屏</x:t>
  </x:si>
  <x:si>
    <x:t xml:space="preserve">审批、灰度、回滚</x:t>
  </x:si>
  <x:si>
    <x:t xml:space="preserve">重算可重复执行</x:t>
  </x:si>
  <x:si>
    <x:t xml:space="preserve">asset_grade_version</x:t>
  </x:si>
  <x:si>
    <x:t xml:space="preserve">物料资源版本</x:t>
  </x:si>
  <x:si>
    <x:r>
      <x:rPr>
        <x:sz val="10"/>
        <x:color rgb="FF24343F"/>
        <x:rFont val="Linux Libertine G"/>
        <x:family val="2"/>
      </x:rPr>
      <x:t xml:space="preserve">后台</x:t>
    </x:r>
    <x:r>
      <x:rPr>
        <x:sz val="10"/>
        <x:color rgb="FF24343F"/>
        <x:rFont val="Arial"/>
      </x:rPr>
      <x:t xml:space="preserve">/CDN</x:t>
    </x:r>
  </x:si>
  <x:si>
    <x:r>
      <x:rPr>
        <x:sz val="10"/>
        <x:color rgb="FF24343F"/>
        <x:rFont val="Linux Libertine G"/>
        <x:family val="2"/>
      </x:rPr>
      <x:t xml:space="preserve">加载对应</x:t>
    </x:r>
    <x:r>
      <x:rPr>
        <x:sz val="10"/>
        <x:color rgb="FF24343F"/>
        <x:rFont val="Arial"/>
      </x:rPr>
      <x:t xml:space="preserve">G</x:t>
    </x:r>
    <x:r>
      <x:rPr>
        <x:sz val="10"/>
        <x:color rgb="FF24343F"/>
        <x:rFont val="Linux Libertine G"/>
        <x:family val="2"/>
      </x:rPr>
      <x:t xml:space="preserve">档</x:t>
    </x:r>
  </x:si>
  <x:si>
    <x:t xml:space="preserve">支持旧端降级</x:t>
  </x:si>
  <x:si>
    <x:t xml:space="preserve">失败时显示静态图</x:t>
  </x:si>
  <x:si>
    <x:t xml:space="preserve">gift_config_snapshot</x:t>
  </x:si>
  <x:si>
    <x:r>
      <x:rPr>
        <x:sz val="10"/>
        <x:color rgb="FF24343F"/>
        <x:rFont val="Linux Libertine G"/>
        <x:family val="2"/>
      </x:rPr>
      <x:t xml:space="preserve">价格、</x:t>
    </x:r>
    <x:r>
      <x:rPr>
        <x:sz val="10"/>
        <x:color rgb="FF24343F"/>
        <x:rFont val="Arial"/>
      </x:rPr>
      <x:t xml:space="preserve">CP EXP</x:t>
    </x:r>
    <x:r>
      <x:rPr>
        <x:sz val="10"/>
        <x:color rgb="FF24343F"/>
        <x:rFont val="Linux Libertine G"/>
        <x:family val="2"/>
      </x:rPr>
      <x:t xml:space="preserve">和解锁配置快照</x:t>
    </x:r>
  </x:si>
  <x:si>
    <x:t xml:space="preserve">订单</x:t>
  </x:si>
  <x:si>
    <x:t xml:space="preserve">展示下单时配置</x:t>
  </x:si>
  <x:si>
    <x:t xml:space="preserve">新配置只影响新订单</x:t>
  </x:si>
  <x:si>
    <x:t xml:space="preserve">退款按子单撤销</x:t>
  </x:si>
  <x:si>
    <x:t xml:space="preserve">overflow_exp</x:t>
  </x:si>
  <x:si>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后的累计差值</x:t>
    </x:r>
  </x:si>
  <x:si>
    <x:t xml:space="preserve">服务端计算</x:t>
  </x:si>
  <x:si>
    <x:r>
      <x:rPr>
        <x:sz val="10"/>
        <x:color rgb="FF24343F"/>
        <x:rFont val="Arial"/>
      </x:rPr>
      <x:t xml:space="preserve">Lv100</x:t>
    </x:r>
    <x:r>
      <x:rPr>
        <x:sz val="10"/>
        <x:color rgb="FF24343F"/>
        <x:rFont val="Linux Libertine G"/>
        <x:family val="2"/>
      </x:rPr>
      <x:t xml:space="preserve">详情展示</x:t>
    </x:r>
  </x:si>
  <x:si>
    <x:t xml:space="preserve">不触发新等级</x:t>
  </x:si>
  <x:si>
    <x:t xml:space="preserve">不清零</x:t>
  </x:si>
  <x:si>
    <x:t xml:space="preserve">数据回放</x:t>
  </x:si>
  <x:si>
    <x:r>
      <x:rPr>
        <x:sz val="10"/>
        <x:color rgb="FF24343F"/>
        <x:rFont val="Linux Libertine G"/>
        <x:family val="2"/>
      </x:rPr>
      <x:t xml:space="preserve">最近</x:t>
    </x:r>
    <x:r>
      <x:rPr>
        <x:sz val="10"/>
        <x:color rgb="FF24343F"/>
        <x:rFont val="Arial"/>
      </x:rPr>
      <x:t xml:space="preserve">30/90</x:t>
    </x:r>
    <x:r>
      <x:rPr>
        <x:sz val="10"/>
        <x:color rgb="FF24343F"/>
        <x:rFont val="Linux Libertine G"/>
        <x:family val="2"/>
      </x:rPr>
      <x:t xml:space="preserve">天增量和消费</x:t>
    </x:r>
  </x:si>
  <x:si>
    <x:t xml:space="preserve">数仓</x:t>
  </x:si>
  <x:si>
    <x:t xml:space="preserve">正式发布前必做；特殊样本单列</x:t>
  </x:si>
  <x:si>
    <x:t xml:space="preserve">检查升级速度和收入替代</x:t>
  </x:si>
  <x:si>
    <x:t xml:space="preserve">上线边界</x:t>
  </x:si>
  <x:si>
    <x:t xml:space="preserve">要求</x:t>
  </x:si>
  <x:si>
    <x:t xml:space="preserve">错误做法</x:t>
  </x:si>
  <x:si>
    <x:t xml:space="preserve">验证</x:t>
  </x:si>
  <x:si>
    <x:t xml:space="preserve">负责人</x:t>
  </x:si>
  <x:si>
    <x:t xml:space="preserve">规则发布</x:t>
  </x:si>
  <x:si>
    <x:r>
      <x:rPr>
        <x:sz val="10"/>
        <x:color rgb="FF24343F"/>
        <x:rFont val="Linux Libertine G"/>
        <x:family val="2"/>
      </x:rPr>
      <x:t xml:space="preserve">保存关系</x:t>
    </x:r>
    <x:r>
      <x:rPr>
        <x:sz val="10"/>
        <x:color rgb="FF24343F"/>
        <x:rFont val="Arial"/>
      </x:rPr>
      <x:t xml:space="preserve">/CP EXP/</x:t>
    </x:r>
    <x:r>
      <x:rPr>
        <x:sz val="10"/>
        <x:color rgb="FF24343F"/>
        <x:rFont val="Linux Libertine G"/>
        <x:family val="2"/>
      </x:rPr>
      <x:t xml:space="preserve">等级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历史最高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规则版本快照</x:t>
    </x:r>
  </x:si>
  <x:si>
    <x:t xml:space="preserve">直接覆盖门槛</x:t>
  </x:si>
  <x:si>
    <x:t xml:space="preserve">抽样前后对账</x:t>
  </x:si>
  <x:si>
    <x:r>
      <x:rPr>
        <x:sz val="10"/>
        <x:color rgb="FF24343F"/>
        <x:rFont val="Linux Libertine G"/>
        <x:family val="2"/>
      </x:rPr>
      <x:t xml:space="preserve">服务端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数据</x:t>
    </x:r>
  </x:si>
  <x:si>
    <x:t xml:space="preserve">待评审</x:t>
  </x:si>
  <x:si>
    <x:t xml:space="preserve">灰度</x:t>
  </x:si>
  <x:si>
    <x:t xml:space="preserve">只切等级展示和物料映射，不补发历史奖励</x:t>
  </x:si>
  <x:si>
    <x:t xml:space="preserve">重放升级奖励</x:t>
  </x:si>
  <x:si>
    <x:t xml:space="preserve">重复重算无副作用</x:t>
  </x:si>
  <x:si>
    <x:r>
      <x:rPr>
        <x:sz val="10"/>
        <x:color rgb="FF24343F"/>
        <x:rFont val="Linux Libertine G"/>
        <x:family val="2"/>
      </x:rPr>
      <x:t xml:space="preserve">服务端</x:t>
    </x:r>
    <x:r>
      <x:rPr>
        <x:sz val="10"/>
        <x:color rgb="FF24343F"/>
        <x:rFont val="Arial"/>
      </x:rPr>
      <x:t xml:space="preserve">/QA</x:t>
    </x:r>
  </x:si>
  <x:si>
    <x:t xml:space="preserve">回滚</x:t>
  </x:si>
  <x:si>
    <x:r>
      <x:rPr>
        <x:sz val="10"/>
        <x:color rgb="FF24343F"/>
        <x:rFont val="Linux Libertine G"/>
        <x:family val="2"/>
      </x:rPr>
      <x:t xml:space="preserve">切回上一规则版本，保留合法</x:t>
    </x:r>
    <x:r>
      <x:rPr>
        <x:sz val="10"/>
        <x:color rgb="FF24343F"/>
        <x:rFont val="Arial"/>
      </x:rPr>
      <x:t xml:space="preserve">CP EXP</x:t>
    </x:r>
    <x:r>
      <x:rPr>
        <x:sz val="10"/>
        <x:color rgb="FF24343F"/>
        <x:rFont val="Linux Libertine G"/>
        <x:family val="2"/>
      </x:rPr>
      <x:t xml:space="preserve">和订单流水</x:t>
    </x:r>
  </x:si>
  <x:si>
    <x:t xml:space="preserve">清零或回退累计值</x:t>
  </x:si>
  <x:si>
    <x:t xml:space="preserve">回滚后等级一致</x:t>
  </x:si>
  <x:si>
    <x:t xml:space="preserve">正式定档</x:t>
  </x:si>
  <x:si>
    <x:r>
      <x:rPr>
        <x:sz val="10"/>
        <x:color rgb="FF24343F"/>
        <x:rFont val="Linux Libertine G"/>
        <x:family val="2"/>
      </x:rPr>
      <x:t xml:space="preserve">完成</x:t>
    </x:r>
    <x:r>
      <x:rPr>
        <x:sz val="10"/>
        <x:color rgb="FF24343F"/>
        <x:rFont val="Arial"/>
      </x:rPr>
      <x:t xml:space="preserve">30/90</x:t>
    </x:r>
    <x:r>
      <x:rPr>
        <x:sz val="10"/>
        <x:color rgb="FF24343F"/>
        <x:rFont val="Linux Libertine G"/>
        <x:family val="2"/>
      </x:rPr>
      <x:t xml:space="preserve">天回放和高付费用户逐个抽样</x:t>
    </x:r>
  </x:si>
  <x:si>
    <x:t xml:space="preserve">只看静态分布</x:t>
  </x:si>
  <x:si>
    <x:t xml:space="preserve">检查升级频次、封顶人数和礼物效率</x:t>
  </x:si>
  <x:si>
    <x:r>
      <x:rPr>
        <x:sz val="10"/>
        <x:color rgb="FF24343F"/>
        <x:rFont val="Linux Libertine G"/>
        <x:family val="2"/>
      </x:rPr>
      <x:t xml:space="preserve">产品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数据</x:t>
    </x:r>
    <x:r>
      <x:rPr>
        <x:sz val="10"/>
        <x:color rgb="FF24343F"/>
        <x:rFont val="Arial"/>
      </x:rPr>
      <x:t xml:space="preserve">/</x:t>
    </x:r>
    <x:r>
      <x:rPr>
        <x:sz val="10"/>
        <x:color rgb="FF24343F"/>
        <x:rFont val="Linux Libertine G"/>
        <x:family val="2"/>
      </x:rPr>
      <x:t xml:space="preserve">财务</x:t>
    </x:r>
  </x:si>
  <x:si>
    <x:t xml:space="preserve">现网样本回放</x:t>
  </x:si>
  <x:si>
    <x:r>
      <x:rPr>
        <x:i/>
        <x:sz val="10"/>
        <x:color rgb="FF657580"/>
        <x:rFont val="Linux Libertine G"/>
        <x:family val="2"/>
      </x:rPr>
      <x:t xml:space="preserve">保留全部</x:t>
    </x:r>
    <x:r>
      <x:rPr>
        <x:i/>
        <x:sz val="10"/>
        <x:color rgb="FF657580"/>
        <x:rFont val="Arial"/>
      </x:rPr>
      <x:t xml:space="preserve">312</x:t>
    </x:r>
    <x:r>
      <x:rPr>
        <x:i/>
        <x:sz val="10"/>
        <x:color rgb="FF657580"/>
        <x:rFont val="Linux Libertine G"/>
        <x:family val="2"/>
      </x:rPr>
      <x:t xml:space="preserve">对用于迁移展示；最高样本不参与校准，低于</x:t>
    </x:r>
    <x:r>
      <x:rPr>
        <x:i/>
        <x:sz val="10"/>
        <x:color rgb="FF657580"/>
        <x:rFont val="Arial"/>
      </x:rPr>
      <x:t xml:space="preserve">1,000</x:t>
    </x:r>
    <x:r>
      <x:rPr>
        <x:i/>
        <x:sz val="10"/>
        <x:color rgb="FF657580"/>
        <x:rFont val="Linux Libertine G"/>
        <x:family val="2"/>
      </x:rPr>
      <x:t xml:space="preserve">的有效存量</x:t>
    </x:r>
    <x:r>
      <x:rPr>
        <x:i/>
        <x:sz val="10"/>
        <x:color rgb="FF657580"/>
        <x:rFont val="Arial"/>
      </x:rPr>
      <x:t xml:space="preserve">CP</x:t>
    </x:r>
    <x:r>
      <x:rPr>
        <x:i/>
        <x:sz val="10"/>
        <x:color rgb="FF657580"/>
        <x:rFont val="Linux Libertine G"/>
        <x:family val="2"/>
      </x:rPr>
      <x:t xml:space="preserve">统一映射</x:t>
    </x:r>
    <x:r>
      <x:rPr>
        <x:i/>
        <x:sz val="10"/>
        <x:color rgb="FF657580"/>
        <x:rFont val="Arial"/>
      </x:rPr>
      <x:t xml:space="preserve">Lv1</x:t>
    </x:r>
    <x:r>
      <x:rPr>
        <x:i/>
        <x:sz val="10"/>
        <x:color rgb="FF657580"/>
        <x:rFont val="Linux Libertine G"/>
        <x:family val="2"/>
      </x:rPr>
      <x:t xml:space="preserve">。</x:t>
    </x:r>
  </x:si>
  <x:si>
    <x:t xml:space="preserve">样本序号</x:t>
  </x:si>
  <x:si>
    <x:r>
      <x:rPr>
        <x:b/>
        <x:sz val="10"/>
        <x:color rgb="FFFFFFFF"/>
        <x:rFont val="Linux Libertine G"/>
        <x:family val="2"/>
      </x:rPr>
      <x:t xml:space="preserve">婚姻记录</x:t>
    </x:r>
    <x:r>
      <x:rPr>
        <x:b/>
        <x:sz val="10"/>
        <x:color rgb="FFFFFFFF"/>
        <x:rFont val="Arial"/>
      </x:rPr>
      <x:t xml:space="preserve">ID</x:t>
    </x:r>
  </x:si>
  <x:si>
    <x:r>
      <x:rPr>
        <x:b/>
        <x:sz val="10"/>
        <x:color rgb="FFFFFFFF"/>
        <x:rFont val="Linux Libertine G"/>
        <x:family val="2"/>
      </x:rPr>
      <x:t xml:space="preserve">现网</x:t>
    </x:r>
    <x:r>
      <x:rPr>
        <x:b/>
        <x:sz val="10"/>
        <x:color rgb="FFFFFFFF"/>
        <x:rFont val="Arial"/>
      </x:rPr>
      <x:t xml:space="preserve">CP</x:t>
    </x:r>
    <x:r>
      <x:rPr>
        <x:b/>
        <x:sz val="10"/>
        <x:color rgb="FFFFFFFF"/>
        <x:rFont val="Linux Libertine G"/>
        <x:family val="2"/>
      </x:rPr>
      <x:t xml:space="preserve">相关累计值</x:t>
    </x:r>
  </x:si>
  <x:si>
    <x:t xml:space="preserve">参与档位设定</x:t>
  </x:si>
  <x:si>
    <x:t xml:space="preserve">新等级</x:t>
  </x:si>
  <x:si>
    <x:t xml:space="preserve">下一等级门槛</x:t>
  </x:si>
  <x:si>
    <x:t xml:space="preserve">数据提示</x:t>
  </x:si>
  <x:si>
    <x:t xml:space="preserve">199</x:t>
  </x:si>
  <x:si>
    <x:t xml:space="preserve">383</x:t>
  </x:si>
  <x:si>
    <x:t xml:space="preserve">是</x:t>
  </x:si>
  <x:si>
    <x:t xml:space="preserve">170</x:t>
  </x:si>
  <x:si>
    <x:t xml:space="preserve">261</x:t>
  </x:si>
  <x:si>
    <x:t xml:space="preserve">633</x:t>
  </x:si>
  <x:si>
    <x:t xml:space="preserve">720</x:t>
  </x:si>
  <x:si>
    <x:t xml:space="preserve">711</x:t>
  </x:si>
  <x:si>
    <x:t xml:space="preserve">684</x:t>
  </x:si>
  <x:si>
    <x:t xml:space="preserve">634</x:t>
  </x:si>
  <x:si>
    <x:t xml:space="preserve">769</x:t>
  </x:si>
  <x:si>
    <x:t xml:space="preserve">748</x:t>
  </x:si>
  <x:si>
    <x:t xml:space="preserve">797</x:t>
  </x:si>
  <x:si>
    <x:t xml:space="preserve">9</x:t>
  </x:si>
  <x:si>
    <x:t xml:space="preserve">677</x:t>
  </x:si>
  <x:si>
    <x:t xml:space="preserve">216</x:t>
  </x:si>
  <x:si>
    <x:t xml:space="preserve">314</x:t>
  </x:si>
  <x:si>
    <x:t xml:space="preserve">756</x:t>
  </x:si>
  <x:si>
    <x:t xml:space="preserve">754</x:t>
  </x:si>
  <x:si>
    <x:t xml:space="preserve">608</x:t>
  </x:si>
  <x:si>
    <x:t xml:space="preserve">480</x:t>
  </x:si>
  <x:si>
    <x:t xml:space="preserve">346</x:t>
  </x:si>
  <x:si>
    <x:t xml:space="preserve">482</x:t>
  </x:si>
  <x:si>
    <x:t xml:space="preserve">92</x:t>
  </x:si>
  <x:si>
    <x:t xml:space="preserve">28</x:t>
  </x:si>
  <x:si>
    <x:t xml:space="preserve">542</x:t>
  </x:si>
  <x:si>
    <x:t xml:space="preserve">68</x:t>
  </x:si>
  <x:si>
    <x:t xml:space="preserve">601</x:t>
  </x:si>
  <x:si>
    <x:t xml:space="preserve">384</x:t>
  </x:si>
  <x:si>
    <x:t xml:space="preserve">806</x:t>
  </x:si>
  <x:si>
    <x:t xml:space="preserve">614</x:t>
  </x:si>
  <x:si>
    <x:t xml:space="preserve">723</x:t>
  </x:si>
  <x:si>
    <x:t xml:space="preserve">24</x:t>
  </x:si>
  <x:si>
    <x:t xml:space="preserve">60</x:t>
  </x:si>
  <x:si>
    <x:t xml:space="preserve">569</x:t>
  </x:si>
  <x:si>
    <x:t xml:space="preserve">267</x:t>
  </x:si>
  <x:si>
    <x:t xml:space="preserve">456</x:t>
  </x:si>
  <x:si>
    <x:t xml:space="preserve">780</x:t>
  </x:si>
  <x:si>
    <x:t xml:space="preserve">279</x:t>
  </x:si>
  <x:si>
    <x:t xml:space="preserve">50</x:t>
  </x:si>
  <x:si>
    <x:t xml:space="preserve">620</x:t>
  </x:si>
  <x:si>
    <x:t xml:space="preserve">805</x:t>
  </x:si>
  <x:si>
    <x:t xml:space="preserve">679</x:t>
  </x:si>
  <x:si>
    <x:t xml:space="preserve">462</x:t>
  </x:si>
  <x:si>
    <x:t xml:space="preserve">630</x:t>
  </x:si>
  <x:si>
    <x:t xml:space="preserve">772</x:t>
  </x:si>
  <x:si>
    <x:t xml:space="preserve">764</x:t>
  </x:si>
  <x:si>
    <x:t xml:space="preserve">750</x:t>
  </x:si>
  <x:si>
    <x:t xml:space="preserve">494</x:t>
  </x:si>
  <x:si>
    <x:t xml:space="preserve">656</x:t>
  </x:si>
  <x:si>
    <x:t xml:space="preserve">174</x:t>
  </x:si>
  <x:si>
    <x:t xml:space="preserve">762</x:t>
  </x:si>
  <x:si>
    <x:t xml:space="preserve">628</x:t>
  </x:si>
  <x:si>
    <x:t xml:space="preserve">134</x:t>
  </x:si>
  <x:si>
    <x:t xml:space="preserve">402</x:t>
  </x:si>
  <x:si>
    <x:t xml:space="preserve">290</x:t>
  </x:si>
  <x:si>
    <x:t xml:space="preserve">77</x:t>
  </x:si>
  <x:si>
    <x:t xml:space="preserve">295</x:t>
  </x:si>
  <x:si>
    <x:t xml:space="preserve">293</x:t>
  </x:si>
  <x:si>
    <x:t xml:space="preserve">514</x:t>
  </x:si>
  <x:si>
    <x:t xml:space="preserve">425</x:t>
  </x:si>
  <x:si>
    <x:t xml:space="preserve">433</x:t>
  </x:si>
  <x:si>
    <x:t xml:space="preserve">650</x:t>
  </x:si>
  <x:si>
    <x:t xml:space="preserve">330</x:t>
  </x:si>
  <x:si>
    <x:t xml:space="preserve">581</x:t>
  </x:si>
  <x:si>
    <x:t xml:space="preserve">438</x:t>
  </x:si>
  <x:si>
    <x:t xml:space="preserve">178</x:t>
  </x:si>
  <x:si>
    <x:t xml:space="preserve">308</x:t>
  </x:si>
  <x:si>
    <x:t xml:space="preserve">793</x:t>
  </x:si>
  <x:si>
    <x:t xml:space="preserve">47</x:t>
  </x:si>
  <x:si>
    <x:t xml:space="preserve">770</x:t>
  </x:si>
  <x:si>
    <x:t xml:space="preserve">667</x:t>
  </x:si>
  <x:si>
    <x:t xml:space="preserve">687</x:t>
  </x:si>
  <x:si>
    <x:t xml:space="preserve">811</x:t>
  </x:si>
  <x:si>
    <x:t xml:space="preserve">655</x:t>
  </x:si>
  <x:si>
    <x:t xml:space="preserve">544</x:t>
  </x:si>
  <x:si>
    <x:t xml:space="preserve">771</x:t>
  </x:si>
  <x:si>
    <x:t xml:space="preserve">701</x:t>
  </x:si>
  <x:si>
    <x:t xml:space="preserve">206</x:t>
  </x:si>
  <x:si>
    <x:t xml:space="preserve">686</x:t>
  </x:si>
  <x:si>
    <x:t xml:space="preserve">452</x:t>
  </x:si>
  <x:si>
    <x:t xml:space="preserve">54</x:t>
  </x:si>
  <x:si>
    <x:t xml:space="preserve">148</x:t>
  </x:si>
  <x:si>
    <x:t xml:space="preserve">759</x:t>
  </x:si>
  <x:si>
    <x:t xml:space="preserve">704</x:t>
  </x:si>
  <x:si>
    <x:t xml:space="preserve">763</x:t>
  </x:si>
  <x:si>
    <x:t xml:space="preserve">725</x:t>
  </x:si>
  <x:si>
    <x:t xml:space="preserve">94</x:t>
  </x:si>
  <x:si>
    <x:t xml:space="preserve">225</x:t>
  </x:si>
  <x:si>
    <x:t xml:space="preserve">251</x:t>
  </x:si>
  <x:si>
    <x:t xml:space="preserve">731</x:t>
  </x:si>
  <x:si>
    <x:t xml:space="preserve">760</x:t>
  </x:si>
  <x:si>
    <x:t xml:space="preserve">374</x:t>
  </x:si>
  <x:si>
    <x:t xml:space="preserve">629</x:t>
  </x:si>
  <x:si>
    <x:t xml:space="preserve">43</x:t>
  </x:si>
  <x:si>
    <x:t xml:space="preserve">786</x:t>
  </x:si>
  <x:si>
    <x:t xml:space="preserve">580</x:t>
  </x:si>
  <x:si>
    <x:t xml:space="preserve">324</x:t>
  </x:si>
  <x:si>
    <x:t xml:space="preserve">100</x:t>
  </x:si>
  <x:si>
    <x:t xml:space="preserve">524</x:t>
  </x:si>
  <x:si>
    <x:t xml:space="preserve">738</x:t>
  </x:si>
  <x:si>
    <x:t xml:space="preserve">744</x:t>
  </x:si>
  <x:si>
    <x:t xml:space="preserve">733</x:t>
  </x:si>
  <x:si>
    <x:t xml:space="preserve">531</x:t>
  </x:si>
  <x:si>
    <x:t xml:space="preserve">606</x:t>
  </x:si>
  <x:si>
    <x:t xml:space="preserve">690</x:t>
  </x:si>
  <x:si>
    <x:t xml:space="preserve">718</x:t>
  </x:si>
  <x:si>
    <x:t xml:space="preserve">587</x:t>
  </x:si>
  <x:si>
    <x:t xml:space="preserve">85</x:t>
  </x:si>
  <x:si>
    <x:t xml:space="preserve">306</x:t>
  </x:si>
  <x:si>
    <x:t xml:space="preserve">110</x:t>
  </x:si>
  <x:si>
    <x:t xml:space="preserve">408</x:t>
  </x:si>
  <x:si>
    <x:t xml:space="preserve">377</x:t>
  </x:si>
  <x:si>
    <x:t xml:space="preserve">367</x:t>
  </x:si>
  <x:si>
    <x:t xml:space="preserve">774</x:t>
  </x:si>
  <x:si>
    <x:t xml:space="preserve">676</x:t>
  </x:si>
  <x:si>
    <x:t xml:space="preserve">554</x:t>
  </x:si>
  <x:si>
    <x:t xml:space="preserve">528</x:t>
  </x:si>
  <x:si>
    <x:t xml:space="preserve">618</x:t>
  </x:si>
  <x:si>
    <x:t xml:space="preserve">782</x:t>
  </x:si>
  <x:si>
    <x:t xml:space="preserve">761</x:t>
  </x:si>
  <x:si>
    <x:t xml:space="preserve">695</x:t>
  </x:si>
  <x:si>
    <x:t xml:space="preserve">506</x:t>
  </x:si>
  <x:si>
    <x:t xml:space="preserve">807</x:t>
  </x:si>
  <x:si>
    <x:t xml:space="preserve">755</x:t>
  </x:si>
  <x:si>
    <x:t xml:space="preserve">89</x:t>
  </x:si>
  <x:si>
    <x:t xml:space="preserve">640</x:t>
  </x:si>
  <x:si>
    <x:t xml:space="preserve">632</x:t>
  </x:si>
  <x:si>
    <x:t xml:space="preserve">737</x:t>
  </x:si>
  <x:si>
    <x:t xml:space="preserve">565</x:t>
  </x:si>
  <x:si>
    <x:t xml:space="preserve">625</x:t>
  </x:si>
  <x:si>
    <x:t xml:space="preserve">619</x:t>
  </x:si>
  <x:si>
    <x:t xml:space="preserve">369</x:t>
  </x:si>
  <x:si>
    <x:t xml:space="preserve">579</x:t>
  </x:si>
  <x:si>
    <x:t xml:space="preserve">804</x:t>
  </x:si>
  <x:si>
    <x:t xml:space="preserve">716</x:t>
  </x:si>
  <x:si>
    <x:t xml:space="preserve">448</x:t>
  </x:si>
  <x:si>
    <x:t xml:space="preserve">673</x:t>
  </x:si>
  <x:si>
    <x:t xml:space="preserve">33</x:t>
  </x:si>
  <x:si>
    <x:t xml:space="preserve">80</x:t>
  </x:si>
  <x:si>
    <x:t xml:space="preserve">418</x:t>
  </x:si>
  <x:si>
    <x:t xml:space="preserve">727</x:t>
  </x:si>
  <x:si>
    <x:t xml:space="preserve">691</x:t>
  </x:si>
  <x:si>
    <x:t xml:space="preserve">490</x:t>
  </x:si>
  <x:si>
    <x:t xml:space="preserve">626</x:t>
  </x:si>
  <x:si>
    <x:t xml:space="preserve">334</x:t>
  </x:si>
  <x:si>
    <x:t xml:space="preserve">220</x:t>
  </x:si>
  <x:si>
    <x:t xml:space="preserve">488</x:t>
  </x:si>
  <x:si>
    <x:t xml:space="preserve">810</x:t>
  </x:si>
  <x:si>
    <x:t xml:space="preserve">703</x:t>
  </x:si>
  <x:si>
    <x:t xml:space="preserve">493</x:t>
  </x:si>
  <x:si>
    <x:t xml:space="preserve">773</x:t>
  </x:si>
  <x:si>
    <x:t xml:space="preserve">491</x:t>
  </x:si>
  <x:si>
    <x:t xml:space="preserve">390</x:t>
  </x:si>
  <x:si>
    <x:t xml:space="preserve">696</x:t>
  </x:si>
  <x:si>
    <x:t xml:space="preserve">795</x:t>
  </x:si>
  <x:si>
    <x:t xml:space="preserve">585</x:t>
  </x:si>
  <x:si>
    <x:t xml:space="preserve">548</x:t>
  </x:si>
  <x:si>
    <x:t xml:space="preserve">426</x:t>
  </x:si>
  <x:si>
    <x:t xml:space="preserve">508</x:t>
  </x:si>
  <x:si>
    <x:t xml:space="preserve">454</x:t>
  </x:si>
  <x:si>
    <x:t xml:space="preserve">798</x:t>
  </x:si>
  <x:si>
    <x:t xml:space="preserve">669</x:t>
  </x:si>
  <x:si>
    <x:t xml:space="preserve">710</x:t>
  </x:si>
  <x:si>
    <x:t xml:space="preserve">732</x:t>
  </x:si>
  <x:si>
    <x:t xml:space="preserve">778</x:t>
  </x:si>
  <x:si>
    <x:t xml:space="preserve">500</x:t>
  </x:si>
  <x:si>
    <x:t xml:space="preserve">815</x:t>
  </x:si>
  <x:si>
    <x:t xml:space="preserve">205</x:t>
  </x:si>
  <x:si>
    <x:t xml:space="preserve">567</x:t>
  </x:si>
  <x:si>
    <x:t xml:space="preserve">129</x:t>
  </x:si>
  <x:si>
    <x:t xml:space="preserve">709</x:t>
  </x:si>
  <x:si>
    <x:t xml:space="preserve">739</x:t>
  </x:si>
  <x:si>
    <x:t xml:space="preserve">765</x:t>
  </x:si>
  <x:si>
    <x:t xml:space="preserve">603</x:t>
  </x:si>
  <x:si>
    <x:t xml:space="preserve">543</x:t>
  </x:si>
  <x:si>
    <x:t xml:space="preserve">746</x:t>
  </x:si>
  <x:si>
    <x:t xml:space="preserve">140</x:t>
  </x:si>
  <x:si>
    <x:t xml:space="preserve">801</x:t>
  </x:si>
  <x:si>
    <x:t xml:space="preserve">719</x:t>
  </x:si>
  <x:si>
    <x:t xml:space="preserve">430</x:t>
  </x:si>
  <x:si>
    <x:t xml:space="preserve">617</x:t>
  </x:si>
  <x:si>
    <x:t xml:space="preserve">799</x:t>
  </x:si>
  <x:si>
    <x:t xml:space="preserve">803</x:t>
  </x:si>
  <x:si>
    <x:t xml:space="preserve">372</x:t>
  </x:si>
  <x:si>
    <x:t xml:space="preserve">814</x:t>
  </x:si>
  <x:si>
    <x:t xml:space="preserve">747</x:t>
  </x:si>
  <x:si>
    <x:t xml:space="preserve">155</x:t>
  </x:si>
  <x:si>
    <x:t xml:space="preserve">722</x:t>
  </x:si>
  <x:si>
    <x:t xml:space="preserve">274</x:t>
  </x:si>
  <x:si>
    <x:t xml:space="preserve">812</x:t>
  </x:si>
  <x:si>
    <x:t xml:space="preserve">302</x:t>
  </x:si>
  <x:si>
    <x:t xml:space="preserve">768</x:t>
  </x:si>
  <x:si>
    <x:t xml:space="preserve">776</x:t>
  </x:si>
  <x:si>
    <x:t xml:space="preserve">689</x:t>
  </x:si>
  <x:si>
    <x:t xml:space="preserve">641</x:t>
  </x:si>
  <x:si>
    <x:t xml:space="preserve">583</x:t>
  </x:si>
  <x:si>
    <x:t xml:space="preserve">66</x:t>
  </x:si>
  <x:si>
    <x:t xml:space="preserve">651</x:t>
  </x:si>
  <x:si>
    <x:t xml:space="preserve">447</x:t>
  </x:si>
  <x:si>
    <x:t xml:space="preserve">766</x:t>
  </x:si>
  <x:si>
    <x:t xml:space="preserve">736</x:t>
  </x:si>
  <x:si>
    <x:t xml:space="preserve">808</x:t>
  </x:si>
  <x:si>
    <x:t xml:space="preserve">783</x:t>
  </x:si>
  <x:si>
    <x:t xml:space="preserve">785</x:t>
  </x:si>
  <x:si>
    <x:t xml:space="preserve">292</x:t>
  </x:si>
  <x:si>
    <x:t xml:space="preserve">663</x:t>
  </x:si>
  <x:si>
    <x:t xml:space="preserve">361</x:t>
  </x:si>
  <x:si>
    <x:t xml:space="preserve">612</x:t>
  </x:si>
  <x:si>
    <x:t xml:space="preserve">757</x:t>
  </x:si>
  <x:si>
    <x:t xml:space="preserve">589</x:t>
  </x:si>
  <x:si>
    <x:t xml:space="preserve">575</x:t>
  </x:si>
  <x:si>
    <x:t xml:space="preserve">654</x:t>
  </x:si>
  <x:si>
    <x:t xml:space="preserve">781</x:t>
  </x:si>
  <x:si>
    <x:t xml:space="preserve">705</x:t>
  </x:si>
  <x:si>
    <x:t xml:space="preserve">745</x:t>
  </x:si>
  <x:si>
    <x:t xml:space="preserve">568</x:t>
  </x:si>
  <x:si>
    <x:t xml:space="preserve">398</x:t>
  </x:si>
  <x:si>
    <x:t xml:space="preserve">666</x:t>
  </x:si>
  <x:si>
    <x:t xml:space="preserve">591</x:t>
  </x:si>
  <x:si>
    <x:t xml:space="preserve">521</x:t>
  </x:si>
  <x:si>
    <x:t xml:space="preserve">602</x:t>
  </x:si>
  <x:si>
    <x:t xml:space="preserve">613</x:t>
  </x:si>
  <x:si>
    <x:t xml:space="preserve">792</x:t>
  </x:si>
  <x:si>
    <x:t xml:space="preserve">694</x:t>
  </x:si>
  <x:si>
    <x:t xml:space="preserve">644</x:t>
  </x:si>
  <x:si>
    <x:t xml:space="preserve">631</x:t>
  </x:si>
  <x:si>
    <x:t xml:space="preserve">611</x:t>
  </x:si>
  <x:si>
    <x:t xml:space="preserve">671</x:t>
  </x:si>
  <x:si>
    <x:t xml:space="preserve">577</x:t>
  </x:si>
  <x:si>
    <x:t xml:space="preserve">809</x:t>
  </x:si>
  <x:si>
    <x:t xml:space="preserve">557</x:t>
  </x:si>
  <x:si>
    <x:t xml:space="preserve">659</x:t>
  </x:si>
  <x:si>
    <x:t xml:space="preserve">816</x:t>
  </x:si>
  <x:si>
    <x:t xml:space="preserve">790</x:t>
  </x:si>
  <x:si>
    <x:t xml:space="preserve">789</x:t>
  </x:si>
  <x:si>
    <x:t xml:space="preserve">315</x:t>
  </x:si>
  <x:si>
    <x:t xml:space="preserve">41</x:t>
  </x:si>
  <x:si>
    <x:t xml:space="preserve">444</x:t>
  </x:si>
  <x:si>
    <x:t xml:space="preserve">187</x:t>
  </x:si>
  <x:si>
    <x:t xml:space="preserve">517</x:t>
  </x:si>
  <x:si>
    <x:t xml:space="preserve">657</x:t>
  </x:si>
  <x:si>
    <x:t xml:space="preserve">534</x:t>
  </x:si>
  <x:si>
    <x:t xml:space="preserve">552</x:t>
  </x:si>
  <x:si>
    <x:t xml:space="preserve">387</x:t>
  </x:si>
  <x:si>
    <x:t xml:space="preserve">14</x:t>
  </x:si>
  <x:si>
    <x:t xml:space="preserve">18</x:t>
  </x:si>
  <x:si>
    <x:t xml:space="preserve">26</x:t>
  </x:si>
  <x:si>
    <x:t xml:space="preserve">38</x:t>
  </x:si>
  <x:si>
    <x:t xml:space="preserve">44</x:t>
  </x:si>
  <x:si>
    <x:t xml:space="preserve">69</x:t>
  </x:si>
  <x:si>
    <x:t xml:space="preserve">70</x:t>
  </x:si>
  <x:si>
    <x:t xml:space="preserve">72</x:t>
  </x:si>
  <x:si>
    <x:t xml:space="preserve">75</x:t>
  </x:si>
  <x:si>
    <x:t xml:space="preserve">87</x:t>
  </x:si>
  <x:si>
    <x:t xml:space="preserve">88</x:t>
  </x:si>
  <x:si>
    <x:t xml:space="preserve">91</x:t>
  </x:si>
  <x:si>
    <x:t xml:space="preserve">119</x:t>
  </x:si>
  <x:si>
    <x:t xml:space="preserve">121</x:t>
  </x:si>
  <x:si>
    <x:t xml:space="preserve">130</x:t>
  </x:si>
  <x:si>
    <x:t xml:space="preserve">137</x:t>
  </x:si>
  <x:si>
    <x:t xml:space="preserve">168</x:t>
  </x:si>
  <x:si>
    <x:t xml:space="preserve">169</x:t>
  </x:si>
  <x:si>
    <x:t xml:space="preserve">189</x:t>
  </x:si>
  <x:si>
    <x:t xml:space="preserve">194</x:t>
  </x:si>
  <x:si>
    <x:t xml:space="preserve">195</x:t>
  </x:si>
  <x:si>
    <x:t xml:space="preserve">204</x:t>
  </x:si>
  <x:si>
    <x:t xml:space="preserve">207</x:t>
  </x:si>
  <x:si>
    <x:t xml:space="preserve">217</x:t>
  </x:si>
  <x:si>
    <x:t xml:space="preserve">218</x:t>
  </x:si>
  <x:si>
    <x:t xml:space="preserve">221</x:t>
  </x:si>
  <x:si>
    <x:t xml:space="preserve">233</x:t>
  </x:si>
  <x:si>
    <x:t xml:space="preserve">241</x:t>
  </x:si>
  <x:si>
    <x:t xml:space="preserve">249</x:t>
  </x:si>
  <x:si>
    <x:t xml:space="preserve">275</x:t>
  </x:si>
  <x:si>
    <x:t xml:space="preserve">278</x:t>
  </x:si>
  <x:si>
    <x:t xml:space="preserve">299</x:t>
  </x:si>
  <x:si>
    <x:t xml:space="preserve">304</x:t>
  </x:si>
  <x:si>
    <x:t xml:space="preserve">320</x:t>
  </x:si>
  <x:si>
    <x:t xml:space="preserve">323</x:t>
  </x:si>
  <x:si>
    <x:t xml:space="preserve">335</x:t>
  </x:si>
  <x:si>
    <x:t xml:space="preserve">341</x:t>
  </x:si>
  <x:si>
    <x:t xml:space="preserve">343</x:t>
  </x:si>
  <x:si>
    <x:t xml:space="preserve">344</x:t>
  </x:si>
  <x:si>
    <x:t xml:space="preserve">345</x:t>
  </x:si>
  <x:si>
    <x:t xml:space="preserve">348</x:t>
  </x:si>
  <x:si>
    <x:t xml:space="preserve">349</x:t>
  </x:si>
  <x:si>
    <x:t xml:space="preserve">350</x:t>
  </x:si>
  <x:si>
    <x:t xml:space="preserve">355</x:t>
  </x:si>
  <x:si>
    <x:t xml:space="preserve">370</x:t>
  </x:si>
  <x:si>
    <x:t xml:space="preserve">373</x:t>
  </x:si>
  <x:si>
    <x:t xml:space="preserve">385</x:t>
  </x:si>
  <x:si>
    <x:t xml:space="preserve">410</x:t>
  </x:si>
  <x:si>
    <x:t xml:space="preserve">411</x:t>
  </x:si>
  <x:si>
    <x:t xml:space="preserve">422</x:t>
  </x:si>
  <x:si>
    <x:t xml:space="preserve">435</x:t>
  </x:si>
  <x:si>
    <x:t xml:space="preserve">440</x:t>
  </x:si>
  <x:si>
    <x:t xml:space="preserve">446</x:t>
  </x:si>
  <x:si>
    <x:t xml:space="preserve">455</x:t>
  </x:si>
  <x:si>
    <x:t xml:space="preserve">471</x:t>
  </x:si>
  <x:si>
    <x:t xml:space="preserve">485</x:t>
  </x:si>
  <x:si>
    <x:t xml:space="preserve">486</x:t>
  </x:si>
  <x:si>
    <x:t xml:space="preserve">502</x:t>
  </x:si>
  <x:si>
    <x:t xml:space="preserve">503</x:t>
  </x:si>
  <x:si>
    <x:t xml:space="preserve">512</x:t>
  </x:si>
  <x:si>
    <x:t xml:space="preserve">523</x:t>
  </x:si>
  <x:si>
    <x:t xml:space="preserve">537</x:t>
  </x:si>
  <x:si>
    <x:t xml:space="preserve">546</x:t>
  </x:si>
  <x:si>
    <x:t xml:space="preserve">551</x:t>
  </x:si>
  <x:si>
    <x:t xml:space="preserve">564</x:t>
  </x:si>
  <x:si>
    <x:t xml:space="preserve">597</x:t>
  </x:si>
  <x:si>
    <x:t xml:space="preserve">600</x:t>
  </x:si>
  <x:si>
    <x:t xml:space="preserve">621</x:t>
  </x:si>
</x:sst>
</file>

<file path=xl/styles.xml><?xml version="1.0" encoding="utf-8"?>
<x:styleSheet xmlns:x="http://schemas.openxmlformats.org/spreadsheetml/2006/main">
  <x:numFmts count="12">
    <x:numFmt numFmtId="164" formatCode="General"/>
    <x:numFmt numFmtId="165" formatCode="_ * #,##0.00_ ;_ * \-#,##0.00_ ;_ * \-??_ ;_ @_ "/>
    <x:numFmt numFmtId="166" formatCode="_ * #,##0_ ;_ * \-#,##0_ ;_ * \-_ ;_ @_ "/>
    <x:numFmt numFmtId="167" formatCode="0%"/>
    <x:numFmt numFmtId="168" formatCode="_ \￥* #,##0.00_ ;_ \￥* \-#,##0.00_ ;_ \￥* \-??_ ;_ @_ "/>
    <x:numFmt numFmtId="169" formatCode="_ \￥* #,##0_ ;_ \￥* \-#,##0_ ;_ \￥* \-_ ;_ @_ "/>
    <x:numFmt numFmtId="170" formatCode="#,##0"/>
    <x:numFmt numFmtId="171" formatCode="0.0%"/>
    <x:numFmt numFmtId="172" formatCode="0"/>
    <x:numFmt numFmtId="173" formatCode="0.00"/>
    <x:numFmt numFmtId="174" formatCode="&quot;Lv&quot;0"/>
    <x:numFmt numFmtId="175" formatCode="\G0"/>
  </x:numFmts>
  <x:fonts count="33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sz val="11"/>
      <x:color theme="0"/>
      <x:name val="Calibri"/>
    </x:font>
    <x:font>
      <x:sz val="1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800080"/>
      <x:name val="Calibri"/>
    </x:font>
    <x:font>
      <x:b/>
      <x:sz val="18"/>
      <x:color theme="3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  <x:font>
      <x:i/>
      <x:sz val="11"/>
      <x:color rgb="FF7F7F7F"/>
      <x:name val="Calibri"/>
    </x:font>
    <x:font>
      <x:sz val="11"/>
      <x:color rgb="FFFF0000"/>
      <x:name val="Calibri"/>
    </x:font>
    <x:font>
      <x:b/>
      <x:sz val="11"/>
      <x:color rgb="FFFA7D00"/>
      <x:name val="Calibri"/>
    </x:font>
    <x:font>
      <x:sz val="11"/>
      <x:color rgb="FF0000FF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sz val="11"/>
      <x:color rgb="FF9C6500"/>
      <x:name val="Calibri"/>
    </x:font>
    <x:font>
      <x:sz val="11"/>
      <x:color rgb="FFFA7D00"/>
      <x:name val="Calibri"/>
    </x:font>
    <x:font>
      <x:sz val="10"/>
      <x:color rgb="FF24343F"/>
      <x:name val="Linux Libertine G"/>
    </x:font>
    <x:font>
      <x:b/>
      <x:sz val="15"/>
      <x:color rgb="FF203747"/>
      <x:name val="Arial"/>
    </x:font>
    <x:font>
      <x:b/>
      <x:sz val="15"/>
      <x:color rgb="FF203747"/>
      <x:name val="Linux Libertine G"/>
    </x:font>
    <x:font>
      <x:i/>
      <x:sz val="10"/>
      <x:color rgb="FF657580"/>
      <x:name val="Linux Libertine G"/>
    </x:font>
    <x:font>
      <x:i/>
      <x:sz val="10"/>
      <x:color rgb="FF657580"/>
      <x:name val="Arial"/>
    </x:font>
    <x:font>
      <x:b/>
      <x:sz val="10"/>
      <x:color rgb="FFFFFFFF"/>
      <x:name val="Linux Libertine G"/>
    </x:font>
    <x:font>
      <x:b/>
      <x:sz val="10"/>
      <x:color rgb="FFFFFFFF"/>
      <x:name val="Arial"/>
    </x:font>
    <x:font>
      <x:sz val="10"/>
      <x:color rgb="FF24343F"/>
      <x:name val="Arial"/>
    </x:font>
    <x:font>
      <x:sz val="11"/>
      <x:name val="Linux Libertine G"/>
    </x:font>
  </x:fonts>
  <x:fills count="43">
    <x:fill>
      <x:patternFill patternType="none"/>
    </x:fill>
    <x:fill>
      <x:patternFill patternType="gray125"/>
    </x:fill>
    <x:fill>
      <x:patternFill patternType="solid">
        <x:fgColor theme="4" tint="0.7999"/>
      </x:patternFill>
    </x:fill>
    <x:fill>
      <x:patternFill patternType="solid">
        <x:fgColor theme="5" tint="0.7999"/>
      </x:patternFill>
    </x:fill>
    <x:fill>
      <x:patternFill patternType="solid">
        <x:fgColor theme="6" tint="0.7999"/>
      </x:patternFill>
    </x:fill>
    <x:fill>
      <x:patternFill patternType="solid">
        <x:fgColor theme="7" tint="0.7999"/>
      </x:patternFill>
    </x:fill>
    <x:fill>
      <x:patternFill patternType="solid">
        <x:fgColor theme="8" tint="0.7999"/>
      </x:patternFill>
    </x:fill>
    <x:fill>
      <x:patternFill patternType="solid">
        <x:fgColor theme="9" tint="0.7999"/>
      </x:patternFill>
    </x:fill>
    <x:fill>
      <x:patternFill patternType="solid">
        <x:fgColor theme="4" tint="0.5999"/>
      </x:patternFill>
    </x:fill>
    <x:fill>
      <x:patternFill patternType="solid">
        <x:fgColor theme="5" tint="0.5999"/>
      </x:patternFill>
    </x:fill>
    <x:fill>
      <x:patternFill patternType="solid">
        <x:fgColor theme="6" tint="0.5999"/>
      </x:patternFill>
    </x:fill>
    <x:fill>
      <x:patternFill patternType="solid">
        <x:fgColor theme="7" tint="0.5999"/>
      </x:patternFill>
    </x:fill>
    <x:fill>
      <x:patternFill patternType="solid">
        <x:fgColor theme="8" tint="0.5999"/>
      </x:patternFill>
    </x:fill>
    <x:fill>
      <x:patternFill patternType="solid">
        <x:fgColor theme="9" tint="0.5999"/>
      </x:patternFill>
    </x:fill>
    <x:fill>
      <x:patternFill patternType="solid">
        <x:fgColor theme="4" tint="0.3999"/>
      </x:patternFill>
    </x:fill>
    <x:fill>
      <x:patternFill patternType="solid">
        <x:fgColor theme="5" tint="0.3999"/>
      </x:patternFill>
    </x:fill>
    <x:fill>
      <x:patternFill patternType="solid">
        <x:fgColor theme="6" tint="0.3999"/>
      </x:patternFill>
    </x:fill>
    <x:fill>
      <x:patternFill patternType="solid">
        <x:fgColor theme="7" tint="0.3999"/>
      </x:patternFill>
    </x:fill>
    <x:fill>
      <x:patternFill patternType="solid">
        <x:fgColor theme="8" tint="0.3999"/>
      </x:patternFill>
    </x:fill>
    <x:fill>
      <x:patternFill patternType="solid">
        <x:fgColor theme="9" tint="0.3999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A9A9A9"/>
      </x:patternFill>
    </x:fill>
    <x:fill>
      <x:patternFill patternType="solid">
        <x:fgColor rgb="FFFFFFCC"/>
      </x:patternFill>
    </x:fill>
    <x:fill>
      <x:patternFill patternType="solid">
        <x:fgColor rgb="FFF2F2F2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2F6B57"/>
      </x:patternFill>
    </x:fill>
    <x:fill>
      <x:patternFill patternType="solid">
        <x:fgColor rgb="FF3C708B"/>
      </x:patternFill>
    </x:fill>
    <x:fill>
      <x:patternFill patternType="solid">
        <x:fgColor rgb="FF203747"/>
      </x:patternFill>
    </x:fill>
    <x:fill>
      <x:patternFill patternType="solid">
        <x:fgColor rgb="FFE8F0F5"/>
      </x:patternFill>
    </x:fill>
    <x:fill>
      <x:patternFill patternType="solid">
        <x:fgColor rgb="FFFFF1D2"/>
      </x:patternFill>
    </x:fill>
    <x:fill>
      <x:patternFill patternType="solid">
        <x:fgColor rgb="FFE6F0EB"/>
      </x:patternFill>
    </x:fill>
    <x:fill>
      <x:patternFill patternType="solid">
        <x:fgColor rgb="FFA34A43"/>
      </x:patternFill>
    </x:fill>
    <x:fill>
      <x:patternFill patternType="solid">
        <x:fgColor rgb="FFF9E8E5"/>
      </x:patternFill>
    </x:fill>
    <x:fill>
      <x:patternFill patternType="solid">
        <x:fgColor rgb="FF3F7893"/>
      </x:patternFill>
    </x:fill>
    <x:fill>
      <x:patternFill patternType="solid">
        <x:fgColor rgb="FF19384A"/>
      </x:patternFill>
    </x:fill>
  </x:fills>
  <x:borders count="24">
    <x:border diagonalUp="0" diagonalDown="0"/>
    <x:border diagonalUp="0" diagonalDown="0">
      <x:bottom style="medium">
        <x:color theme="4"/>
      </x:bottom>
    </x:border>
    <x:border diagonalUp="0" diagonalDown="0">
      <x:bottom style="medium">
        <x:color theme="4" tint="0.4999"/>
      </x:bottom>
    </x:border>
    <x:border diagonalUp="0" diagonalDown="0"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 diagonalUp="0" diagonalDown="0">
      <x:top style="thin">
        <x:color theme="4"/>
      </x:top>
      <x:bottom style="double">
        <x:color theme="4"/>
      </x:bottom>
    </x:border>
    <x:border diagonalUp="0" diagonalDown="0">
      <x:left style="thin">
        <x:color rgb="FFA9A9A9"/>
      </x:left>
      <x:right style="thin">
        <x:color rgb="FFA9A9A9"/>
      </x:right>
      <x:top style="thin">
        <x:color rgb="FFA9A9A9"/>
      </x:top>
      <x:bottom style="thin">
        <x:color rgb="FFA9A9A9"/>
      </x:bottom>
    </x:border>
    <x:border diagonalUp="0" diagonalDown="0"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 diagonalUp="0" diagonalDown="0"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 diagonalUp="0" diagonalDown="0">
      <x:bottom style="double">
        <x:color rgb="FFFB7D00"/>
      </x:bottom>
    </x:border>
    <x:border diagonalUp="0" diagonalDown="0">
      <x:bottom style="thin">
        <x:color rgb="FF3C708B"/>
      </x:bottom>
    </x:border>
    <x:border diagonalUp="0" diagonalDown="0">
      <x:left style="thin">
        <x:color rgb="FF2F6B57"/>
      </x:left>
      <x:top style="thin">
        <x:color rgb="FF2F6B57"/>
      </x:top>
      <x:bottom style="thin">
        <x:color rgb="FF2F6B57"/>
      </x:bottom>
    </x:border>
    <x:border diagonalUp="0" diagonalDown="0">
      <x:top style="thin">
        <x:color rgb="FF2F6B57"/>
      </x:top>
      <x:bottom style="thin">
        <x:color rgb="FF2F6B57"/>
      </x:bottom>
    </x:border>
    <x:border diagonalUp="0" diagonalDown="0">
      <x:left style="thin">
        <x:color rgb="FF3C708B"/>
      </x:left>
      <x:top style="thin">
        <x:color rgb="FF3C708B"/>
      </x:top>
      <x:bottom style="thin">
        <x:color rgb="FF3C708B"/>
      </x:bottom>
    </x:border>
    <x:border diagonalUp="0" diagonalDown="0">
      <x:top style="thin">
        <x:color rgb="FF3C708B"/>
      </x:top>
      <x:bottom style="thin">
        <x:color rgb="FF3C708B"/>
      </x:bottom>
    </x:border>
    <x:border diagonalUp="0" diagonalDown="0">
      <x:right style="thin">
        <x:color rgb="FF3C708B"/>
      </x:right>
      <x:top style="thin">
        <x:color rgb="FF3C708B"/>
      </x:top>
      <x:bottom style="thin">
        <x:color rgb="FF3C708B"/>
      </x:bottom>
    </x:border>
    <x:border diagonalUp="0" diagonalDown="0">
      <x:right style="thin">
        <x:color rgb="FFFFFFFF"/>
      </x:right>
      <x:bottom style="thin">
        <x:color rgb="FFFFFFFF"/>
      </x:bottom>
    </x:border>
    <x:border diagonalUp="0" diagonalDown="0">
      <x:left style="thin">
        <x:color rgb="FFFFFFFF"/>
      </x:left>
      <x:right style="thin">
        <x:color rgb="FFFFFFFF"/>
      </x:right>
      <x:bottom style="thin">
        <x:color rgb="FFFFFFFF"/>
      </x:bottom>
    </x:border>
    <x:border diagonalUp="0" diagonalDown="0">
      <x:left style="thin">
        <x:color rgb="FFFFFFFF"/>
      </x:left>
      <x:bottom style="thin">
        <x:color rgb="FFFFFFFF"/>
      </x:bottom>
    </x:border>
    <x:border diagonalUp="0" diagonalDown="0">
      <x:bottom style="thin">
        <x:color rgb="FFD6DEE3"/>
      </x:bottom>
    </x:border>
    <x:border diagonalUp="0" diagonalDown="0">
      <x:right style="thin">
        <x:color rgb="FF2F6B57"/>
      </x:right>
      <x:top style="thin">
        <x:color rgb="FF2F6B57"/>
      </x:top>
      <x:bottom style="thin">
        <x:color rgb="FF2F6B57"/>
      </x:bottom>
    </x:border>
    <x:border diagonalUp="0" diagonalDown="0">
      <x:left style="thin">
        <x:color rgb="FFD6DEE3"/>
      </x:left>
      <x:right style="thin">
        <x:color rgb="FFD6DEE3"/>
      </x:right>
      <x:top style="thin">
        <x:color rgb="FFD6DEE3"/>
      </x:top>
      <x:bottom style="thin">
        <x:color rgb="FFD6DEE3"/>
      </x:bottom>
    </x:border>
    <x:border diagonalUp="0" diagonalDown="0">
      <x:left style="thin">
        <x:color rgb="FFA34A43"/>
      </x:left>
      <x:top style="thin">
        <x:color rgb="FFA34A43"/>
      </x:top>
      <x:bottom style="thin">
        <x:color rgb="FFA34A43"/>
      </x:bottom>
    </x:border>
    <x:border diagonalUp="0" diagonalDown="0">
      <x:top style="thin">
        <x:color rgb="FFA34A43"/>
      </x:top>
      <x:bottom style="thin">
        <x:color rgb="FFA34A43"/>
      </x:bottom>
    </x:border>
    <x:border diagonalUp="0" diagonalDown="0">
      <x:right style="thin">
        <x:color rgb="FFA34A43"/>
      </x:right>
      <x:top style="thin">
        <x:color rgb="FFA34A43"/>
      </x:top>
      <x:bottom style="thin">
        <x:color rgb="FFA34A43"/>
      </x:bottom>
    </x:border>
  </x:borders>
  <x:cellStyleXfs count="7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2" borderId="0" applyFont="1" applyBorder="0" applyAlignment="0" applyProtection="0"/>
    <x:xf numFmtId="164" fontId="4" fillId="3" borderId="0" applyFont="1" applyBorder="0" applyAlignment="0" applyProtection="0"/>
    <x:xf numFmtId="164" fontId="4" fillId="4" borderId="0" applyFont="1" applyBorder="0" applyAlignment="0" applyProtection="0"/>
    <x:xf numFmtId="164" fontId="4" fillId="5" borderId="0" applyFont="1" applyBorder="0" applyAlignment="0" applyProtection="0"/>
    <x:xf numFmtId="164" fontId="4" fillId="6" borderId="0" applyFont="1" applyBorder="0" applyAlignment="0" applyProtection="0"/>
    <x:xf numFmtId="164" fontId="4" fillId="7" borderId="0" applyFont="1" applyBorder="0" applyAlignment="0" applyProtection="0"/>
    <x:xf numFmtId="164" fontId="4" fillId="8" borderId="0" applyFont="1" applyBorder="0" applyAlignment="0" applyProtection="0"/>
    <x:xf numFmtId="164" fontId="4" fillId="9" borderId="0" applyFont="1" applyBorder="0" applyAlignment="0" applyProtection="0"/>
    <x:xf numFmtId="164" fontId="4" fillId="10" borderId="0" applyFont="1" applyBorder="0" applyAlignment="0" applyProtection="0"/>
    <x:xf numFmtId="164" fontId="4" fillId="11" borderId="0" applyFont="1" applyBorder="0" applyAlignment="0" applyProtection="0"/>
    <x:xf numFmtId="164" fontId="4" fillId="12" borderId="0" applyFont="1" applyBorder="0" applyAlignment="0" applyProtection="0"/>
    <x:xf numFmtId="164" fontId="4" fillId="13" borderId="0" applyFont="1" applyBorder="0" applyAlignment="0" applyProtection="0"/>
    <x:xf numFmtId="164" fontId="5" fillId="14" borderId="0" applyFont="1" applyBorder="0" applyAlignment="0" applyProtection="0"/>
    <x:xf numFmtId="164" fontId="5" fillId="15" borderId="0" applyFont="1" applyBorder="0" applyAlignment="0" applyProtection="0"/>
    <x:xf numFmtId="164" fontId="5" fillId="16" borderId="0" applyFont="1" applyBorder="0" applyAlignment="0" applyProtection="0"/>
    <x:xf numFmtId="164" fontId="5" fillId="17" borderId="0" applyFont="1" applyBorder="0" applyAlignment="0" applyProtection="0"/>
    <x:xf numFmtId="164" fontId="5" fillId="18" borderId="0" applyFont="1" applyBorder="0" applyAlignment="0" applyProtection="0"/>
    <x:xf numFmtId="164" fontId="5" fillId="19" borderId="0" applyFont="1" applyBorder="0" applyAlignment="0" applyProtection="0"/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5" fontId="0" fillId="0" borderId="0" applyFont="0" applyBorder="0" applyAlignment="0" applyProtection="0"/>
    <x:xf numFmtId="166" fontId="0" fillId="0" borderId="0" applyFont="0" applyBorder="0" applyAlignment="0" applyProtection="0"/>
    <x:xf numFmtId="164" fontId="7" fillId="20" borderId="0" applyFont="1" applyBorder="0" applyAlignment="0" applyProtection="0"/>
    <x:xf numFmtId="164" fontId="8" fillId="21" borderId="0" applyFont="1" applyBorder="0" applyAlignment="0" applyProtection="0"/>
    <x:xf numFmtId="164" fontId="9" fillId="0" borderId="0" applyFont="1" applyBorder="0" applyAlignment="0" applyProtection="0"/>
    <x:xf numFmtId="164" fontId="4" fillId="0" borderId="0" applyFont="1" applyBorder="1" applyAlignment="1" applyProtection="1">
      <x:alignment horizontal="general" vertical="center" wrapText="0" shrinkToFit="0"/>
      <x:protection locked="1" hidden="0"/>
    </x:xf>
    <x:xf numFmtId="164" fontId="5" fillId="22" borderId="0" applyFont="1" applyBorder="0" applyAlignment="0" applyProtection="0"/>
    <x:xf numFmtId="164" fontId="5" fillId="23" borderId="0" applyFont="1" applyBorder="0" applyAlignment="0" applyProtection="0"/>
    <x:xf numFmtId="164" fontId="5" fillId="24" borderId="0" applyFont="1" applyBorder="0" applyAlignment="0" applyProtection="0"/>
    <x:xf numFmtId="164" fontId="5" fillId="25" borderId="0" applyFont="1" applyBorder="0" applyAlignment="0" applyProtection="0"/>
    <x:xf numFmtId="164" fontId="5" fillId="26" borderId="0" applyFont="1" applyBorder="0" applyAlignment="0" applyProtection="0"/>
    <x:xf numFmtId="164" fontId="5" fillId="27" borderId="0" applyFont="1" applyBorder="0" applyAlignment="0" applyProtection="0"/>
    <x:xf numFmtId="164" fontId="10" fillId="0" borderId="0" applyFont="1" applyBorder="0" applyAlignment="0" applyProtection="0"/>
    <x:xf numFmtId="164" fontId="11" fillId="0" borderId="1" applyFont="1" applyBorder="1" applyAlignment="0" applyProtection="0"/>
    <x:xf numFmtId="164" fontId="12" fillId="0" borderId="1" applyFont="1" applyBorder="1" applyAlignment="0" applyProtection="0"/>
    <x:xf numFmtId="164" fontId="13" fillId="0" borderId="2" applyFont="1" applyBorder="1" applyAlignment="0" applyProtection="0"/>
    <x:xf numFmtId="164" fontId="13" fillId="0" borderId="0" applyFont="1" applyBorder="0" applyAlignment="0" applyProtection="0"/>
    <x:xf numFmtId="164" fontId="14" fillId="28" borderId="3" applyFont="1" applyBorder="1" applyAlignment="0" applyProtection="0"/>
    <x:xf numFmtId="164" fontId="15" fillId="0" borderId="4" applyFont="1" applyBorder="1" applyAlignment="0" applyProtection="0"/>
    <x:xf numFmtId="164" fontId="0" fillId="29" borderId="5" applyFont="0" applyBorder="1" applyAlignment="0" applyProtection="0"/>
    <x:xf numFmtId="167" fontId="0" fillId="0" borderId="0" applyFont="0" applyBorder="0" applyAlignment="0" applyProtection="0"/>
    <x:xf numFmtId="164" fontId="16" fillId="0" borderId="0" applyFont="1" applyBorder="0" applyAlignment="0" applyProtection="0"/>
    <x:xf numFmtId="164" fontId="17" fillId="0" borderId="0" applyFont="1" applyBorder="0" applyAlignment="0" applyProtection="0"/>
    <x:xf numFmtId="164" fontId="18" fillId="30" borderId="6" applyFont="1" applyBorder="1" applyAlignment="0" applyProtection="0"/>
    <x:xf numFmtId="168" fontId="0" fillId="0" borderId="0" applyFont="0" applyBorder="0" applyAlignment="0" applyProtection="0"/>
    <x:xf numFmtId="169" fontId="0" fillId="0" borderId="0" applyFont="0" applyBorder="0" applyAlignment="0" applyProtection="0"/>
    <x:xf numFmtId="164" fontId="19" fillId="0" borderId="0" applyFont="1" applyBorder="0" applyAlignment="0" applyProtection="0"/>
    <x:xf numFmtId="164" fontId="20" fillId="31" borderId="6" applyFont="1" applyBorder="1" applyAlignment="0" applyProtection="0"/>
    <x:xf numFmtId="164" fontId="21" fillId="30" borderId="7" applyFont="1" applyBorder="1" applyAlignment="0" applyProtection="0"/>
    <x:xf numFmtId="164" fontId="22" fillId="32" borderId="0" applyFont="1" applyBorder="0" applyAlignment="0" applyProtection="0"/>
    <x:xf numFmtId="164" fontId="23" fillId="0" borderId="8" applyFont="1" applyBorder="1" applyAlignment="0" applyProtection="0"/>
  </x:cellStyleXfs>
  <x:cellXfs count="98">
    <x:xf numFmtId="164" fontId="0" fillId="0" borderId="0" xfId="0" applyFont="0" applyBorder="0" applyAlignment="0">
      <x:alignment horizontal="general" vertical="bottom" wrapText="0"/>
    </x:xf>
    <x:xf numFmtId="164" fontId="24" fillId="0" borderId="0" xfId="38" applyFont="1" applyBorder="1" applyAlignment="1">
      <x:alignment horizontal="general" vertical="center" wrapText="0"/>
    </x:xf>
    <x:xf numFmtId="164" fontId="25" fillId="0" borderId="0" xfId="38" applyFont="1" applyBorder="1" applyAlignment="1">
      <x:alignment horizontal="general" vertical="center" wrapText="0"/>
    </x:xf>
    <x:xf numFmtId="164" fontId="27" fillId="0" borderId="0" xfId="38" applyFont="1" applyBorder="1" applyAlignment="1">
      <x:alignment horizontal="general" vertical="center" wrapText="0"/>
    </x:xf>
    <x:xf numFmtId="164" fontId="24" fillId="0" borderId="9" xfId="38" applyFont="1" applyBorder="1" applyAlignment="1">
      <x:alignment horizontal="general" vertical="center" wrapText="0"/>
    </x:xf>
    <x:xf numFmtId="164" fontId="29" fillId="33" borderId="10" xfId="38" applyFont="1" applyBorder="1" applyAlignment="1">
      <x:alignment horizontal="general" vertical="center" wrapText="0"/>
    </x:xf>
    <x:xf numFmtId="164" fontId="29" fillId="33" borderId="11" xfId="38" applyFont="1" applyBorder="1" applyAlignment="1">
      <x:alignment horizontal="general" vertical="center" wrapText="0"/>
    </x:xf>
    <x:xf numFmtId="164" fontId="29" fillId="34" borderId="12" xfId="38" applyFont="1" applyBorder="1" applyAlignment="1">
      <x:alignment horizontal="general" vertical="center" wrapText="0"/>
    </x:xf>
    <x:xf numFmtId="164" fontId="29" fillId="34" borderId="13" xfId="38" applyFont="1" applyBorder="1" applyAlignment="1">
      <x:alignment horizontal="general" vertical="center" wrapText="0"/>
    </x:xf>
    <x:xf numFmtId="164" fontId="29" fillId="34" borderId="14" xfId="38" applyFont="1" applyBorder="1" applyAlignment="1">
      <x:alignment horizontal="general" vertical="center" wrapText="0"/>
    </x:xf>
    <x:xf numFmtId="164" fontId="29" fillId="35" borderId="15" xfId="38" applyFont="1" applyBorder="1" applyAlignment="1">
      <x:alignment horizontal="center" vertical="center" wrapText="1"/>
    </x:xf>
    <x:xf numFmtId="164" fontId="29" fillId="35" borderId="16" xfId="38" applyFont="1" applyBorder="1" applyAlignment="1">
      <x:alignment horizontal="center" vertical="center" wrapText="1"/>
    </x:xf>
    <x:xf numFmtId="164" fontId="29" fillId="35" borderId="17" xfId="38" applyFont="1" applyBorder="1" applyAlignment="1">
      <x:alignment horizontal="center" vertical="center" wrapText="1"/>
    </x:xf>
    <x:xf numFmtId="164" fontId="24" fillId="0" borderId="0" xfId="38" applyFont="1" applyBorder="1" applyAlignment="1">
      <x:alignment horizontal="general" vertical="center" wrapText="1"/>
    </x:xf>
    <x:xf numFmtId="164" fontId="31" fillId="0" borderId="0" xfId="38" applyFont="1" applyBorder="1" applyAlignment="1">
      <x:alignment horizontal="general" vertical="center" wrapText="1"/>
    </x:xf>
    <x:xf numFmtId="164" fontId="31" fillId="36" borderId="0" xfId="38" applyFont="1" applyBorder="1" applyAlignment="1">
      <x:alignment horizontal="general" vertical="center" wrapText="0"/>
    </x:xf>
    <x:xf numFmtId="170" fontId="31" fillId="36" borderId="0" xfId="38" applyFont="1" applyBorder="1" applyAlignment="1">
      <x:alignment horizontal="general" vertical="center" wrapText="0"/>
    </x:xf>
    <x:xf numFmtId="171" fontId="31" fillId="36" borderId="0" xfId="38" applyFont="1" applyBorder="1" applyAlignment="1">
      <x:alignment horizontal="general" vertical="center" wrapText="0"/>
    </x:xf>
    <x:xf numFmtId="164" fontId="31" fillId="36" borderId="18" xfId="38" applyFont="1" applyBorder="1" applyAlignment="1">
      <x:alignment horizontal="general" vertical="center" wrapText="0"/>
    </x:xf>
    <x:xf numFmtId="170" fontId="31" fillId="36" borderId="18" xfId="38" applyFont="1" applyBorder="1" applyAlignment="1">
      <x:alignment horizontal="general" vertical="center" wrapText="0"/>
    </x:xf>
    <x:xf numFmtId="171" fontId="31" fillId="36" borderId="18" xfId="38" applyFont="1" applyBorder="1" applyAlignment="1">
      <x:alignment horizontal="general" vertical="center" wrapText="0"/>
    </x:xf>
    <x:xf numFmtId="164" fontId="31" fillId="0" borderId="18" xfId="38" applyFont="1" applyBorder="1" applyAlignment="1">
      <x:alignment horizontal="general" vertical="center" wrapText="1"/>
    </x:xf>
    <x:xf numFmtId="164" fontId="24" fillId="0" borderId="18" xfId="38" applyFont="1" applyBorder="1" applyAlignment="1">
      <x:alignment horizontal="general" vertical="center" wrapText="1"/>
    </x:xf>
    <x:xf numFmtId="164" fontId="31" fillId="0" borderId="0" xfId="38" applyFont="1" applyBorder="1" applyAlignment="1">
      <x:alignment horizontal="general" vertical="center" wrapText="0"/>
    </x:xf>
    <x:xf numFmtId="170" fontId="31" fillId="0" borderId="0" xfId="38" applyFont="1" applyBorder="1" applyAlignment="1">
      <x:alignment horizontal="general" vertical="center" wrapText="0"/>
    </x:xf>
    <x:xf numFmtId="164" fontId="24" fillId="37" borderId="0" xfId="38" applyFont="1" applyBorder="1" applyAlignment="1">
      <x:alignment horizontal="general" vertical="center" wrapText="1"/>
    </x:xf>
    <x:xf numFmtId="164" fontId="24" fillId="37" borderId="18" xfId="38" applyFont="1" applyBorder="1" applyAlignment="1">
      <x:alignment horizontal="general" vertical="center" wrapText="1"/>
    </x:xf>
    <x:xf numFmtId="164" fontId="31" fillId="0" borderId="18" xfId="38" applyFont="1" applyBorder="1" applyAlignment="1">
      <x:alignment horizontal="general" vertical="center" wrapText="0"/>
    </x:xf>
    <x:xf numFmtId="170" fontId="31" fillId="0" borderId="18" xfId="38" applyFont="1" applyBorder="1" applyAlignment="1">
      <x:alignment horizontal="general" vertical="center" wrapText="0"/>
    </x:xf>
    <x:xf numFmtId="164" fontId="24" fillId="0" borderId="18" xfId="38" applyFont="1" applyBorder="1" applyAlignment="1">
      <x:alignment horizontal="general" vertical="center" wrapText="0"/>
    </x:xf>
    <x:xf numFmtId="164" fontId="30" fillId="34" borderId="12" xfId="38" applyFont="1" applyBorder="1" applyAlignment="1">
      <x:alignment horizontal="general" vertical="center" wrapText="0"/>
    </x:xf>
    <x:xf numFmtId="164" fontId="30" fillId="35" borderId="16" xfId="38" applyFont="1" applyBorder="1" applyAlignment="1">
      <x:alignment horizontal="center" vertical="center" wrapText="1"/>
    </x:xf>
    <x:xf numFmtId="171" fontId="31" fillId="0" borderId="0" xfId="38" applyFont="1" applyBorder="1" applyAlignment="1">
      <x:alignment horizontal="general" vertical="center" wrapText="1"/>
    </x:xf>
    <x:xf numFmtId="171" fontId="31" fillId="38" borderId="0" xfId="38" applyFont="1" applyBorder="1" applyAlignment="1">
      <x:alignment horizontal="general" vertical="center" wrapText="1"/>
    </x:xf>
    <x:xf numFmtId="170" fontId="31" fillId="0" borderId="0" xfId="38" applyFont="1" applyBorder="1" applyAlignment="1">
      <x:alignment horizontal="general" vertical="center" wrapText="1"/>
    </x:xf>
    <x:xf numFmtId="170" fontId="31" fillId="38" borderId="0" xfId="38" applyFont="1" applyBorder="1" applyAlignment="1">
      <x:alignment horizontal="general" vertical="center" wrapText="1"/>
    </x:xf>
    <x:xf numFmtId="172" fontId="31" fillId="0" borderId="0" xfId="38" applyFont="1" applyBorder="1" applyAlignment="1">
      <x:alignment horizontal="general" vertical="center" wrapText="1"/>
    </x:xf>
    <x:xf numFmtId="172" fontId="31" fillId="38" borderId="0" xfId="38" applyFont="1" applyBorder="1" applyAlignment="1">
      <x:alignment horizontal="general" vertical="center" wrapText="1"/>
    </x:xf>
    <x:xf numFmtId="164" fontId="31" fillId="38" borderId="18" xfId="38" applyFont="1" applyBorder="1" applyAlignment="1">
      <x:alignment horizontal="general" vertical="center" wrapText="1"/>
    </x:xf>
    <x:xf numFmtId="164" fontId="29" fillId="33" borderId="19" xfId="38" applyFont="1" applyBorder="1" applyAlignment="1">
      <x:alignment horizontal="general" vertical="center" wrapText="0"/>
    </x:xf>
    <x:xf numFmtId="170" fontId="31" fillId="37" borderId="0" xfId="38" applyFont="1" applyBorder="1" applyAlignment="1">
      <x:alignment horizontal="general" vertical="center" wrapText="0"/>
    </x:xf>
    <x:xf numFmtId="164" fontId="31" fillId="36" borderId="0" xfId="38" applyFont="1" applyBorder="1" applyAlignment="1">
      <x:alignment horizontal="general" vertical="center" wrapText="1"/>
    </x:xf>
    <x:xf numFmtId="170" fontId="31" fillId="36" borderId="0" xfId="38" applyFont="1" applyBorder="1" applyAlignment="1">
      <x:alignment horizontal="general" vertical="center" wrapText="1"/>
    </x:xf>
    <x:xf numFmtId="171" fontId="31" fillId="36" borderId="0" xfId="38" applyFont="1" applyBorder="1" applyAlignment="1">
      <x:alignment horizontal="general" vertical="center" wrapText="1"/>
    </x:xf>
    <x:xf numFmtId="164" fontId="24" fillId="36" borderId="0" xfId="38" applyFont="1" applyBorder="1" applyAlignment="1">
      <x:alignment horizontal="general" vertical="center" wrapText="1"/>
    </x:xf>
    <x:xf numFmtId="171" fontId="31" fillId="37" borderId="0" xfId="38" applyFont="1" applyBorder="1" applyAlignment="1">
      <x:alignment horizontal="general" vertical="center" wrapText="0"/>
    </x:xf>
    <x:xf numFmtId="170" fontId="31" fillId="37" borderId="18" xfId="38" applyFont="1" applyBorder="1" applyAlignment="1">
      <x:alignment horizontal="general" vertical="center" wrapText="0"/>
    </x:xf>
    <x:xf numFmtId="164" fontId="31" fillId="36" borderId="18" xfId="38" applyFont="1" applyBorder="1" applyAlignment="1">
      <x:alignment horizontal="general" vertical="center" wrapText="1"/>
    </x:xf>
    <x:xf numFmtId="170" fontId="31" fillId="36" borderId="18" xfId="38" applyFont="1" applyBorder="1" applyAlignment="1">
      <x:alignment horizontal="general" vertical="center" wrapText="1"/>
    </x:xf>
    <x:xf numFmtId="171" fontId="31" fillId="36" borderId="18" xfId="38" applyFont="1" applyBorder="1" applyAlignment="1">
      <x:alignment horizontal="general" vertical="center" wrapText="1"/>
    </x:xf>
    <x:xf numFmtId="164" fontId="24" fillId="36" borderId="18" xfId="38" applyFont="1" applyBorder="1" applyAlignment="1">
      <x:alignment horizontal="general" vertical="center" wrapText="1"/>
    </x:xf>
    <x:xf numFmtId="172" fontId="31" fillId="0" borderId="0" xfId="38" applyFont="1" applyBorder="1" applyAlignment="1">
      <x:alignment horizontal="general" vertical="center" wrapText="0"/>
    </x:xf>
    <x:xf numFmtId="171" fontId="31" fillId="0" borderId="0" xfId="38" applyFont="1" applyBorder="1" applyAlignment="1">
      <x:alignment horizontal="general" vertical="center" wrapText="0"/>
    </x:xf>
    <x:xf numFmtId="172" fontId="31" fillId="0" borderId="18" xfId="38" applyFont="1" applyBorder="1" applyAlignment="1">
      <x:alignment horizontal="general" vertical="center" wrapText="0"/>
    </x:xf>
    <x:xf numFmtId="171" fontId="31" fillId="0" borderId="18" xfId="38" applyFont="1" applyBorder="1" applyAlignment="1">
      <x:alignment horizontal="general" vertical="center" wrapText="0"/>
    </x:xf>
    <x:xf numFmtId="164" fontId="26" fillId="0" borderId="0" xfId="38" applyFont="1" applyBorder="1" applyAlignment="1">
      <x:alignment horizontal="general" vertical="center" wrapText="0"/>
    </x:xf>
    <x:xf numFmtId="164" fontId="31" fillId="38" borderId="0" xfId="38" applyFont="1" applyBorder="1" applyAlignment="1">
      <x:alignment horizontal="general" vertical="center" wrapText="0"/>
    </x:xf>
    <x:xf numFmtId="170" fontId="31" fillId="38" borderId="0" xfId="38" applyFont="1" applyBorder="1" applyAlignment="1">
      <x:alignment horizontal="right" vertical="center" wrapText="0"/>
    </x:xf>
    <x:xf numFmtId="164" fontId="24" fillId="38" borderId="0" xfId="38" applyFont="1" applyBorder="1" applyAlignment="1">
      <x:alignment horizontal="center" vertical="center" wrapText="0"/>
    </x:xf>
    <x:xf numFmtId="164" fontId="24" fillId="38" borderId="0" xfId="38" applyFont="1" applyBorder="1" applyAlignment="1">
      <x:alignment horizontal="general" vertical="center" wrapText="1"/>
    </x:xf>
    <x:xf numFmtId="164" fontId="31" fillId="38" borderId="0" xfId="38" applyFont="1" applyBorder="1" applyAlignment="1">
      <x:alignment horizontal="general" vertical="center" wrapText="1"/>
    </x:xf>
    <x:xf numFmtId="164" fontId="31" fillId="38" borderId="18" xfId="38" applyFont="1" applyBorder="1" applyAlignment="1">
      <x:alignment horizontal="general" vertical="center" wrapText="0"/>
    </x:xf>
    <x:xf numFmtId="170" fontId="31" fillId="38" borderId="18" xfId="38" applyFont="1" applyBorder="1" applyAlignment="1">
      <x:alignment horizontal="right" vertical="center" wrapText="0"/>
    </x:xf>
    <x:xf numFmtId="164" fontId="24" fillId="38" borderId="18" xfId="38" applyFont="1" applyBorder="1" applyAlignment="1">
      <x:alignment horizontal="center" vertical="center" wrapText="0"/>
    </x:xf>
    <x:xf numFmtId="164" fontId="24" fillId="38" borderId="18" xfId="38" applyFont="1" applyBorder="1" applyAlignment="1">
      <x:alignment horizontal="general" vertical="center" wrapText="1"/>
    </x:xf>
    <x:xf numFmtId="173" fontId="31" fillId="0" borderId="0" xfId="38" applyFont="1" applyBorder="1" applyAlignment="1">
      <x:alignment horizontal="general" vertical="center" wrapText="0"/>
    </x:xf>
    <x:xf numFmtId="173" fontId="31" fillId="0" borderId="18" xfId="38" applyFont="1" applyBorder="1" applyAlignment="1">
      <x:alignment horizontal="general" vertical="center" wrapText="0"/>
    </x:xf>
    <x:xf numFmtId="173" fontId="31" fillId="0" borderId="0" xfId="38" applyFont="1" applyBorder="1" applyAlignment="1">
      <x:alignment horizontal="general" vertical="center" wrapText="1"/>
    </x:xf>
    <x:xf numFmtId="164" fontId="29" fillId="34" borderId="20" xfId="44" applyFont="1" applyBorder="1" applyAlignment="1">
      <x:alignment horizontal="general" vertical="center" wrapText="0"/>
    </x:xf>
    <x:xf numFmtId="164" fontId="24" fillId="0" borderId="20" xfId="44" applyFont="1" applyBorder="1" applyAlignment="1">
      <x:alignment horizontal="general" vertical="center" wrapText="1"/>
    </x:xf>
    <x:xf numFmtId="164" fontId="31" fillId="0" borderId="20" xfId="44" applyFont="1" applyBorder="1" applyAlignment="1">
      <x:alignment horizontal="general" vertical="center" wrapText="1"/>
    </x:xf>
    <x:xf numFmtId="164" fontId="32" fillId="0" borderId="20" xfId="44" applyFont="1" applyBorder="1" applyAlignment="1">
      <x:alignment horizontal="general" vertical="center" wrapText="1"/>
    </x:xf>
    <x:xf numFmtId="164" fontId="6" fillId="0" borderId="20" xfId="44" applyFont="1" applyBorder="1" applyAlignment="1">
      <x:alignment horizontal="general" vertical="center" wrapText="1"/>
    </x:xf>
    <x:xf numFmtId="164" fontId="29" fillId="39" borderId="21" xfId="38" applyFont="1" applyBorder="1" applyAlignment="1">
      <x:alignment horizontal="general" vertical="center" wrapText="0"/>
    </x:xf>
    <x:xf numFmtId="164" fontId="29" fillId="39" borderId="22" xfId="38" applyFont="1" applyBorder="1" applyAlignment="1">
      <x:alignment horizontal="general" vertical="center" wrapText="0"/>
    </x:xf>
    <x:xf numFmtId="164" fontId="29" fillId="39" borderId="23" xfId="38" applyFont="1" applyBorder="1" applyAlignment="1">
      <x:alignment horizontal="general" vertical="center" wrapText="0"/>
    </x:xf>
    <x:xf numFmtId="164" fontId="31" fillId="40" borderId="0" xfId="38" applyFont="1" applyBorder="1" applyAlignment="1">
      <x:alignment horizontal="general" vertical="center" wrapText="1"/>
    </x:xf>
    <x:xf numFmtId="164" fontId="24" fillId="40" borderId="0" xfId="38" applyFont="1" applyBorder="1" applyAlignment="1">
      <x:alignment horizontal="general" vertical="center" wrapText="1"/>
    </x:xf>
    <x:xf numFmtId="174" fontId="31" fillId="0" borderId="0" xfId="38" applyFont="1" applyBorder="1" applyAlignment="1">
      <x:alignment horizontal="general" vertical="center" wrapText="0"/>
    </x:xf>
    <x:xf numFmtId="175" fontId="31" fillId="0" borderId="0" xfId="38" applyFont="1" applyBorder="1" applyAlignment="1">
      <x:alignment horizontal="general" vertical="center" wrapText="0"/>
    </x:xf>
    <x:xf numFmtId="174" fontId="31" fillId="0" borderId="18" xfId="38" applyFont="1" applyBorder="1" applyAlignment="1">
      <x:alignment horizontal="general" vertical="center" wrapText="0"/>
    </x:xf>
    <x:xf numFmtId="175" fontId="31" fillId="0" borderId="18" xfId="38" applyFont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41" borderId="0" xfId="0" applyNumberFormat="1" applyFont="1" applyFill="1" applyBorder="1" applyAlignment="1">
      <x:alignment horizontal="general" vertical="bottom" wrapText="1"/>
    </x:xf>
    <x:xf numFmtId="164" fontId="0" fillId="41" borderId="0" xfId="0" applyNumberFormat="1" applyFont="1" applyFill="1" applyBorder="1" applyAlignment="1">
      <x:alignment horizontal="general" vertical="bottom" wrapText="0"/>
    </x:xf>
    <x:xf numFmtId="164" fontId="29" fillId="41" borderId="0" xfId="0" applyNumberFormat="1" applyFont="1" applyFill="1" applyBorder="1" applyAlignment="1">
      <x:alignment horizontal="general" vertical="bottom" wrapText="1"/>
    </x:xf>
    <x:xf numFmtId="164" fontId="29" fillId="41" borderId="0" xfId="0" applyNumberFormat="1" applyFont="1" applyFill="1" applyBorder="1" applyAlignment="1">
      <x:alignment horizontal="general" vertical="bottom" wrapText="0"/>
    </x:xf>
    <x:xf numFmtId="164" fontId="0" fillId="42" borderId="0" xfId="0" applyNumberFormat="1" applyFont="1" applyFill="1" applyBorder="1" applyAlignment="1">
      <x:alignment horizontal="general" vertical="bottom" wrapText="1"/>
    </x:xf>
    <x:xf numFmtId="164" fontId="29" fillId="42" borderId="0" xfId="0" applyNumberFormat="1" applyFont="1" applyFill="1" applyBorder="1" applyAlignment="1">
      <x:alignment horizontal="general" vertical="bottom" wrapText="1"/>
    </x:xf>
    <x:xf numFmtId="170" fontId="0" fillId="0" borderId="0" xfId="0" applyNumberFormat="1" applyFont="1" applyFill="1" applyBorder="1" applyAlignment="1">
      <x:alignment horizontal="general" vertical="bottom" wrapText="1"/>
    </x:xf>
    <x:xf numFmtId="164" fontId="31" fillId="40" borderId="0" xfId="0" applyNumberFormat="1" applyFont="1" applyFill="1" applyBorder="1" applyAlignment="1">
      <x:alignment horizontal="general" vertical="center" wrapText="1"/>
    </x:xf>
    <x:xf numFmtId="164" fontId="24" fillId="40" borderId="0" xfId="0" applyNumberFormat="1" applyFont="1" applyFill="1" applyBorder="1" applyAlignment="1">
      <x:alignment horizontal="general" vertical="center" wrapText="1"/>
    </x:xf>
    <x:xf numFmtId="164" fontId="24" fillId="0" borderId="0" xfId="0" applyNumberFormat="1" applyFont="1" applyFill="1" applyBorder="1" applyAlignment="1">
      <x:alignment horizontal="general" vertical="center" wrapText="1"/>
    </x:xf>
    <x:xf numFmtId="164" fontId="31" fillId="0" borderId="0" xfId="0" applyNumberFormat="1" applyFont="1" applyFill="1" applyBorder="1" applyAlignment="1">
      <x:alignment horizontal="general" vertical="center" wrapText="1"/>
    </x:xf>
    <x:xf numFmtId="164" fontId="24" fillId="0" borderId="18" xfId="0" applyNumberFormat="1" applyFont="1" applyFill="1" applyBorder="1" applyAlignment="1">
      <x:alignment horizontal="general" vertical="center" wrapText="1"/>
    </x:xf>
    <x:xf numFmtId="164" fontId="31" fillId="0" borderId="18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27" fillId="0" borderId="0" xfId="0" applyNumberFormat="1" applyFont="1" applyFill="1" applyBorder="1" applyAlignment="1">
      <x:alignment horizontal="general" vertical="center" wrapText="1"/>
    </x:xf>
  </x:cellXfs>
  <x:cellStyles count="56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20% - 强调文字颜色 1" xfId="20"/>
    <x:cellStyle name="20% - 强调文字颜色 2" xfId="21"/>
    <x:cellStyle name="20% - 强调文字颜色 3" xfId="22"/>
    <x:cellStyle name="20% - 强调文字颜色 4" xfId="23"/>
    <x:cellStyle name="20% - 强调文字颜色 5" xfId="24"/>
    <x:cellStyle name="20% - 强调文字颜色 6" xfId="25"/>
    <x:cellStyle name="40% - 强调文字颜色 1" xfId="26"/>
    <x:cellStyle name="40% - 强调文字颜色 2" xfId="27"/>
    <x:cellStyle name="40% - 强调文字颜色 3" xfId="28"/>
    <x:cellStyle name="40% - 强调文字颜色 4" xfId="29"/>
    <x:cellStyle name="40% - 强调文字颜色 5" xfId="30"/>
    <x:cellStyle name="40% - 强调文字颜色 6" xfId="31"/>
    <x:cellStyle name="60% - 强调文字颜色 1" xfId="32"/>
    <x:cellStyle name="60% - 强调文字颜色 2" xfId="33"/>
    <x:cellStyle name="60% - 强调文字颜色 3" xfId="34"/>
    <x:cellStyle name="60% - 强调文字颜色 4" xfId="35"/>
    <x:cellStyle name="60% - 强调文字颜色 5" xfId="36"/>
    <x:cellStyle name="60% - 强调文字颜色 6" xfId="37"/>
    <x:cellStyle name="Normal" xfId="38"/>
    <x:cellStyle name="千位分隔" xfId="39"/>
    <x:cellStyle name="千位分隔[0]" xfId="40"/>
    <x:cellStyle name="好" xfId="41"/>
    <x:cellStyle name="差" xfId="42"/>
    <x:cellStyle name="已访问的超链接" xfId="43"/>
    <x:cellStyle name="常规" xfId="44"/>
    <x:cellStyle name="强调文字颜色 1" xfId="45"/>
    <x:cellStyle name="强调文字颜色 2" xfId="46"/>
    <x:cellStyle name="强调文字颜色 3" xfId="47"/>
    <x:cellStyle name="强调文字颜色 4" xfId="48"/>
    <x:cellStyle name="强调文字颜色 5" xfId="49"/>
    <x:cellStyle name="强调文字颜色 6" xfId="50"/>
    <x:cellStyle name="标题" xfId="51"/>
    <x:cellStyle name="标题 1" xfId="52"/>
    <x:cellStyle name="标题 2" xfId="53"/>
    <x:cellStyle name="标题 3" xfId="54"/>
    <x:cellStyle name="标题 4" xfId="55"/>
    <x:cellStyle name="检查单元格" xfId="56"/>
    <x:cellStyle name="汇总" xfId="57"/>
    <x:cellStyle name="注释" xfId="58"/>
    <x:cellStyle name="百分比" xfId="59"/>
    <x:cellStyle name="解释性文本" xfId="60"/>
    <x:cellStyle name="警告文本" xfId="61"/>
    <x:cellStyle name="计算" xfId="62"/>
    <x:cellStyle name="货币" xfId="63"/>
    <x:cellStyle name="货币[0]" xfId="64"/>
    <x:cellStyle name="超链接" xfId="65"/>
    <x:cellStyle name="输入" xfId="66"/>
    <x:cellStyle name="输出" xfId="67"/>
    <x:cellStyle name="适中" xfId="68"/>
    <x:cellStyle name="链接单元格" xfId="69"/>
  </x:cellStyles>
  <x:dxfs count="4">
    <x:dxf>
      <x:font>
        <x:b/>
        <x:color rgb="FF2F6B57"/>
      </x:font>
      <x:fill>
        <x:patternFill>
          <x:bgColor rgb="FFE6F0EB"/>
        </x:patternFill>
      </x:fill>
    </x:dxf>
    <x:dxf>
      <x:font>
        <x:b/>
        <x:color rgb="FFB77A20"/>
      </x:font>
      <x:fill>
        <x:patternFill>
          <x:bgColor rgb="FFFFF1D2"/>
        </x:patternFill>
      </x:fill>
    </x:dxf>
    <x:dxf>
      <x:font>
        <x:b/>
        <x:color rgb="FFA34A43"/>
      </x:font>
      <x:fill>
        <x:patternFill>
          <x:bgColor rgb="FFF9E8E5"/>
        </x:patternFill>
      </x:fill>
    </x:dxf>
    <x:dxf>
      <x:font>
        <x:color rgb="FFB77A20"/>
      </x:font>
      <x:fill>
        <x:patternFill>
          <x:bgColor rgb="FFFFF1D2"/>
        </x:patternFill>
      </x:fill>
    </x:dxf>
  </x:dxfs>
  <x:colors>
    <x:indexedColors>
      <x:rgbColor rgb="FF000000"/>
      <x:rgbColor rgb="FFFFFFFF"/>
      <x:rgbColor rgb="FFFF0000"/>
      <x:rgbColor rgb="FF47D45A"/>
      <x:rgbColor rgb="FF0000FF"/>
      <x:rgbColor rgb="FFFFF1D2"/>
      <x:rgbColor rgb="FFF2CFEE"/>
      <x:rgbColor rgb="FF61CAF4"/>
      <x:rgbColor rgb="FF9C0006"/>
      <x:rgbColor rgb="FF006100"/>
      <x:rgbColor rgb="FFF9E8E5"/>
      <x:rgbColor rgb="FF9C6500"/>
      <x:rgbColor rgb="FF800080"/>
      <x:rgbColor rgb="FF156082"/>
      <x:rgbColor rgb="FFF6C6AD"/>
      <x:rgbColor rgb="FF7F7F7F"/>
      <x:rgbColor rgb="FF83CBEB"/>
      <x:rgbColor rgb="FFA02B93"/>
      <x:rgbColor rgb="FFFFFFCC"/>
      <x:rgbColor rgb="FFCAEEFB"/>
      <x:rgbColor rgb="FFC6EFCE"/>
      <x:rgbColor rgb="FFE97132"/>
      <x:rgbColor rgb="FF196B24"/>
      <x:rgbColor rgb="FFD6DEE3"/>
      <x:rgbColor rgb="FFF2F2F2"/>
      <x:rgbColor rgb="FFFBE3D6"/>
      <x:rgbColor rgb="FFB4E5A2"/>
      <x:rgbColor rgb="FF84E291"/>
      <x:rgbColor rgb="FFC1E5F5"/>
      <x:rgbColor rgb="FFD9F2D0"/>
      <x:rgbColor rgb="FF2F6B57"/>
      <x:rgbColor rgb="FFE6F0EB"/>
      <x:rgbColor rgb="FF0F9ED5"/>
      <x:rgbColor rgb="FFE8F0F5"/>
      <x:rgbColor rgb="FFC2F1C8"/>
      <x:rgbColor rgb="FFFFEB9C"/>
      <x:rgbColor rgb="FF96DCF8"/>
      <x:rgbColor rgb="FFE59EDD"/>
      <x:rgbColor rgb="FFD86ECC"/>
      <x:rgbColor rgb="FFFFCC99"/>
      <x:rgbColor rgb="FF3C708B"/>
      <x:rgbColor rgb="FF46B1E1"/>
      <x:rgbColor rgb="FF8ED973"/>
      <x:rgbColor rgb="FFFFC7CE"/>
      <x:rgbColor rgb="FFF2AA84"/>
      <x:rgbColor rgb="FFFB7D00"/>
      <x:rgbColor rgb="FF657580"/>
      <x:rgbColor rgb="FFA9A9A9"/>
      <x:rgbColor rgb="FF0E2841"/>
      <x:rgbColor rgb="FF4EA72E"/>
      <x:rgbColor rgb="FF203747"/>
      <x:rgbColor rgb="FF3F3F3F"/>
      <x:rgbColor rgb="FFB77A20"/>
      <x:rgbColor rgb="FFA34A43"/>
      <x:rgbColor rgb="FF3F3F76"/>
      <x:rgbColor rgb="FF24343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a34fc6aed49a9" /><Relationship Type="http://schemas.openxmlformats.org/officeDocument/2006/relationships/theme" Target="/xl/theme/theme1.xml" Id="Rba3584373cda4b92" /><Relationship Type="http://schemas.openxmlformats.org/officeDocument/2006/relationships/sharedStrings" Target="/xl/sharedStrings.xml" Id="R77e9b62f6ac443d1" /><Relationship Type="http://schemas.openxmlformats.org/officeDocument/2006/relationships/worksheet" Target="/xl/worksheets/sheet1.xml" Id="R53d5b295c89645e7" /><Relationship Type="http://schemas.openxmlformats.org/officeDocument/2006/relationships/worksheet" Target="/xl/worksheets/sheet2.xml" Id="Rfda274c52f874848" /><Relationship Type="http://schemas.openxmlformats.org/officeDocument/2006/relationships/worksheet" Target="/xl/worksheets/sheet3.xml" Id="R923e844729cf4f7b" /><Relationship Type="http://schemas.openxmlformats.org/officeDocument/2006/relationships/worksheet" Target="/xl/worksheets/sheet4.xml" Id="Rd2c434b2546c431c" /><Relationship Type="http://schemas.openxmlformats.org/officeDocument/2006/relationships/worksheet" Target="/xl/worksheets/sheet5.xml" Id="Rae57780ab96a439c" /><Relationship Type="http://schemas.openxmlformats.org/officeDocument/2006/relationships/worksheet" Target="/xl/worksheets/sheet6.xml" Id="Rcf91fa6ce8884c5d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747"/>
  </x:sheetPr>
  <x:sheetViews>
    <x:sheetView showGridLines="0" workbookViewId="0"/>
  </x:sheetViews>
  <x:sheetFormatPr defaultColWidth="10.74609375" defaultRowHeight="16.799999237060547"/>
  <x:cols>
    <x:col min="1" max="1" width="22.68000030517578" hidden="0" customWidth="1"/>
    <x:col min="2" max="2" width="29.84000015258789" hidden="0" customWidth="1"/>
    <x:col min="3" max="3" width="27.450000762939453" hidden="0" customWidth="1"/>
    <x:col min="4" max="4" width="25.06999969482422" hidden="0" customWidth="1"/>
    <x:col min="5" max="5" width="33.41999816894531" hidden="0" customWidth="1"/>
    <x:col min="6" max="6" width="26.260000228881836" hidden="0" customWidth="1"/>
    <x:col min="7" max="7" width="22.68000030517578" hidden="0" customWidth="1"/>
    <x:col min="8" max="8" width="19.100000381469727" hidden="0" customWidth="1"/>
    <x:col min="9" max="9" width="22.68000030517578" hidden="0" customWidth="1"/>
    <x:col min="10" max="10" width="33.41999816894531" hidden="0" customWidth="1"/>
    <x:col min="11" max="11" width="21.479999542236328" hidden="0" customWidth="1"/>
    <x:col min="12" max="12" width="20.290000915527344" hidden="0" customWidth="1"/>
  </x:cols>
  <x:sheetData>
    <x:row r="1" ht="16.799999237060547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8.649999618530273" hidden="0">
      <x:c r="A2" s="2" t="str">
        <x:v>CP 100级成长与5档物料方案｜v3.9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38" hidden="0" customHeight="1">
      <x:c r="A3" s="97" t="str">
        <x:v>评审口径：CP 建立/Lv1 门槛1,000、亲友建立门槛500；等级、任务、权益降档与永久证书规则同步 PRD v5.14 / HTML v2.55；CP Level 由主页顶部双人展示区及当前等级卡查看权益双入口进入。</x:v>
      </x:c>
      <x:c r="B3" s="92"/>
      <x:c r="C3" s="92"/>
      <x:c r="D3" s="92"/>
      <x:c r="E3" s="92"/>
      <x:c r="F3" s="92"/>
      <x:c r="G3" s="92"/>
      <x:c r="H3" s="92"/>
      <x:c r="I3" s="92"/>
      <x:c r="J3" s="92"/>
      <x:c r="K3" s="92"/>
      <x:c r="L3" s="92"/>
    </x:row>
    <x:row r="4" ht="16.799999237060547" hidden="0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16.799999237060547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hidden="0" customHeight="1">
      <x:c r="A6" s="5" t="s">
        <x:v>0</x:v>
      </x:c>
      <x:c r="B6" s="6"/>
      <x:c r="C6" s="6"/>
      <x:c r="D6" s="6"/>
      <x:c r="E6" s="6"/>
      <x:c r="F6" s="6"/>
      <x:c r="G6" s="6"/>
      <x:c r="H6" s="7" t="s">
        <x:v>1</x:v>
      </x:c>
      <x:c r="I6" s="8"/>
      <x:c r="J6" s="8"/>
      <x:c r="K6" s="8"/>
      <x:c r="L6" s="9"/>
    </x:row>
    <x:row r="7" ht="31" hidden="0" customHeight="1">
      <x:c r="A7" s="10" t="s">
        <x:v>2</x:v>
      </x:c>
      <x:c r="B7" s="11" t="s">
        <x:v>3</x:v>
      </x:c>
      <x:c r="C7" s="11" t="s">
        <x:v>4</x:v>
      </x:c>
      <x:c r="D7" s="11" t="s">
        <x:v>5</x:v>
      </x:c>
      <x:c r="E7" s="11" t="s">
        <x:v>6</x:v>
      </x:c>
      <x:c r="F7" s="12" t="s">
        <x:v>7</x:v>
      </x:c>
      <x:c r="G7" s="1"/>
      <x:c r="H7" s="10" t="s">
        <x:v>8</x:v>
      </x:c>
      <x:c r="I7" s="11" t="s">
        <x:v>9</x:v>
      </x:c>
      <x:c r="J7" s="11" t="s">
        <x:v>10</x:v>
      </x:c>
      <x:c r="K7" s="11" t="s">
        <x:v>11</x:v>
      </x:c>
      <x:c r="L7" s="12" t="s">
        <x:v>12</x:v>
      </x:c>
    </x:row>
    <x:row r="8" ht="48" hidden="0" customHeight="1">
      <x:c r="A8" s="13" t="s">
        <x:v>13</x:v>
      </x:c>
      <x:c r="B8" s="14" t="s">
        <x:v>14</x:v>
      </x:c>
      <x:c r="C8" s="13" t="s">
        <x:v>15</x:v>
      </x:c>
      <x:c r="D8" s="13" t="s">
        <x:v>16</x:v>
      </x:c>
      <x:c r="E8" s="14" t="s">
        <x:v>17</x:v>
      </x:c>
      <x:c r="F8" s="13" t="s">
        <x:v>18</x:v>
      </x:c>
      <x:c r="G8" s="1"/>
      <x:c r="H8" s="15" t="s">
        <x:v>19</x:v>
      </x:c>
      <x:c r="I8" s="15" t="s">
        <x:v>20</x:v>
      </x:c>
      <x:c r="J8" s="16" t="n">
        <x:f aca="0">等级门槛!D14</x:f>
        <x:v>1000</x:v>
      </x:c>
      <x:c r="K8" s="16" t="n">
        <x:f aca="0">COUNTIFS(样本回放!$D$7:$D$318,"是",样本回放!$F$7:$F$318,1)</x:f>
        <x:v>192</x:v>
      </x:c>
      <x:c r="L8" s="17" t="n">
        <x:f aca="0">K8/COUNTIF(样本回放!$D$7:$D$318,"是")</x:f>
        <x:v>0.617363344051447</x:v>
      </x:c>
    </x:row>
    <x:row r="9" ht="48" hidden="0" customHeight="1">
      <x:c r="A9" s="13" t="s">
        <x:v>21</x:v>
      </x:c>
      <x:c r="B9" s="14" t="s">
        <x:v>22</x:v>
      </x:c>
      <x:c r="C9" s="13" t="s">
        <x:v>23</x:v>
      </x:c>
      <x:c r="D9" s="13" t="inlineStr">
        <x:is>
          <x:t xml:space="preserve">勋章/铭牌/主页框/麦位/房间内个人信息卡装扮</x:t>
        </x:is>
      </x:c>
      <x:c r="E9" s="13" t="inlineStr">
        <x:is>
          <x:t xml:space="preserve">动态等级数字、进度和G2-G5信息卡装扮</x:t>
        </x:is>
      </x:c>
      <x:c r="F9" s="14" t="s">
        <x:v>24</x:v>
      </x:c>
      <x:c r="G9" s="1"/>
      <x:c r="H9" s="15" t="s">
        <x:v>25</x:v>
      </x:c>
      <x:c r="I9" s="15" t="s">
        <x:v>26</x:v>
      </x:c>
      <x:c r="J9" s="16" t="n">
        <x:f aca="0">等级门槛!D34</x:f>
        <x:v>25100</x:v>
      </x:c>
      <x:c r="K9" s="16" t="n">
        <x:f aca="0">COUNTIFS(样本回放!$D$7:$D$318,"是",样本回放!$F$7:$F$318,2)</x:f>
        <x:v>85</x:v>
      </x:c>
      <x:c r="L9" s="17" t="n">
        <x:f aca="0">K9/COUNTIF(样本回放!$D$7:$D$318,"是")</x:f>
        <x:v>0.2733118971061093</x:v>
      </x:c>
    </x:row>
    <x:row r="10" ht="48" hidden="0" customHeight="1">
      <x:c r="A10" s="13" t="s">
        <x:v>27</x:v>
      </x:c>
      <x:c r="B10" s="13" t="str">
        <x:v>CP建立/Lv1为1,000；亲友建立为500（已裁决）</x:v>
      </x:c>
      <x:c r="C10" s="13" t="str">
        <x:v>统一申请资格、初始等级和服务端配置；资格与CP EXP仍分字段</x:v>
      </x:c>
      <x:c r="D10" s="13" t="s">
        <x:v>28</x:v>
      </x:c>
      <x:c r="E10" s="13" t="s">
        <x:v>29</x:v>
      </x:c>
      <x:c r="F10" s="13" t="s">
        <x:v>30</x:v>
      </x:c>
      <x:c r="G10" s="1"/>
      <x:c r="H10" s="15" t="s">
        <x:v>31</x:v>
      </x:c>
      <x:c r="I10" s="15" t="s">
        <x:v>32</x:v>
      </x:c>
      <x:c r="J10" s="16" t="n">
        <x:f aca="0">等级门槛!D54</x:f>
        <x:v>148700</x:v>
      </x:c>
      <x:c r="K10" s="16" t="n">
        <x:f aca="0">COUNTIFS(样本回放!$D$7:$D$318,"是",样本回放!$F$7:$F$318,3)</x:f>
        <x:v>28</x:v>
      </x:c>
      <x:c r="L10" s="17" t="n">
        <x:f aca="0">K10/COUNTIF(样本回放!$D$7:$D$318,"是")</x:f>
        <x:v>0.09003215434083602</x:v>
      </x:c>
    </x:row>
    <x:row r="11" ht="48" hidden="0" customHeight="1">
      <x:c r="A11" s="13" t="s">
        <x:v>33</x:v>
      </x:c>
      <x:c r="B11" s="14" t="s">
        <x:v>34</x:v>
      </x:c>
      <x:c r="C11" s="14" t="s">
        <x:v>35</x:v>
      </x:c>
      <x:c r="D11" s="13" t="s">
        <x:v>36</x:v>
      </x:c>
      <x:c r="E11" s="13" t="s">
        <x:v>37</x:v>
      </x:c>
      <x:c r="F11" s="13" t="s">
        <x:v>38</x:v>
      </x:c>
      <x:c r="G11" s="1"/>
      <x:c r="H11" s="15" t="s">
        <x:v>39</x:v>
      </x:c>
      <x:c r="I11" s="15" t="s">
        <x:v>40</x:v>
      </x:c>
      <x:c r="J11" s="16" t="n">
        <x:f aca="0">等级门槛!D74</x:f>
        <x:v>780700</x:v>
      </x:c>
      <x:c r="K11" s="16" t="n">
        <x:f aca="0">COUNTIFS(样本回放!$D$7:$D$318,"是",样本回放!$F$7:$F$318,4)</x:f>
        <x:v>6</x:v>
      </x:c>
      <x:c r="L11" s="17" t="n">
        <x:f aca="0">K11/COUNTIF(样本回放!$D$7:$D$318,"是")</x:f>
        <x:v>0.01929260450160772</x:v>
      </x:c>
    </x:row>
    <x:row r="12" ht="48" hidden="0" customHeight="1">
      <x:c r="A12" s="13" t="s">
        <x:v>41</x:v>
      </x:c>
      <x:c r="B12" s="14" t="s">
        <x:v>42</x:v>
      </x:c>
      <x:c r="C12" s="13" t="s">
        <x:v>43</x:v>
      </x:c>
      <x:c r="D12" s="13" t="s">
        <x:v>44</x:v>
      </x:c>
      <x:c r="E12" s="13" t="s">
        <x:v>45</x:v>
      </x:c>
      <x:c r="F12" s="13" t="s">
        <x:v>46</x:v>
      </x:c>
      <x:c r="G12" s="1"/>
      <x:c r="H12" s="18" t="s">
        <x:v>47</x:v>
      </x:c>
      <x:c r="I12" s="18" t="s">
        <x:v>48</x:v>
      </x:c>
      <x:c r="J12" s="19" t="n">
        <x:f aca="0">等级门槛!D94</x:f>
        <x:v>4012100</x:v>
      </x:c>
      <x:c r="K12" s="19" t="n">
        <x:f aca="0">COUNTIFS(样本回放!$D$7:$D$318,"是",样本回放!$F$7:$F$318,5)</x:f>
        <x:v>0</x:v>
      </x:c>
      <x:c r="L12" s="20" t="n">
        <x:f aca="0">K12/COUNTIF(样本回放!$D$7:$D$318,"是")</x:f>
        <x:v>0</x:v>
      </x:c>
    </x:row>
    <x:row r="13" ht="48" hidden="0" customHeight="1">
      <x:c r="A13" s="13" t="s">
        <x:v>49</x:v>
      </x:c>
      <x:c r="B13" s="13" t="s">
        <x:v>50</x:v>
      </x:c>
      <x:c r="C13" s="13" t="s">
        <x:v>51</x:v>
      </x:c>
      <x:c r="D13" s="13" t="s">
        <x:v>52</x:v>
      </x:c>
      <x:c r="E13" s="13" t="s">
        <x:v>53</x:v>
      </x:c>
      <x:c r="F13" s="13" t="s">
        <x:v>54</x:v>
      </x:c>
      <x:c r="G13" s="1"/>
      <x:c r="H13" s="1"/>
      <x:c r="I13" s="1"/>
      <x:c r="J13" s="1"/>
      <x:c r="K13" s="1"/>
      <x:c r="L13" s="1"/>
    </x:row>
    <x:row r="14" ht="48" hidden="0" customHeight="1">
      <x:c r="A14" s="13" t="s">
        <x:v>55</x:v>
      </x:c>
      <x:c r="B14" s="13" t="s">
        <x:v>56</x:v>
      </x:c>
      <x:c r="C14" s="13" t="s">
        <x:v>57</x:v>
      </x:c>
      <x:c r="D14" s="13" t="s">
        <x:v>58</x:v>
      </x:c>
      <x:c r="E14" s="13" t="s">
        <x:v>59</x:v>
      </x:c>
      <x:c r="F14" s="13" t="s">
        <x:v>60</x:v>
      </x:c>
      <x:c r="G14" s="1"/>
      <x:c r="H14" s="1"/>
      <x:c r="I14" s="1"/>
      <x:c r="J14" s="1"/>
      <x:c r="K14" s="1"/>
      <x:c r="L14" s="1"/>
    </x:row>
    <x:row r="15" ht="48" hidden="0" customHeight="1">
      <x:c r="A15" s="21" t="s">
        <x:v>61</x:v>
      </x:c>
      <x:c r="B15" s="21" t="s">
        <x:v>62</x:v>
      </x:c>
      <x:c r="C15" s="22" t="s">
        <x:v>63</x:v>
      </x:c>
      <x:c r="D15" s="21" t="s">
        <x:v>64</x:v>
      </x:c>
      <x:c r="E15" s="21" t="s">
        <x:v>65</x:v>
      </x:c>
      <x:c r="F15" s="22" t="s">
        <x:v>66</x:v>
      </x:c>
      <x:c r="G15" s="1"/>
      <x:c r="H15" s="1"/>
      <x:c r="I15" s="1"/>
      <x:c r="J15" s="1"/>
      <x:c r="K15" s="1"/>
      <x:c r="L15" s="1"/>
    </x:row>
    <x:row r="16" ht="16.799999237060547" hidden="0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16.799999237060547" hidden="0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hidden="0" customHeight="1">
      <x:c r="A18" s="7" t="s">
        <x:v>67</x:v>
      </x:c>
      <x:c r="B18" s="8"/>
      <x:c r="C18" s="8"/>
      <x:c r="D18" s="8"/>
      <x:c r="E18" s="8"/>
      <x:c r="F18" s="8"/>
      <x:c r="G18" s="8"/>
      <x:c r="H18" s="8"/>
      <x:c r="I18" s="7" t="s">
        <x:v>68</x:v>
      </x:c>
      <x:c r="J18" s="8"/>
      <x:c r="K18" s="8"/>
      <x:c r="L18" s="9"/>
    </x:row>
    <x:row r="19" ht="31" hidden="0" customHeight="1">
      <x:c r="A19" s="10" t="s">
        <x:v>69</x:v>
      </x:c>
      <x:c r="B19" s="11" t="s">
        <x:v>8</x:v>
      </x:c>
      <x:c r="C19" s="11" t="s">
        <x:v>70</x:v>
      </x:c>
      <x:c r="D19" s="11" t="s">
        <x:v>71</x:v>
      </x:c>
      <x:c r="E19" s="11" t="s">
        <x:v>72</x:v>
      </x:c>
      <x:c r="F19" s="11" t="s">
        <x:v>11</x:v>
      </x:c>
      <x:c r="G19" s="12" t="s">
        <x:v>73</x:v>
      </x:c>
      <x:c r="H19" s="1"/>
      <x:c r="I19" s="10" t="s">
        <x:v>74</x:v>
      </x:c>
      <x:c r="J19" s="11" t="s">
        <x:v>2</x:v>
      </x:c>
      <x:c r="K19" s="11" t="s">
        <x:v>75</x:v>
      </x:c>
      <x:c r="L19" s="12" t="s">
        <x:v>76</x:v>
      </x:c>
    </x:row>
    <x:row r="20" ht="42" hidden="0" customHeight="1">
      <x:c r="A20" s="23" t="s">
        <x:v>77</x:v>
      </x:c>
      <x:c r="B20" s="23" t="s">
        <x:v>19</x:v>
      </x:c>
      <x:c r="C20" s="24" t="n">
        <x:f aca="0">等级门槛!D15</x:f>
        <x:v>1500</x:v>
      </x:c>
      <x:c r="D20" s="24" t="n">
        <x:f aca="0">等级门槛!E15</x:f>
        <x:v>500</x:v>
      </x:c>
      <x:c r="E20" s="24" t="n">
        <x:f aca="0">等级门槛!G15</x:f>
        <x:v>6</x:v>
      </x:c>
      <x:c r="F20" s="24" t="n">
        <x:f aca="0">等级门槛!H15</x:f>
        <x:v>1</x:v>
      </x:c>
      <x:c r="G20" s="1" t="s">
        <x:v>78</x:v>
      </x:c>
      <x:c r="H20" s="1"/>
      <x:c r="I20" s="14" t="s">
        <x:v>79</x:v>
      </x:c>
      <x:c r="J20" s="13" t="s">
        <x:v>80</x:v>
      </x:c>
      <x:c r="K20" s="13" t="s">
        <x:v>81</x:v>
      </x:c>
      <x:c r="L20" s="25" t="s">
        <x:v>82</x:v>
      </x:c>
    </x:row>
    <x:row r="21" ht="42" hidden="0" customHeight="1">
      <x:c r="A21" s="23" t="s">
        <x:v>83</x:v>
      </x:c>
      <x:c r="B21" s="23" t="s">
        <x:v>19</x:v>
      </x:c>
      <x:c r="C21" s="24" t="n">
        <x:f aca="0">等级门槛!D18</x:f>
        <x:v>3200</x:v>
      </x:c>
      <x:c r="D21" s="24" t="n">
        <x:f aca="0">等级门槛!E18</x:f>
        <x:v>600</x:v>
      </x:c>
      <x:c r="E21" s="24" t="n">
        <x:f aca="0">等级门槛!G18</x:f>
        <x:v>7</x:v>
      </x:c>
      <x:c r="F21" s="24" t="n">
        <x:f aca="0">等级门槛!H18</x:f>
        <x:v>4</x:v>
      </x:c>
      <x:c r="G21" s="1" t="s">
        <x:v>78</x:v>
      </x:c>
      <x:c r="H21" s="1"/>
      <x:c r="I21" s="14" t="s">
        <x:v>79</x:v>
      </x:c>
      <x:c r="J21" s="13" t="s">
        <x:v>84</x:v>
      </x:c>
      <x:c r="K21" s="14" t="str">
        <x:v>CP建立/Lv1为1,000并注入1,000 CP EXP；亲友建立为500</x:v>
      </x:c>
      <x:c r="L21" s="25" t="str">
        <x:v>已裁决并同步</x:v>
      </x:c>
    </x:row>
    <x:row r="22" ht="42" hidden="0" customHeight="1">
      <x:c r="A22" s="23" t="s">
        <x:v>85</x:v>
      </x:c>
      <x:c r="B22" s="23" t="s">
        <x:v>19</x:v>
      </x:c>
      <x:c r="C22" s="24" t="n">
        <x:f aca="0">等级门槛!D23</x:f>
        <x:v>7400</x:v>
      </x:c>
      <x:c r="D22" s="24" t="n">
        <x:f aca="0">等级门槛!E23</x:f>
        <x:v>1000</x:v>
      </x:c>
      <x:c r="E22" s="24" t="n">
        <x:f aca="0">等级门槛!G23</x:f>
        <x:v>12</x:v>
      </x:c>
      <x:c r="F22" s="24" t="n">
        <x:f aca="0">等级门槛!H23</x:f>
        <x:v>9</x:v>
      </x:c>
      <x:c r="G22" s="1" t="s">
        <x:v>78</x:v>
      </x:c>
      <x:c r="H22" s="1"/>
      <x:c r="I22" s="14" t="s">
        <x:v>79</x:v>
      </x:c>
      <x:c r="J22" s="13" t="s">
        <x:v>86</x:v>
      </x:c>
      <x:c r="K22" s="13" t="s">
        <x:v>87</x:v>
      </x:c>
      <x:c r="L22" s="25" t="s">
        <x:v>88</x:v>
      </x:c>
    </x:row>
    <x:row r="23" ht="42" hidden="0" customHeight="1">
      <x:c r="A23" s="23" t="s">
        <x:v>89</x:v>
      </x:c>
      <x:c r="B23" s="23" t="s">
        <x:v>19</x:v>
      </x:c>
      <x:c r="C23" s="24" t="n">
        <x:f aca="0">等级门槛!D33</x:f>
        <x:v>22700</x:v>
      </x:c>
      <x:c r="D23" s="24" t="n">
        <x:f aca="0">等级门槛!E33</x:f>
        <x:v>2200</x:v>
      </x:c>
      <x:c r="E23" s="24" t="n">
        <x:f aca="0">等级门槛!G33</x:f>
        <x:v>25</x:v>
      </x:c>
      <x:c r="F23" s="24" t="n">
        <x:f aca="0">等级门槛!H33</x:f>
        <x:v>5</x:v>
      </x:c>
      <x:c r="G23" s="1" t="s">
        <x:v>78</x:v>
      </x:c>
      <x:c r="H23" s="1"/>
      <x:c r="I23" s="14" t="s">
        <x:v>79</x:v>
      </x:c>
      <x:c r="J23" s="14" t="s">
        <x:v>90</x:v>
      </x:c>
      <x:c r="K23" s="13" t="s">
        <x:v>91</x:v>
      </x:c>
      <x:c r="L23" s="25" t="s">
        <x:v>92</x:v>
      </x:c>
    </x:row>
    <x:row r="24" ht="42" hidden="0" customHeight="1">
      <x:c r="A24" s="23" t="s">
        <x:v>93</x:v>
      </x:c>
      <x:c r="B24" s="23" t="s">
        <x:v>25</x:v>
      </x:c>
      <x:c r="C24" s="24" t="n">
        <x:f aca="0">等级门槛!D34</x:f>
        <x:v>25100</x:v>
      </x:c>
      <x:c r="D24" s="24" t="n">
        <x:f aca="0">等级门槛!E34</x:f>
        <x:v>2400</x:v>
      </x:c>
      <x:c r="E24" s="24" t="n">
        <x:f aca="0">等级门槛!G34</x:f>
        <x:v>28</x:v>
      </x:c>
      <x:c r="F24" s="24" t="n">
        <x:f aca="0">等级门槛!H34</x:f>
        <x:v>4</x:v>
      </x:c>
      <x:c r="G24" s="1" t="s">
        <x:v>94</x:v>
      </x:c>
      <x:c r="H24" s="1"/>
      <x:c r="I24" s="14" t="s">
        <x:v>95</x:v>
      </x:c>
      <x:c r="J24" s="14" t="s">
        <x:v>96</x:v>
      </x:c>
      <x:c r="K24" s="13" t="s">
        <x:v>97</x:v>
      </x:c>
      <x:c r="L24" s="25" t="s">
        <x:v>98</x:v>
      </x:c>
    </x:row>
    <x:row r="25" ht="42" hidden="0" customHeight="1">
      <x:c r="A25" s="23" t="s">
        <x:v>99</x:v>
      </x:c>
      <x:c r="B25" s="23" t="s">
        <x:v>25</x:v>
      </x:c>
      <x:c r="C25" s="24" t="n">
        <x:f aca="0">等级门槛!D53</x:f>
        <x:v>136700</x:v>
      </x:c>
      <x:c r="D25" s="24" t="n">
        <x:f aca="0">等级门槛!E53</x:f>
        <x:v>11100</x:v>
      </x:c>
      <x:c r="E25" s="24" t="n">
        <x:f aca="0">等级门槛!G53</x:f>
        <x:v>126</x:v>
      </x:c>
      <x:c r="F25" s="24" t="n">
        <x:f aca="0">等级门槛!H53</x:f>
        <x:v>2</x:v>
      </x:c>
      <x:c r="G25" s="1" t="s">
        <x:v>78</x:v>
      </x:c>
      <x:c r="H25" s="1"/>
      <x:c r="I25" s="14" t="s">
        <x:v>95</x:v>
      </x:c>
      <x:c r="J25" s="13" t="s">
        <x:v>100</x:v>
      </x:c>
      <x:c r="K25" s="13" t="s">
        <x:v>101</x:v>
      </x:c>
      <x:c r="L25" s="25" t="s">
        <x:v>102</x:v>
      </x:c>
    </x:row>
    <x:row r="26" ht="42" hidden="0" customHeight="1">
      <x:c r="A26" s="23" t="s">
        <x:v>103</x:v>
      </x:c>
      <x:c r="B26" s="23" t="s">
        <x:v>31</x:v>
      </x:c>
      <x:c r="C26" s="24" t="n">
        <x:f aca="0">等级门槛!D54</x:f>
        <x:v>148700</x:v>
      </x:c>
      <x:c r="D26" s="24" t="n">
        <x:f aca="0">等级门槛!E54</x:f>
        <x:v>12000</x:v>
      </x:c>
      <x:c r="E26" s="24" t="n">
        <x:f aca="0">等级门槛!G54</x:f>
        <x:v>136</x:v>
      </x:c>
      <x:c r="F26" s="24" t="n">
        <x:f aca="0">等级门槛!H54</x:f>
        <x:v>1</x:v>
      </x:c>
      <x:c r="G26" s="1" t="s">
        <x:v>94</x:v>
      </x:c>
      <x:c r="H26" s="1"/>
      <x:c r="I26" s="21" t="s">
        <x:v>95</x:v>
      </x:c>
      <x:c r="J26" s="22" t="s">
        <x:v>104</x:v>
      </x:c>
      <x:c r="K26" s="22" t="s">
        <x:v>105</x:v>
      </x:c>
      <x:c r="L26" s="26" t="s">
        <x:v>106</x:v>
      </x:c>
    </x:row>
    <x:row r="27" ht="25" hidden="0" customHeight="1">
      <x:c r="A27" s="23" t="s">
        <x:v>107</x:v>
      </x:c>
      <x:c r="B27" s="23" t="s">
        <x:v>31</x:v>
      </x:c>
      <x:c r="C27" s="24" t="n">
        <x:f aca="0">等级门槛!D73</x:f>
        <x:v>719100</x:v>
      </x:c>
      <x:c r="D27" s="24" t="n">
        <x:f aca="0">等级门槛!E73</x:f>
        <x:v>56700</x:v>
      </x:c>
      <x:c r="E27" s="24" t="n">
        <x:f aca="0">等级门槛!G73</x:f>
        <x:v>641</x:v>
      </x:c>
      <x:c r="F27" s="24" t="n">
        <x:f aca="0">等级门槛!H73</x:f>
        <x:v>2</x:v>
      </x:c>
      <x:c r="G27" s="1" t="s">
        <x:v>78</x:v>
      </x:c>
      <x:c r="H27" s="1"/>
      <x:c r="I27" s="1"/>
      <x:c r="J27" s="1"/>
      <x:c r="K27" s="1"/>
      <x:c r="L27" s="1"/>
    </x:row>
    <x:row r="28" ht="25" hidden="0" customHeight="1">
      <x:c r="A28" s="23" t="s">
        <x:v>108</x:v>
      </x:c>
      <x:c r="B28" s="23" t="s">
        <x:v>39</x:v>
      </x:c>
      <x:c r="C28" s="24" t="n">
        <x:f aca="0">等级门槛!D74</x:f>
        <x:v>780700</x:v>
      </x:c>
      <x:c r="D28" s="24" t="n">
        <x:f aca="0">等级门槛!E74</x:f>
        <x:v>61600</x:v>
      </x:c>
      <x:c r="E28" s="24" t="n">
        <x:f aca="0">等级门槛!G74</x:f>
        <x:v>696</x:v>
      </x:c>
      <x:c r="F28" s="24" t="n">
        <x:f aca="0">等级门槛!H74</x:f>
        <x:v>0</x:v>
      </x:c>
      <x:c r="G28" s="1" t="s">
        <x:v>94</x:v>
      </x:c>
      <x:c r="H28" s="1"/>
      <x:c r="I28" s="1"/>
      <x:c r="J28" s="1"/>
      <x:c r="K28" s="1"/>
      <x:c r="L28" s="1"/>
    </x:row>
    <x:row r="29" ht="22" hidden="0" customHeight="1">
      <x:c r="A29" s="23" t="s">
        <x:v>109</x:v>
      </x:c>
      <x:c r="B29" s="23" t="s">
        <x:v>39</x:v>
      </x:c>
      <x:c r="C29" s="24" t="n">
        <x:f aca="0">等级门槛!D88</x:f>
        <x:v>2457200</x:v>
      </x:c>
      <x:c r="D29" s="24" t="n">
        <x:f aca="0">等级门槛!E88</x:f>
        <x:v>192900</x:v>
      </x:c>
      <x:c r="E29" s="24" t="n">
        <x:f aca="0">等级门槛!G88</x:f>
        <x:v>2178</x:v>
      </x:c>
      <x:c r="F29" s="24" t="n">
        <x:f aca="0">等级门槛!H88</x:f>
        <x:v>0</x:v>
      </x:c>
      <x:c r="G29" s="1" t="s">
        <x:v>78</x:v>
      </x:c>
      <x:c r="H29" s="1"/>
      <x:c r="I29" s="7" t="s">
        <x:v>110</x:v>
      </x:c>
      <x:c r="J29" s="8"/>
      <x:c r="K29" s="8"/>
      <x:c r="L29" s="9"/>
    </x:row>
    <x:row r="30" ht="31" hidden="0" customHeight="1">
      <x:c r="A30" s="23" t="s">
        <x:v>111</x:v>
      </x:c>
      <x:c r="B30" s="23" t="s">
        <x:v>39</x:v>
      </x:c>
      <x:c r="C30" s="24" t="n">
        <x:f aca="0">等级门槛!D92</x:f>
        <x:v>3407300</x:v>
      </x:c>
      <x:c r="D30" s="24" t="n">
        <x:f aca="0">等级门槛!E92</x:f>
        <x:v>267300</x:v>
      </x:c>
      <x:c r="E30" s="24" t="n">
        <x:f aca="0">等级门槛!G92</x:f>
        <x:v>3018</x:v>
      </x:c>
      <x:c r="F30" s="24" t="n">
        <x:f aca="0">等级门槛!H92</x:f>
        <x:v>1</x:v>
      </x:c>
      <x:c r="G30" s="1" t="s">
        <x:v>112</x:v>
      </x:c>
      <x:c r="H30" s="1"/>
      <x:c r="I30" s="10" t="s">
        <x:v>113</x:v>
      </x:c>
      <x:c r="J30" s="12" t="s">
        <x:v>114</x:v>
      </x:c>
      <x:c r="K30" s="1"/>
      <x:c r="L30" s="1"/>
    </x:row>
    <x:row r="31" ht="40" hidden="0" customHeight="1">
      <x:c r="A31" s="23" t="s">
        <x:v>115</x:v>
      </x:c>
      <x:c r="B31" s="23" t="s">
        <x:v>39</x:v>
      </x:c>
      <x:c r="C31" s="24" t="n">
        <x:f aca="0">等级门槛!D93</x:f>
        <x:v>3697400</x:v>
      </x:c>
      <x:c r="D31" s="24" t="n">
        <x:f aca="0">等级门槛!E93</x:f>
        <x:v>290100</x:v>
      </x:c>
      <x:c r="E31" s="24" t="n">
        <x:f aca="0">等级门槛!G93</x:f>
        <x:v>3276</x:v>
      </x:c>
      <x:c r="F31" s="24" t="n">
        <x:f aca="0">等级门槛!H93</x:f>
        <x:v>0</x:v>
      </x:c>
      <x:c r="G31" s="1" t="s">
        <x:v>78</x:v>
      </x:c>
      <x:c r="H31" s="1"/>
      <x:c r="I31" s="13" t="str">
        <x:v>等级配置｜CP等级与礼物标准｜v3.9 input附件</x:v>
      </x:c>
      <x:c r="J31" s="14" t="s">
        <x:v>116</x:v>
      </x:c>
      <x:c r="K31" s="1"/>
      <x:c r="L31" s="1"/>
    </x:row>
    <x:row r="32" ht="40" hidden="0" customHeight="1">
      <x:c r="A32" s="23" t="s">
        <x:v>117</x:v>
      </x:c>
      <x:c r="B32" s="23" t="s">
        <x:v>47</x:v>
      </x:c>
      <x:c r="C32" s="24" t="n">
        <x:f aca="0">等级门槛!D94</x:f>
        <x:v>4012100</x:v>
      </x:c>
      <x:c r="D32" s="24" t="n">
        <x:f aca="0">等级门槛!E94</x:f>
        <x:v>314700</x:v>
      </x:c>
      <x:c r="E32" s="24" t="n">
        <x:f aca="0">等级门槛!G94</x:f>
        <x:v>3554</x:v>
      </x:c>
      <x:c r="F32" s="24" t="n">
        <x:f aca="0">等级门槛!H94</x:f>
        <x:v>0</x:v>
      </x:c>
      <x:c r="G32" s="1" t="s">
        <x:v>94</x:v>
      </x:c>
      <x:c r="H32" s="1"/>
      <x:c r="I32" s="14" t="str">
        <x:v>CP｜关系系统升级｜PRD｜v5.12</x:v>
      </x:c>
      <x:c r="J32" s="13" t="str">
        <x:v>关系、等级、任务、回忆与解除主规则；CP 1,000、亲友500已统一</x:v>
      </x:c>
      <x:c r="K32" s="1"/>
      <x:c r="L32" s="1"/>
    </x:row>
    <x:row r="33" ht="40" hidden="0" customHeight="1">
      <x:c r="A33" s="23" t="s">
        <x:v>118</x:v>
      </x:c>
      <x:c r="B33" s="23" t="s">
        <x:v>47</x:v>
      </x:c>
      <x:c r="C33" s="24" t="n">
        <x:f aca="0">等级门槛!D103</x:f>
        <x:v>8366200</x:v>
      </x:c>
      <x:c r="D33" s="24" t="n">
        <x:f aca="0">等级门槛!E103</x:f>
        <x:v>655800</x:v>
      </x:c>
      <x:c r="E33" s="24" t="n">
        <x:f aca="0">等级门槛!G103</x:f>
        <x:v>7405</x:v>
      </x:c>
      <x:c r="F33" s="24" t="n">
        <x:f aca="0">等级门槛!H103</x:f>
        <x:v>0</x:v>
      </x:c>
      <x:c r="G33" s="1" t="s">
        <x:v>78</x:v>
      </x:c>
      <x:c r="H33" s="1"/>
      <x:c r="I33" s="13" t="s">
        <x:v>119</x:v>
      </x:c>
      <x:c r="J33" s="13" t="str">
        <x:v>CP门槛1,000并注入1,000 CP EXP；亲友门槛500；最高样本不参与档位设定</x:v>
      </x:c>
      <x:c r="K33" s="1"/>
      <x:c r="L33" s="1"/>
    </x:row>
    <x:row r="34" ht="40" hidden="0" customHeight="1">
      <x:c r="A34" s="23" t="s">
        <x:v>120</x:v>
      </x:c>
      <x:c r="B34" s="23" t="s">
        <x:v>47</x:v>
      </x:c>
      <x:c r="C34" s="24" t="n">
        <x:f aca="0">等级门槛!D108</x:f>
        <x:v>12582600</x:v>
      </x:c>
      <x:c r="D34" s="24" t="n">
        <x:f aca="0">等级门槛!E108</x:f>
        <x:v>986100</x:v>
      </x:c>
      <x:c r="E34" s="24" t="n">
        <x:f aca="0">等级门槛!G108</x:f>
        <x:v>11134</x:v>
      </x:c>
      <x:c r="F34" s="24" t="n">
        <x:f aca="0">等级门槛!H108</x:f>
        <x:v>0</x:v>
      </x:c>
      <x:c r="G34" s="1" t="s">
        <x:v>78</x:v>
      </x:c>
      <x:c r="H34" s="1"/>
      <x:c r="I34" s="13" t="s">
        <x:v>121</x:v>
      </x:c>
      <x:c r="J34" s="13" t="s">
        <x:v>122</x:v>
      </x:c>
      <x:c r="K34" s="1"/>
      <x:c r="L34" s="1"/>
    </x:row>
    <x:row r="35" ht="40" hidden="0" customHeight="1">
      <x:c r="A35" s="27" t="s">
        <x:v>123</x:v>
      </x:c>
      <x:c r="B35" s="27" t="s">
        <x:v>47</x:v>
      </x:c>
      <x:c r="C35" s="28" t="n">
        <x:f aca="0">等级门槛!D113</x:f>
        <x:v>18922500</x:v>
      </x:c>
      <x:c r="D35" s="28" t="n">
        <x:f aca="0">等级门槛!E113</x:f>
        <x:v>1482800</x:v>
      </x:c>
      <x:c r="E35" s="28" t="n">
        <x:f aca="0">等级门槛!G113</x:f>
        <x:v>16742</x:v>
      </x:c>
      <x:c r="F35" s="28" t="n">
        <x:f aca="0">等级门槛!H113</x:f>
        <x:v>0</x:v>
      </x:c>
      <x:c r="G35" s="29" t="s">
        <x:v>124</x:v>
      </x:c>
      <x:c r="H35" s="1"/>
      <x:c r="I35" s="22" t="s">
        <x:v>125</x:v>
      </x:c>
      <x:c r="J35" s="22" t="s">
        <x:v>126</x:v>
      </x:c>
      <x:c r="K35" s="1"/>
      <x:c r="L35" s="1"/>
    </x:row>
    <x:row r="36" ht="16.799999237060547" hidden="0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16.799999237060547" hidden="0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hidden="0" customHeight="1">
      <x:c r="A38" s="30" t="s">
        <x:v>127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9"/>
    </x:row>
    <x:row r="39" ht="31" hidden="0" customHeight="1">
      <x:c r="A39" s="10" t="s">
        <x:v>128</x:v>
      </x:c>
      <x:c r="B39" s="31" t="s">
        <x:v>129</x:v>
      </x:c>
      <x:c r="C39" s="31" t="s">
        <x:v>130</x:v>
      </x:c>
      <x:c r="D39" s="11" t="s">
        <x:v>131</x:v>
      </x:c>
      <x:c r="E39" s="12" t="s">
        <x:v>132</x:v>
      </x:c>
      <x:c r="F39" s="1"/>
      <x:c r="G39" s="1"/>
      <x:c r="H39" s="1"/>
      <x:c r="I39" s="1"/>
      <x:c r="J39" s="1"/>
      <x:c r="K39" s="1"/>
      <x:c r="L39" s="1"/>
    </x:row>
    <x:row r="40" ht="34" hidden="0" customHeight="1">
      <x:c r="A40" s="13" t="s">
        <x:v>133</x:v>
      </x:c>
      <x:c r="B40" s="32" t="n">
        <x:v>0.07</x:v>
      </x:c>
      <x:c r="C40" s="33" t="n">
        <x:f aca="0">等级门槛!B9</x:f>
        <x:v>0.085</x:v>
      </x:c>
      <x:c r="D40" s="32" t="n">
        <x:f aca="0">C40-B40</x:f>
        <x:v>0.015</x:v>
      </x:c>
      <x:c r="E40" s="14" t="s">
        <x:v>134</x:v>
      </x:c>
      <x:c r="F40" s="1"/>
      <x:c r="G40" s="1"/>
      <x:c r="H40" s="1"/>
      <x:c r="I40" s="1"/>
      <x:c r="J40" s="1"/>
      <x:c r="K40" s="1"/>
      <x:c r="L40" s="1"/>
    </x:row>
    <x:row r="41" ht="34" hidden="0" customHeight="1">
      <x:c r="A41" s="14" t="s">
        <x:v>135</x:v>
      </x:c>
      <x:c r="B41" s="34" t="n">
        <x:v>0</x:v>
      </x:c>
      <x:c r="C41" s="35" t="n">
        <x:f aca="0">等级门槛!D14</x:f>
        <x:v>1000</x:v>
      </x:c>
      <x:c r="D41" s="34" t="n">
        <x:f aca="0">C41-B41</x:f>
        <x:v>1000</x:v>
      </x:c>
      <x:c r="E41" s="13" t="s">
        <x:v>136</x:v>
      </x:c>
      <x:c r="F41" s="1"/>
      <x:c r="G41" s="1"/>
      <x:c r="H41" s="1"/>
      <x:c r="I41" s="1"/>
      <x:c r="J41" s="1"/>
      <x:c r="K41" s="1"/>
      <x:c r="L41" s="1"/>
    </x:row>
    <x:row r="42" ht="34" hidden="0" customHeight="1">
      <x:c r="A42" s="14" t="s">
        <x:v>137</x:v>
      </x:c>
      <x:c r="B42" s="34" t="n">
        <x:v>20700</x:v>
      </x:c>
      <x:c r="C42" s="35" t="n">
        <x:f aca="0">等级门槛!D34</x:f>
        <x:v>25100</x:v>
      </x:c>
      <x:c r="D42" s="32" t="n">
        <x:f aca="0">C42/B42-1</x:f>
        <x:v>0.21256038647343</x:v>
      </x:c>
      <x:c r="E42" s="13" t="s">
        <x:v>138</x:v>
      </x:c>
      <x:c r="F42" s="1"/>
      <x:c r="G42" s="1"/>
      <x:c r="H42" s="1"/>
      <x:c r="I42" s="1"/>
      <x:c r="J42" s="1"/>
      <x:c r="K42" s="1"/>
      <x:c r="L42" s="1"/>
    </x:row>
    <x:row r="43" ht="34" hidden="0" customHeight="1">
      <x:c r="A43" s="14" t="s">
        <x:v>139</x:v>
      </x:c>
      <x:c r="B43" s="34" t="n">
        <x:v>100000</x:v>
      </x:c>
      <x:c r="C43" s="35" t="n">
        <x:f aca="0">等级门槛!D54</x:f>
        <x:v>148700</x:v>
      </x:c>
      <x:c r="D43" s="32" t="n">
        <x:f aca="0">C43/B43-1</x:f>
        <x:v>0.4870000000000001</x:v>
      </x:c>
      <x:c r="E43" s="13" t="s">
        <x:v>140</x:v>
      </x:c>
      <x:c r="F43" s="1"/>
      <x:c r="G43" s="1"/>
      <x:c r="H43" s="1"/>
      <x:c r="I43" s="1"/>
      <x:c r="J43" s="1"/>
      <x:c r="K43" s="1"/>
      <x:c r="L43" s="1"/>
    </x:row>
    <x:row r="44" ht="34" hidden="0" customHeight="1">
      <x:c r="A44" s="14" t="s">
        <x:v>141</x:v>
      </x:c>
      <x:c r="B44" s="34" t="n">
        <x:v>407100</x:v>
      </x:c>
      <x:c r="C44" s="35" t="n">
        <x:f aca="0">等级门槛!D74</x:f>
        <x:v>780700</x:v>
      </x:c>
      <x:c r="D44" s="32" t="n">
        <x:f aca="0">C44/B44-1</x:f>
        <x:v>0.91771063620732</x:v>
      </x:c>
      <x:c r="E44" s="13" t="s">
        <x:v>142</x:v>
      </x:c>
      <x:c r="F44" s="1"/>
      <x:c r="G44" s="1"/>
      <x:c r="H44" s="1"/>
      <x:c r="I44" s="1"/>
      <x:c r="J44" s="1"/>
      <x:c r="K44" s="1"/>
      <x:c r="L44" s="1"/>
    </x:row>
    <x:row r="45" ht="34" hidden="0" customHeight="1">
      <x:c r="A45" s="14" t="s">
        <x:v>143</x:v>
      </x:c>
      <x:c r="B45" s="34" t="n">
        <x:v>1594900</x:v>
      </x:c>
      <x:c r="C45" s="35" t="n">
        <x:f aca="0">等级门槛!D94</x:f>
        <x:v>4012100</x:v>
      </x:c>
      <x:c r="D45" s="32" t="n">
        <x:f aca="0">C45/B45-1</x:f>
        <x:v>1.5155809141638974</x:v>
      </x:c>
      <x:c r="E45" s="13" t="s">
        <x:v>144</x:v>
      </x:c>
      <x:c r="F45" s="1"/>
      <x:c r="G45" s="1"/>
      <x:c r="H45" s="1"/>
      <x:c r="I45" s="1"/>
      <x:c r="J45" s="1"/>
      <x:c r="K45" s="1"/>
      <x:c r="L45" s="1"/>
    </x:row>
    <x:row r="46" ht="34" hidden="0" customHeight="1">
      <x:c r="A46" s="14" t="s">
        <x:v>145</x:v>
      </x:c>
      <x:c r="B46" s="34" t="n">
        <x:v>5785800</x:v>
      </x:c>
      <x:c r="C46" s="35" t="n">
        <x:f aca="0">等级门槛!D113</x:f>
        <x:v>18922500</x:v>
      </x:c>
      <x:c r="D46" s="32" t="n">
        <x:f aca="0">C46/B46-1</x:f>
        <x:v>2.270507103598465</x:v>
      </x:c>
      <x:c r="E46" s="13" t="s">
        <x:v>146</x:v>
      </x:c>
      <x:c r="F46" s="1"/>
      <x:c r="G46" s="1"/>
      <x:c r="H46" s="1"/>
      <x:c r="I46" s="1"/>
      <x:c r="J46" s="1"/>
      <x:c r="K46" s="1"/>
      <x:c r="L46" s="1"/>
    </x:row>
    <x:row r="47" ht="34" hidden="0" customHeight="1">
      <x:c r="A47" s="13" t="s">
        <x:v>147</x:v>
      </x:c>
      <x:c r="B47" s="36" t="n">
        <x:v>92</x:v>
      </x:c>
      <x:c r="C47" s="37" t="n">
        <x:f aca="0">样本回放!E8</x:f>
        <x:v>79</x:v>
      </x:c>
      <x:c r="D47" s="36" t="n">
        <x:f aca="0">C47-B47</x:f>
        <x:v>-13</x:v>
      </x:c>
      <x:c r="E47" s="13" t="s">
        <x:v>148</x:v>
      </x:c>
      <x:c r="F47" s="1"/>
      <x:c r="G47" s="1"/>
      <x:c r="H47" s="1"/>
      <x:c r="I47" s="1"/>
      <x:c r="J47" s="1"/>
      <x:c r="K47" s="1"/>
      <x:c r="L47" s="1"/>
    </x:row>
    <x:row r="48" ht="34" hidden="0" customHeight="1">
      <x:c r="A48" s="13" t="s">
        <x:v>149</x:v>
      </x:c>
      <x:c r="B48" s="36" t="n">
        <x:v>8</x:v>
      </x:c>
      <x:c r="C48" s="37" t="n">
        <x:f aca="0">100-C47</x:f>
        <x:v>21</x:v>
      </x:c>
      <x:c r="D48" s="36" t="n">
        <x:f aca="0">C48-B48</x:f>
        <x:v>13</x:v>
      </x:c>
      <x:c r="E48" s="13" t="s">
        <x:v>150</x:v>
      </x:c>
      <x:c r="F48" s="1"/>
      <x:c r="G48" s="1"/>
      <x:c r="H48" s="1"/>
      <x:c r="I48" s="1"/>
      <x:c r="J48" s="1"/>
      <x:c r="K48" s="1"/>
      <x:c r="L48" s="1"/>
    </x:row>
    <x:row r="49" ht="34" hidden="0" customHeight="1">
      <x:c r="A49" s="21" t="s">
        <x:v>151</x:v>
      </x:c>
      <x:c r="B49" s="21" t="s">
        <x:v>152</x:v>
      </x:c>
      <x:c r="C49" s="38" t="str">
        <x:f aca="0">K8&amp;" / "&amp;K9&amp;" / "&amp;K10&amp;" / "&amp;K11&amp;" / "&amp;K12</x:f>
        <x:v>192 / 85 / 28 / 6 / 0</x:v>
      </x:c>
      <x:c r="D49" s="21" t="s">
        <x:v>153</x:v>
      </x:c>
      <x:c r="E49" s="21" t="s">
        <x:v>154</x:v>
      </x:c>
      <x:c r="F49" s="1"/>
      <x:c r="G49" s="1"/>
      <x:c r="H49" s="1"/>
      <x:c r="I49" s="1"/>
      <x:c r="J49" s="1"/>
      <x:c r="K49" s="1"/>
      <x:c r="L49" s="1"/>
    </x:row>
    <x:row r="50" ht="16.799999237060547" hidden="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</x:sheetData>
  <x:mergeCells>
    <x:mergeCell ref="A3:L3"/>
  </x:mergeCells>
  <x:conditionalFormatting sqref="A20:G35">
    <x:cfRule type="containsText" dxfId="0" priority="2" aboveAverage="0" percent="0" bottom="0" operator="containsText" text="切换整套物料" rank="0" equalAverage="0">
      <x:formula>NOT(ISERROR(SEARCH("切换整套物料",A20)))</x:formula>
    </x:cfRule>
    <x:cfRule type="containsText" dxfId="1" priority="3" aboveAverage="0" percent="0" bottom="0" operator="containsText" text="当前有效最高样本" rank="0" equalAverage="0">
      <x:formula>NOT(ISERROR(SEARCH("当前有效最高样本",A20)))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C708B"/>
  </x:sheetPr>
  <x:sheetViews>
    <x:sheetView showGridLines="0" workbookViewId="0">
      <x:pane ySplit="13" topLeftCell="A14" activePane="bottomLeft" state="frozen"/>
    </x:sheetView>
  </x:sheetViews>
  <x:sheetFormatPr defaultColWidth="10.74609375" defaultRowHeight="16.799999237060547"/>
  <x:cols>
    <x:col min="2" max="2" width="14.329999923706055" hidden="0" customWidth="1"/>
    <x:col min="3" max="3" width="20.290000915527344" hidden="0" customWidth="1"/>
    <x:col min="4" max="4" width="25.06999969482422" hidden="0" customWidth="1"/>
    <x:col min="5" max="5" width="22.68000030517578" hidden="0" customWidth="1"/>
    <x:col min="6" max="6" width="19.100000381469727" hidden="0" customWidth="1"/>
    <x:col min="7" max="7" width="25.06999969482422" hidden="0" customWidth="1"/>
    <x:col min="8" max="8" width="17.899999618530273" hidden="0" customWidth="1"/>
    <x:col min="9" max="9" width="16.709999084472656" hidden="0" customWidth="1"/>
    <x:col min="10" max="10" width="39.38999938964844" hidden="0" customWidth="1"/>
    <x:col min="11" max="12" width="16.709999084472656" hidden="0" customWidth="1"/>
    <x:col min="13" max="13" width="26.260000228881836" hidden="0" customWidth="1"/>
  </x:cols>
  <x:sheetData>
    <x:row r="1" ht="16.799999237060547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8.649999618530273" hidden="0">
      <x:c r="A2" s="2" t="str">
        <x:v>Lv1-Lv100等级门槛｜v3.9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6.799999237060547" hidden="0">
      <x:c r="A3" s="3" t="str">
        <x:v>结成CP时注入1,000初始EXP；后续沿用8.5%曲线。CP 建立/Lv1 门槛1,000已与PRD v5.14统一；闺蜜、挚友、兄弟建立门槛统一为500。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16.799999237060547" hidden="0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16.799999237060547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2" hidden="0" customHeight="1">
      <x:c r="A6" s="5" t="s">
        <x:v>155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39"/>
    </x:row>
    <x:row r="7" ht="31" hidden="0" customHeight="1">
      <x:c r="A7" s="10" t="s">
        <x:v>156</x:v>
      </x:c>
      <x:c r="B7" s="11" t="s">
        <x:v>157</x:v>
      </x:c>
      <x:c r="C7" s="11" t="s">
        <x:v>158</x:v>
      </x:c>
      <x:c r="D7" s="12" t="s">
        <x:v>159</x:v>
      </x:c>
      <x:c r="E7" s="10" t="s">
        <x:v>160</x:v>
      </x:c>
      <x:c r="F7" s="11" t="s">
        <x:v>157</x:v>
      </x:c>
      <x:c r="G7" s="11" t="s">
        <x:v>158</x:v>
      </x:c>
      <x:c r="H7" s="12" t="s">
        <x:v>161</x:v>
      </x:c>
      <x:c r="I7" s="10" t="s">
        <x:v>8</x:v>
      </x:c>
      <x:c r="J7" s="11" t="s">
        <x:v>9</x:v>
      </x:c>
      <x:c r="K7" s="11" t="s">
        <x:v>162</x:v>
      </x:c>
      <x:c r="L7" s="11" t="s">
        <x:v>163</x:v>
      </x:c>
      <x:c r="M7" s="12" t="s">
        <x:v>164</x:v>
      </x:c>
    </x:row>
    <x:row r="8" ht="26" hidden="0" customHeight="1">
      <x:c r="A8" s="1" t="s">
        <x:v>165</x:v>
      </x:c>
      <x:c r="B8" s="40" t="n">
        <x:v>500</x:v>
      </x:c>
      <x:c r="C8" s="23" t="s">
        <x:v>166</x:v>
      </x:c>
      <x:c r="D8" s="23" t="s">
        <x:v>167</x:v>
      </x:c>
      <x:c r="E8" s="1" t="s">
        <x:v>168</x:v>
      </x:c>
      <x:c r="F8" s="16" t="n">
        <x:v>700</x:v>
      </x:c>
      <x:c r="G8" s="1" t="s">
        <x:v>169</x:v>
      </x:c>
      <x:c r="H8" s="13" t="s">
        <x:v>170</x:v>
      </x:c>
      <x:c r="I8" s="41" t="s">
        <x:v>19</x:v>
      </x:c>
      <x:c r="J8" s="41" t="s">
        <x:v>20</x:v>
      </x:c>
      <x:c r="K8" s="42" t="n">
        <x:f aca="0">SUM(H14:H33)</x:f>
        <x:v>192</x:v>
      </x:c>
      <x:c r="L8" s="43" t="n">
        <x:f aca="0">K8/COUNTIF(样本回放!$D$7:$D$318,"是")</x:f>
        <x:v>0.617363344051447</x:v>
      </x:c>
      <x:c r="M8" s="44" t="s">
        <x:v>171</x:v>
      </x:c>
    </x:row>
    <x:row r="9" ht="26" hidden="0" customHeight="1">
      <x:c r="A9" s="1" t="s">
        <x:v>133</x:v>
      </x:c>
      <x:c r="B9" s="45" t="n">
        <x:v>0.085</x:v>
      </x:c>
      <x:c r="C9" s="23" t="s">
        <x:v>172</x:v>
      </x:c>
      <x:c r="D9" s="1" t="s">
        <x:v>173</x:v>
      </x:c>
      <x:c r="E9" s="1" t="s">
        <x:v>174</x:v>
      </x:c>
      <x:c r="F9" s="40" t="n">
        <x:v>1000</x:v>
      </x:c>
      <x:c r="G9" s="1" t="s">
        <x:v>169</x:v>
      </x:c>
      <x:c r="H9" s="13" t="str">
        <x:v>已裁决正式口径；999不可申请，1,000可申请</x:v>
      </x:c>
      <x:c r="I9" s="41" t="s">
        <x:v>25</x:v>
      </x:c>
      <x:c r="J9" s="41" t="s">
        <x:v>26</x:v>
      </x:c>
      <x:c r="K9" s="42" t="n">
        <x:f aca="0">SUM(H34:H53)</x:f>
        <x:v>85</x:v>
      </x:c>
      <x:c r="L9" s="43" t="n">
        <x:f aca="0">K9/COUNTIF(样本回放!$D$7:$D$318,"是")</x:f>
        <x:v>0.2733118971061093</x:v>
      </x:c>
      <x:c r="M9" s="44" t="s">
        <x:v>171</x:v>
      </x:c>
    </x:row>
    <x:row r="10" ht="26" hidden="0" customHeight="1">
      <x:c r="A10" s="1" t="s">
        <x:v>175</x:v>
      </x:c>
      <x:c r="B10" s="40" t="n">
        <x:v>100</x:v>
      </x:c>
      <x:c r="C10" s="23" t="s">
        <x:v>166</x:v>
      </x:c>
      <x:c r="D10" s="1" t="s">
        <x:v>176</x:v>
      </x:c>
      <x:c r="E10" s="29" t="s">
        <x:v>177</x:v>
      </x:c>
      <x:c r="F10" s="46" t="n">
        <x:v>1000</x:v>
      </x:c>
      <x:c r="G10" s="27" t="s">
        <x:v>166</x:v>
      </x:c>
      <x:c r="H10" s="22" t="s">
        <x:v>178</x:v>
      </x:c>
      <x:c r="I10" s="41" t="s">
        <x:v>31</x:v>
      </x:c>
      <x:c r="J10" s="41" t="s">
        <x:v>32</x:v>
      </x:c>
      <x:c r="K10" s="42" t="n">
        <x:f aca="0">SUM(H54:H73)</x:f>
        <x:v>28</x:v>
      </x:c>
      <x:c r="L10" s="43" t="n">
        <x:f aca="0">K10/COUNTIF(样本回放!$D$7:$D$318,"是")</x:f>
        <x:v>0.09003215434083602</x:v>
      </x:c>
      <x:c r="M10" s="44" t="s">
        <x:v>171</x:v>
      </x:c>
    </x:row>
    <x:row r="11" ht="26" hidden="0" customHeight="1">
      <x:c r="A11" s="29" t="s">
        <x:v>179</x:v>
      </x:c>
      <x:c r="B11" s="46" t="n">
        <x:v>620</x:v>
      </x:c>
      <x:c r="C11" s="27" t="s">
        <x:v>180</x:v>
      </x:c>
      <x:c r="D11" s="29" t="s">
        <x:v>181</x:v>
      </x:c>
      <x:c r="E11" s="1"/>
      <x:c r="F11" s="1"/>
      <x:c r="G11" s="1"/>
      <x:c r="H11" s="1"/>
      <x:c r="I11" s="41" t="s">
        <x:v>39</x:v>
      </x:c>
      <x:c r="J11" s="41" t="s">
        <x:v>40</x:v>
      </x:c>
      <x:c r="K11" s="42" t="n">
        <x:f aca="0">SUM(H74:H93)</x:f>
        <x:v>6</x:v>
      </x:c>
      <x:c r="L11" s="43" t="n">
        <x:f aca="0">K11/COUNTIF(样本回放!$D$7:$D$318,"是")</x:f>
        <x:v>0.01929260450160772</x:v>
      </x:c>
      <x:c r="M11" s="44" t="s">
        <x:v>171</x:v>
      </x:c>
    </x:row>
    <x:row r="12" ht="26" hidden="0" customHeight="1">
      <x:c r="A12" s="1"/>
      <x:c r="B12" s="1"/>
      <x:c r="C12" s="1"/>
      <x:c r="D12" s="1"/>
      <x:c r="E12" s="1"/>
      <x:c r="F12" s="1"/>
      <x:c r="G12" s="1"/>
      <x:c r="H12" s="1"/>
      <x:c r="I12" s="47" t="s">
        <x:v>47</x:v>
      </x:c>
      <x:c r="J12" s="47" t="s">
        <x:v>48</x:v>
      </x:c>
      <x:c r="K12" s="48" t="n">
        <x:f aca="0">SUM(H94:H113)</x:f>
        <x:v>0</x:v>
      </x:c>
      <x:c r="L12" s="49" t="n">
        <x:f aca="0">K12/COUNTIF(样本回放!$D$7:$D$318,"是")</x:f>
        <x:v>0</x:v>
      </x:c>
      <x:c r="M12" s="50" t="s">
        <x:v>171</x:v>
      </x:c>
    </x:row>
    <x:row r="13" ht="31" hidden="0" customHeight="1">
      <x:c r="A13" s="10" t="s">
        <x:v>69</x:v>
      </x:c>
      <x:c r="B13" s="11" t="s">
        <x:v>8</x:v>
      </x:c>
      <x:c r="C13" s="11" t="s">
        <x:v>182</x:v>
      </x:c>
      <x:c r="D13" s="11" t="s">
        <x:v>183</x:v>
      </x:c>
      <x:c r="E13" s="11" t="s">
        <x:v>184</x:v>
      </x:c>
      <x:c r="F13" s="11" t="s">
        <x:v>185</x:v>
      </x:c>
      <x:c r="G13" s="11" t="s">
        <x:v>72</x:v>
      </x:c>
      <x:c r="H13" s="11" t="s">
        <x:v>11</x:v>
      </x:c>
      <x:c r="I13" s="11" t="s">
        <x:v>186</x:v>
      </x:c>
      <x:c r="J13" s="12" t="s">
        <x:v>187</x:v>
      </x:c>
      <x:c r="K13" s="1"/>
      <x:c r="L13" s="1"/>
      <x:c r="M13" s="1"/>
    </x:row>
    <x:row r="14" ht="20" hidden="0" customHeight="1">
      <x:c r="A14" s="51" t="n">
        <x:v>1</x:v>
      </x:c>
      <x:c r="B14" s="51" t="n">
        <x:v>1</x:v>
      </x:c>
      <x:c r="C14" s="23" t="s">
        <x:v>20</x:v>
      </x:c>
      <x:c r="D14" s="24" t="n">
        <x:v>1000</x:v>
      </x:c>
      <x:c r="E14" s="24" t="n">
        <x:v>1000</x:v>
      </x:c>
      <x:c r="F14" s="23" t="s">
        <x:v>188</x:v>
      </x:c>
      <x:c r="G14" s="24" t="n">
        <x:v>0</x:v>
      </x:c>
      <x:c r="H14" s="24" t="n">
        <x:f aca="0">COUNTIFS(样本回放!$D$7:$D$318,"是",样本回放!$C$7:$C$318,"&lt;"&amp;D15)</x:f>
        <x:v>77</x:v>
      </x:c>
      <x:c r="I14" s="52" t="n">
        <x:f aca="0">H14/COUNTIF(样本回放!$D$7:$D$318,"是")</x:f>
        <x:v>0.24758842443729903</x:v>
      </x:c>
      <x:c r="J14" s="1" t="s">
        <x:v>189</x:v>
      </x:c>
      <x:c r="K14" s="1"/>
      <x:c r="L14" s="1"/>
      <x:c r="M14" s="1"/>
    </x:row>
    <x:row r="15" ht="20" hidden="0" customHeight="1">
      <x:c r="A15" s="51" t="n">
        <x:v>2</x:v>
      </x:c>
      <x:c r="B15" s="51" t="n">
        <x:v>1</x:v>
      </x:c>
      <x:c r="C15" s="23" t="s">
        <x:v>20</x:v>
      </x:c>
      <x:c r="D15" s="24" t="n">
        <x:f aca="0">D14+E15</x:f>
        <x:v>1500</x:v>
      </x:c>
      <x:c r="E15" s="24" t="n">
        <x:f aca="0">$B$8</x:f>
        <x:v>500</x:v>
      </x:c>
      <x:c r="F15" s="52" t="s">
        <x:v>188</x:v>
      </x:c>
      <x:c r="G15" s="24" t="n">
        <x:f aca="0">ROUNDUP(E15*7/$B$11,0)</x:f>
        <x:v>6</x:v>
      </x:c>
      <x:c r="H15" s="24" t="n">
        <x:f aca="0">COUNTIFS(样本回放!$D$7:$D$318,"是",样本回放!$C$7:$C$318,"&gt;="&amp;D15,样本回放!$C$7:$C$318,"&lt;"&amp;D16)</x:f>
        <x:v>1</x:v>
      </x:c>
      <x:c r="I15" s="52" t="n">
        <x:f aca="0">H15/COUNTIF(样本回放!$D$7:$D$318,"是")</x:f>
        <x:v>0.003215434083601286</x:v>
      </x:c>
      <x:c r="J15" s="1" t="s">
        <x:v>190</x:v>
      </x:c>
      <x:c r="K15" s="1"/>
      <x:c r="L15" s="1"/>
      <x:c r="M15" s="1"/>
    </x:row>
    <x:row r="16" ht="20" hidden="0" customHeight="1">
      <x:c r="A16" s="51" t="n">
        <x:v>3</x:v>
      </x:c>
      <x:c r="B16" s="51" t="n">
        <x:v>1</x:v>
      </x:c>
      <x:c r="C16" s="23" t="s">
        <x:v>20</x:v>
      </x:c>
      <x:c r="D16" s="24" t="n">
        <x:f aca="0">D15+E16</x:f>
        <x:v>2000</x:v>
      </x:c>
      <x:c r="E16" s="24" t="n">
        <x:f aca="0">ROUND($B$8*(1+$B$9)^(A16-2)/$B$10,0)*$B$10</x:f>
        <x:v>500</x:v>
      </x:c>
      <x:c r="F16" s="52" t="n">
        <x:f aca="0">E16/E15-1</x:f>
        <x:v>0</x:v>
      </x:c>
      <x:c r="G16" s="24" t="n">
        <x:f aca="0">ROUNDUP(E16*7/$B$11,0)</x:f>
        <x:v>6</x:v>
      </x:c>
      <x:c r="H16" s="24" t="n">
        <x:f aca="0">COUNTIFS(样本回放!$D$7:$D$318,"是",样本回放!$C$7:$C$318,"&gt;="&amp;D16,样本回放!$C$7:$C$318,"&lt;"&amp;D17)</x:f>
        <x:v>9</x:v>
      </x:c>
      <x:c r="I16" s="52" t="n">
        <x:f aca="0">H16/COUNTIF(样本回放!$D$7:$D$318,"是")</x:f>
        <x:v>0.028938906752411574</x:v>
      </x:c>
      <x:c r="J16" s="1" t="s">
        <x:v>190</x:v>
      </x:c>
      <x:c r="K16" s="1"/>
      <x:c r="L16" s="1"/>
      <x:c r="M16" s="1"/>
    </x:row>
    <x:row r="17" ht="20" hidden="0" customHeight="1">
      <x:c r="A17" s="51" t="n">
        <x:v>4</x:v>
      </x:c>
      <x:c r="B17" s="51" t="n">
        <x:v>1</x:v>
      </x:c>
      <x:c r="C17" s="23" t="s">
        <x:v>20</x:v>
      </x:c>
      <x:c r="D17" s="24" t="n">
        <x:f aca="0">D16+E17</x:f>
        <x:v>2600</x:v>
      </x:c>
      <x:c r="E17" s="24" t="n">
        <x:f aca="0">ROUND($B$8*(1+$B$9)^(A17-2)/$B$10,0)*$B$10</x:f>
        <x:v>600</x:v>
      </x:c>
      <x:c r="F17" s="52" t="n">
        <x:f aca="0">E17/E16-1</x:f>
        <x:v>0.19999999999999996</x:v>
      </x:c>
      <x:c r="G17" s="24" t="n">
        <x:f aca="0">ROUNDUP(E17*7/$B$11,0)</x:f>
        <x:v>7</x:v>
      </x:c>
      <x:c r="H17" s="24" t="n">
        <x:f aca="0">COUNTIFS(样本回放!$D$7:$D$318,"是",样本回放!$C$7:$C$318,"&gt;="&amp;D17,样本回放!$C$7:$C$318,"&lt;"&amp;D18)</x:f>
        <x:v>8</x:v>
      </x:c>
      <x:c r="I17" s="52" t="n">
        <x:f aca="0">H17/COUNTIF(样本回放!$D$7:$D$318,"是")</x:f>
        <x:v>0.02572347266881029</x:v>
      </x:c>
      <x:c r="J17" s="1" t="s">
        <x:v>190</x:v>
      </x:c>
      <x:c r="K17" s="1"/>
      <x:c r="L17" s="1"/>
      <x:c r="M17" s="1"/>
    </x:row>
    <x:row r="18" ht="20" hidden="0" customHeight="1">
      <x:c r="A18" s="51" t="n">
        <x:v>5</x:v>
      </x:c>
      <x:c r="B18" s="51" t="n">
        <x:v>1</x:v>
      </x:c>
      <x:c r="C18" s="23" t="s">
        <x:v>20</x:v>
      </x:c>
      <x:c r="D18" s="24" t="n">
        <x:f aca="0">D17+E18</x:f>
        <x:v>3200</x:v>
      </x:c>
      <x:c r="E18" s="24" t="n">
        <x:f aca="0">ROUND($B$8*(1+$B$9)^(A18-2)/$B$10,0)*$B$10</x:f>
        <x:v>600</x:v>
      </x:c>
      <x:c r="F18" s="52" t="n">
        <x:f aca="0">E18/E17-1</x:f>
        <x:v>0</x:v>
      </x:c>
      <x:c r="G18" s="24" t="n">
        <x:f aca="0">ROUNDUP(E18*7/$B$11,0)</x:f>
        <x:v>7</x:v>
      </x:c>
      <x:c r="H18" s="24" t="n">
        <x:f aca="0">COUNTIFS(样本回放!$D$7:$D$318,"是",样本回放!$C$7:$C$318,"&gt;="&amp;D18,样本回放!$C$7:$C$318,"&lt;"&amp;D19)</x:f>
        <x:v>4</x:v>
      </x:c>
      <x:c r="I18" s="52" t="n">
        <x:f aca="0">H18/COUNTIF(样本回放!$D$7:$D$318,"是")</x:f>
        <x:v>0.012861736334405145</x:v>
      </x:c>
      <x:c r="J18" s="1" t="s">
        <x:v>190</x:v>
      </x:c>
      <x:c r="K18" s="1"/>
      <x:c r="L18" s="1"/>
      <x:c r="M18" s="1"/>
    </x:row>
    <x:row r="19" ht="20" hidden="0" customHeight="1">
      <x:c r="A19" s="51" t="n">
        <x:v>6</x:v>
      </x:c>
      <x:c r="B19" s="51" t="n">
        <x:v>1</x:v>
      </x:c>
      <x:c r="C19" s="23" t="s">
        <x:v>20</x:v>
      </x:c>
      <x:c r="D19" s="24" t="n">
        <x:f aca="0">D18+E19</x:f>
        <x:v>3900</x:v>
      </x:c>
      <x:c r="E19" s="24" t="n">
        <x:f aca="0">ROUND($B$8*(1+$B$9)^(A19-2)/$B$10,0)*$B$10</x:f>
        <x:v>700</x:v>
      </x:c>
      <x:c r="F19" s="52" t="n">
        <x:f aca="0">E19/E18-1</x:f>
        <x:v>0.16666666666666674</x:v>
      </x:c>
      <x:c r="G19" s="24" t="n">
        <x:f aca="0">ROUNDUP(E19*7/$B$11,0)</x:f>
        <x:v>8</x:v>
      </x:c>
      <x:c r="H19" s="24" t="n">
        <x:f aca="0">COUNTIFS(样本回放!$D$7:$D$318,"是",样本回放!$C$7:$C$318,"&gt;="&amp;D19,样本回放!$C$7:$C$318,"&lt;"&amp;D20)</x:f>
        <x:v>12</x:v>
      </x:c>
      <x:c r="I19" s="52" t="n">
        <x:f aca="0">H19/COUNTIF(样本回放!$D$7:$D$318,"是")</x:f>
        <x:v>0.03858520900321544</x:v>
      </x:c>
      <x:c r="J19" s="1" t="s">
        <x:v>190</x:v>
      </x:c>
      <x:c r="K19" s="1"/>
      <x:c r="L19" s="1"/>
      <x:c r="M19" s="1"/>
    </x:row>
    <x:row r="20" ht="20" hidden="0" customHeight="1">
      <x:c r="A20" s="51" t="n">
        <x:v>7</x:v>
      </x:c>
      <x:c r="B20" s="51" t="n">
        <x:v>1</x:v>
      </x:c>
      <x:c r="C20" s="23" t="s">
        <x:v>20</x:v>
      </x:c>
      <x:c r="D20" s="24" t="n">
        <x:f aca="0">D19+E20</x:f>
        <x:v>4700</x:v>
      </x:c>
      <x:c r="E20" s="24" t="n">
        <x:f aca="0">ROUND($B$8*(1+$B$9)^(A20-2)/$B$10,0)*$B$10</x:f>
        <x:v>800</x:v>
      </x:c>
      <x:c r="F20" s="52" t="n">
        <x:f aca="0">E20/E19-1</x:f>
        <x:v>0.1428571428571428</x:v>
      </x:c>
      <x:c r="G20" s="24" t="n">
        <x:f aca="0">ROUNDUP(E20*7/$B$11,0)</x:f>
        <x:v>10</x:v>
      </x:c>
      <x:c r="H20" s="24" t="n">
        <x:f aca="0">COUNTIFS(样本回放!$D$7:$D$318,"是",样本回放!$C$7:$C$318,"&gt;="&amp;D20,样本回放!$C$7:$C$318,"&lt;"&amp;D21)</x:f>
        <x:v>4</x:v>
      </x:c>
      <x:c r="I20" s="52" t="n">
        <x:f aca="0">H20/COUNTIF(样本回放!$D$7:$D$318,"是")</x:f>
        <x:v>0.012861736334405145</x:v>
      </x:c>
      <x:c r="J20" s="1" t="s">
        <x:v>190</x:v>
      </x:c>
      <x:c r="K20" s="1"/>
      <x:c r="L20" s="1"/>
      <x:c r="M20" s="1"/>
    </x:row>
    <x:row r="21" ht="20" hidden="0" customHeight="1">
      <x:c r="A21" s="51" t="n">
        <x:v>8</x:v>
      </x:c>
      <x:c r="B21" s="51" t="n">
        <x:v>1</x:v>
      </x:c>
      <x:c r="C21" s="23" t="s">
        <x:v>20</x:v>
      </x:c>
      <x:c r="D21" s="24" t="n">
        <x:f aca="0">D20+E21</x:f>
        <x:v>5500</x:v>
      </x:c>
      <x:c r="E21" s="24" t="n">
        <x:f aca="0">ROUND($B$8*(1+$B$9)^(A21-2)/$B$10,0)*$B$10</x:f>
        <x:v>800</x:v>
      </x:c>
      <x:c r="F21" s="52" t="n">
        <x:f aca="0">E21/E20-1</x:f>
        <x:v>0</x:v>
      </x:c>
      <x:c r="G21" s="24" t="n">
        <x:f aca="0">ROUNDUP(E21*7/$B$11,0)</x:f>
        <x:v>10</x:v>
      </x:c>
      <x:c r="H21" s="24" t="n">
        <x:f aca="0">COUNTIFS(样本回放!$D$7:$D$318,"是",样本回放!$C$7:$C$318,"&gt;="&amp;D21,样本回放!$C$7:$C$318,"&lt;"&amp;D22)</x:f>
        <x:v>6</x:v>
      </x:c>
      <x:c r="I21" s="52" t="n">
        <x:f aca="0">H21/COUNTIF(样本回放!$D$7:$D$318,"是")</x:f>
        <x:v>0.01929260450160772</x:v>
      </x:c>
      <x:c r="J21" s="1" t="s">
        <x:v>190</x:v>
      </x:c>
      <x:c r="K21" s="1"/>
      <x:c r="L21" s="1"/>
      <x:c r="M21" s="1"/>
    </x:row>
    <x:row r="22" ht="20" hidden="0" customHeight="1">
      <x:c r="A22" s="51" t="n">
        <x:v>9</x:v>
      </x:c>
      <x:c r="B22" s="51" t="n">
        <x:v>1</x:v>
      </x:c>
      <x:c r="C22" s="23" t="s">
        <x:v>20</x:v>
      </x:c>
      <x:c r="D22" s="24" t="n">
        <x:f aca="0">D21+E22</x:f>
        <x:v>6400</x:v>
      </x:c>
      <x:c r="E22" s="24" t="n">
        <x:f aca="0">ROUND($B$8*(1+$B$9)^(A22-2)/$B$10,0)*$B$10</x:f>
        <x:v>900</x:v>
      </x:c>
      <x:c r="F22" s="52" t="n">
        <x:f aca="0">E22/E21-1</x:f>
        <x:v>0.125</x:v>
      </x:c>
      <x:c r="G22" s="24" t="n">
        <x:f aca="0">ROUNDUP(E22*7/$B$11,0)</x:f>
        <x:v>11</x:v>
      </x:c>
      <x:c r="H22" s="24" t="n">
        <x:f aca="0">COUNTIFS(样本回放!$D$7:$D$318,"是",样本回放!$C$7:$C$318,"&gt;="&amp;D22,样本回放!$C$7:$C$318,"&lt;"&amp;D23)</x:f>
        <x:v>7</x:v>
      </x:c>
      <x:c r="I22" s="52" t="n">
        <x:f aca="0">H22/COUNTIF(样本回放!$D$7:$D$318,"是")</x:f>
        <x:v>0.022508038585209004</x:v>
      </x:c>
      <x:c r="J22" s="1" t="s">
        <x:v>190</x:v>
      </x:c>
      <x:c r="K22" s="1"/>
      <x:c r="L22" s="1"/>
      <x:c r="M22" s="1"/>
    </x:row>
    <x:row r="23" ht="20" hidden="0" customHeight="1">
      <x:c r="A23" s="51" t="n">
        <x:v>10</x:v>
      </x:c>
      <x:c r="B23" s="51" t="n">
        <x:v>1</x:v>
      </x:c>
      <x:c r="C23" s="23" t="s">
        <x:v>20</x:v>
      </x:c>
      <x:c r="D23" s="24" t="n">
        <x:f aca="0">D22+E23</x:f>
        <x:v>7400</x:v>
      </x:c>
      <x:c r="E23" s="24" t="n">
        <x:f aca="0">ROUND($B$8*(1+$B$9)^(A23-2)/$B$10,0)*$B$10</x:f>
        <x:v>1000</x:v>
      </x:c>
      <x:c r="F23" s="52" t="n">
        <x:f aca="0">E23/E22-1</x:f>
        <x:v>0.11111111111111116</x:v>
      </x:c>
      <x:c r="G23" s="24" t="n">
        <x:f aca="0">ROUNDUP(E23*7/$B$11,0)</x:f>
        <x:v>12</x:v>
      </x:c>
      <x:c r="H23" s="24" t="n">
        <x:f aca="0">COUNTIFS(样本回放!$D$7:$D$318,"是",样本回放!$C$7:$C$318,"&gt;="&amp;D23,样本回放!$C$7:$C$318,"&lt;"&amp;D24)</x:f>
        <x:v>9</x:v>
      </x:c>
      <x:c r="I23" s="52" t="n">
        <x:f aca="0">H23/COUNTIF(样本回放!$D$7:$D$318,"是")</x:f>
        <x:v>0.028938906752411574</x:v>
      </x:c>
      <x:c r="J23" s="1" t="s">
        <x:v>190</x:v>
      </x:c>
      <x:c r="K23" s="1"/>
      <x:c r="L23" s="1"/>
      <x:c r="M23" s="1"/>
    </x:row>
    <x:row r="24" ht="20" hidden="0" customHeight="1">
      <x:c r="A24" s="51" t="n">
        <x:v>11</x:v>
      </x:c>
      <x:c r="B24" s="51" t="n">
        <x:v>1</x:v>
      </x:c>
      <x:c r="C24" s="23" t="s">
        <x:v>20</x:v>
      </x:c>
      <x:c r="D24" s="24" t="n">
        <x:f aca="0">D23+E24</x:f>
        <x:v>8400</x:v>
      </x:c>
      <x:c r="E24" s="24" t="n">
        <x:f aca="0">ROUND($B$8*(1+$B$9)^(A24-2)/$B$10,0)*$B$10</x:f>
        <x:v>1000</x:v>
      </x:c>
      <x:c r="F24" s="52" t="n">
        <x:f aca="0">E24/E23-1</x:f>
        <x:v>0</x:v>
      </x:c>
      <x:c r="G24" s="24" t="n">
        <x:f aca="0">ROUNDUP(E24*7/$B$11,0)</x:f>
        <x:v>12</x:v>
      </x:c>
      <x:c r="H24" s="24" t="n">
        <x:f aca="0">COUNTIFS(样本回放!$D$7:$D$318,"是",样本回放!$C$7:$C$318,"&gt;="&amp;D24,样本回放!$C$7:$C$318,"&lt;"&amp;D25)</x:f>
        <x:v>9</x:v>
      </x:c>
      <x:c r="I24" s="52" t="n">
        <x:f aca="0">H24/COUNTIF(样本回放!$D$7:$D$318,"是")</x:f>
        <x:v>0.028938906752411574</x:v>
      </x:c>
      <x:c r="J24" s="1" t="s">
        <x:v>190</x:v>
      </x:c>
      <x:c r="K24" s="1"/>
      <x:c r="L24" s="1"/>
      <x:c r="M24" s="1"/>
    </x:row>
    <x:row r="25" ht="20" hidden="0" customHeight="1">
      <x:c r="A25" s="51" t="n">
        <x:v>12</x:v>
      </x:c>
      <x:c r="B25" s="51" t="n">
        <x:v>1</x:v>
      </x:c>
      <x:c r="C25" s="23" t="s">
        <x:v>20</x:v>
      </x:c>
      <x:c r="D25" s="24" t="n">
        <x:f aca="0">D24+E25</x:f>
        <x:v>9500</x:v>
      </x:c>
      <x:c r="E25" s="24" t="n">
        <x:f aca="0">ROUND($B$8*(1+$B$9)^(A25-2)/$B$10,0)*$B$10</x:f>
        <x:v>1100</x:v>
      </x:c>
      <x:c r="F25" s="52" t="n">
        <x:f aca="0">E25/E24-1</x:f>
        <x:v>0.10000000000000009</x:v>
      </x:c>
      <x:c r="G25" s="24" t="n">
        <x:f aca="0">ROUNDUP(E25*7/$B$11,0)</x:f>
        <x:v>13</x:v>
      </x:c>
      <x:c r="H25" s="24" t="n">
        <x:f aca="0">COUNTIFS(样本回放!$D$7:$D$318,"是",样本回放!$C$7:$C$318,"&gt;="&amp;D25,样本回放!$C$7:$C$318,"&lt;"&amp;D26)</x:f>
        <x:v>2</x:v>
      </x:c>
      <x:c r="I25" s="52" t="n">
        <x:f aca="0">H25/COUNTIF(样本回放!$D$7:$D$318,"是")</x:f>
        <x:v>0.006430868167202572</x:v>
      </x:c>
      <x:c r="J25" s="1" t="s">
        <x:v>190</x:v>
      </x:c>
      <x:c r="K25" s="1"/>
      <x:c r="L25" s="1"/>
      <x:c r="M25" s="1"/>
    </x:row>
    <x:row r="26" ht="20" hidden="0" customHeight="1">
      <x:c r="A26" s="51" t="n">
        <x:v>13</x:v>
      </x:c>
      <x:c r="B26" s="51" t="n">
        <x:v>1</x:v>
      </x:c>
      <x:c r="C26" s="23" t="s">
        <x:v>20</x:v>
      </x:c>
      <x:c r="D26" s="24" t="n">
        <x:f aca="0">D25+E26</x:f>
        <x:v>10700</x:v>
      </x:c>
      <x:c r="E26" s="24" t="n">
        <x:f aca="0">ROUND($B$8*(1+$B$9)^(A26-2)/$B$10,0)*$B$10</x:f>
        <x:v>1200</x:v>
      </x:c>
      <x:c r="F26" s="52" t="n">
        <x:f aca="0">E26/E25-1</x:f>
        <x:v>0.09090909090909083</x:v>
      </x:c>
      <x:c r="G26" s="24" t="n">
        <x:f aca="0">ROUNDUP(E26*7/$B$11,0)</x:f>
        <x:v>14</x:v>
      </x:c>
      <x:c r="H26" s="24" t="n">
        <x:f aca="0">COUNTIFS(样本回放!$D$7:$D$318,"是",样本回放!$C$7:$C$318,"&gt;="&amp;D26,样本回放!$C$7:$C$318,"&lt;"&amp;D27)</x:f>
        <x:v>8</x:v>
      </x:c>
      <x:c r="I26" s="52" t="n">
        <x:f aca="0">H26/COUNTIF(样本回放!$D$7:$D$318,"是")</x:f>
        <x:v>0.02572347266881029</x:v>
      </x:c>
      <x:c r="J26" s="1" t="s">
        <x:v>190</x:v>
      </x:c>
      <x:c r="K26" s="1"/>
      <x:c r="L26" s="1"/>
      <x:c r="M26" s="1"/>
    </x:row>
    <x:row r="27" ht="20" hidden="0" customHeight="1">
      <x:c r="A27" s="51" t="n">
        <x:v>14</x:v>
      </x:c>
      <x:c r="B27" s="51" t="n">
        <x:v>1</x:v>
      </x:c>
      <x:c r="C27" s="23" t="s">
        <x:v>20</x:v>
      </x:c>
      <x:c r="D27" s="24" t="n">
        <x:f aca="0">D26+E27</x:f>
        <x:v>12000</x:v>
      </x:c>
      <x:c r="E27" s="24" t="n">
        <x:f aca="0">ROUND($B$8*(1+$B$9)^(A27-2)/$B$10,0)*$B$10</x:f>
        <x:v>1300</x:v>
      </x:c>
      <x:c r="F27" s="52" t="n">
        <x:f aca="0">E27/E26-1</x:f>
        <x:v>0.08333333333333326</x:v>
      </x:c>
      <x:c r="G27" s="24" t="n">
        <x:f aca="0">ROUNDUP(E27*7/$B$11,0)</x:f>
        <x:v>15</x:v>
      </x:c>
      <x:c r="H27" s="24" t="n">
        <x:f aca="0">COUNTIFS(样本回放!$D$7:$D$318,"是",样本回放!$C$7:$C$318,"&gt;="&amp;D27,样本回放!$C$7:$C$318,"&lt;"&amp;D28)</x:f>
        <x:v>5</x:v>
      </x:c>
      <x:c r="I27" s="52" t="n">
        <x:f aca="0">H27/COUNTIF(样本回放!$D$7:$D$318,"是")</x:f>
        <x:v>0.01607717041800643</x:v>
      </x:c>
      <x:c r="J27" s="1" t="s">
        <x:v>190</x:v>
      </x:c>
      <x:c r="K27" s="1"/>
      <x:c r="L27" s="1"/>
      <x:c r="M27" s="1"/>
    </x:row>
    <x:row r="28" ht="20" hidden="0" customHeight="1">
      <x:c r="A28" s="51" t="n">
        <x:v>15</x:v>
      </x:c>
      <x:c r="B28" s="51" t="n">
        <x:v>1</x:v>
      </x:c>
      <x:c r="C28" s="23" t="s">
        <x:v>20</x:v>
      </x:c>
      <x:c r="D28" s="24" t="n">
        <x:f aca="0">D27+E28</x:f>
        <x:v>13400</x:v>
      </x:c>
      <x:c r="E28" s="24" t="n">
        <x:f aca="0">ROUND($B$8*(1+$B$9)^(A28-2)/$B$10,0)*$B$10</x:f>
        <x:v>1400</x:v>
      </x:c>
      <x:c r="F28" s="52" t="n">
        <x:f aca="0">E28/E27-1</x:f>
        <x:v>0.07692307692307687</x:v>
      </x:c>
      <x:c r="G28" s="24" t="n">
        <x:f aca="0">ROUNDUP(E28*7/$B$11,0)</x:f>
        <x:v>16</x:v>
      </x:c>
      <x:c r="H28" s="24" t="n">
        <x:f aca="0">COUNTIFS(样本回放!$D$7:$D$318,"是",样本回放!$C$7:$C$318,"&gt;="&amp;D28,样本回放!$C$7:$C$318,"&lt;"&amp;D29)</x:f>
        <x:v>2</x:v>
      </x:c>
      <x:c r="I28" s="52" t="n">
        <x:f aca="0">H28/COUNTIF(样本回放!$D$7:$D$318,"是")</x:f>
        <x:v>0.006430868167202572</x:v>
      </x:c>
      <x:c r="J28" s="1" t="s">
        <x:v>190</x:v>
      </x:c>
      <x:c r="K28" s="1"/>
      <x:c r="L28" s="1"/>
      <x:c r="M28" s="1"/>
    </x:row>
    <x:row r="29" ht="20" hidden="0" customHeight="1">
      <x:c r="A29" s="51" t="n">
        <x:v>16</x:v>
      </x:c>
      <x:c r="B29" s="51" t="n">
        <x:v>1</x:v>
      </x:c>
      <x:c r="C29" s="23" t="s">
        <x:v>20</x:v>
      </x:c>
      <x:c r="D29" s="24" t="n">
        <x:f aca="0">D28+E29</x:f>
        <x:v>15000</x:v>
      </x:c>
      <x:c r="E29" s="24" t="n">
        <x:f aca="0">ROUND($B$8*(1+$B$9)^(A29-2)/$B$10,0)*$B$10</x:f>
        <x:v>1600</x:v>
      </x:c>
      <x:c r="F29" s="52" t="n">
        <x:f aca="0">E29/E28-1</x:f>
        <x:v>0.1428571428571428</x:v>
      </x:c>
      <x:c r="G29" s="24" t="n">
        <x:f aca="0">ROUNDUP(E29*7/$B$11,0)</x:f>
        <x:v>19</x:v>
      </x:c>
      <x:c r="H29" s="24" t="n">
        <x:f aca="0">COUNTIFS(样本回放!$D$7:$D$318,"是",样本回放!$C$7:$C$318,"&gt;="&amp;D29,样本回放!$C$7:$C$318,"&lt;"&amp;D30)</x:f>
        <x:v>8</x:v>
      </x:c>
      <x:c r="I29" s="52" t="n">
        <x:f aca="0">H29/COUNTIF(样本回放!$D$7:$D$318,"是")</x:f>
        <x:v>0.02572347266881029</x:v>
      </x:c>
      <x:c r="J29" s="1" t="s">
        <x:v>190</x:v>
      </x:c>
      <x:c r="K29" s="1"/>
      <x:c r="L29" s="1"/>
      <x:c r="M29" s="1"/>
    </x:row>
    <x:row r="30" ht="20" hidden="0" customHeight="1">
      <x:c r="A30" s="51" t="n">
        <x:v>17</x:v>
      </x:c>
      <x:c r="B30" s="51" t="n">
        <x:v>1</x:v>
      </x:c>
      <x:c r="C30" s="23" t="s">
        <x:v>20</x:v>
      </x:c>
      <x:c r="D30" s="24" t="n">
        <x:f aca="0">D29+E30</x:f>
        <x:v>16700</x:v>
      </x:c>
      <x:c r="E30" s="24" t="n">
        <x:f aca="0">ROUND($B$8*(1+$B$9)^(A30-2)/$B$10,0)*$B$10</x:f>
        <x:v>1700</x:v>
      </x:c>
      <x:c r="F30" s="52" t="n">
        <x:f aca="0">E30/E29-1</x:f>
        <x:v>0.0625</x:v>
      </x:c>
      <x:c r="G30" s="24" t="n">
        <x:f aca="0">ROUNDUP(E30*7/$B$11,0)</x:f>
        <x:v>20</x:v>
      </x:c>
      <x:c r="H30" s="24" t="n">
        <x:f aca="0">COUNTIFS(样本回放!$D$7:$D$318,"是",样本回放!$C$7:$C$318,"&gt;="&amp;D30,样本回放!$C$7:$C$318,"&lt;"&amp;D31)</x:f>
        <x:v>8</x:v>
      </x:c>
      <x:c r="I30" s="52" t="n">
        <x:f aca="0">H30/COUNTIF(样本回放!$D$7:$D$318,"是")</x:f>
        <x:v>0.02572347266881029</x:v>
      </x:c>
      <x:c r="J30" s="1" t="s">
        <x:v>190</x:v>
      </x:c>
      <x:c r="K30" s="1"/>
      <x:c r="L30" s="1"/>
      <x:c r="M30" s="1"/>
    </x:row>
    <x:row r="31" ht="20" hidden="0" customHeight="1">
      <x:c r="A31" s="51" t="n">
        <x:v>18</x:v>
      </x:c>
      <x:c r="B31" s="51" t="n">
        <x:v>1</x:v>
      </x:c>
      <x:c r="C31" s="23" t="s">
        <x:v>20</x:v>
      </x:c>
      <x:c r="D31" s="24" t="n">
        <x:f aca="0">D30+E31</x:f>
        <x:v>18500</x:v>
      </x:c>
      <x:c r="E31" s="24" t="n">
        <x:f aca="0">ROUND($B$8*(1+$B$9)^(A31-2)/$B$10,0)*$B$10</x:f>
        <x:v>1800</x:v>
      </x:c>
      <x:c r="F31" s="52" t="n">
        <x:f aca="0">E31/E30-1</x:f>
        <x:v>0.05882352941176472</x:v>
      </x:c>
      <x:c r="G31" s="24" t="n">
        <x:f aca="0">ROUNDUP(E31*7/$B$11,0)</x:f>
        <x:v>21</x:v>
      </x:c>
      <x:c r="H31" s="24" t="n">
        <x:f aca="0">COUNTIFS(样本回放!$D$7:$D$318,"是",样本回放!$C$7:$C$318,"&gt;="&amp;D31,样本回放!$C$7:$C$318,"&lt;"&amp;D32)</x:f>
        <x:v>3</x:v>
      </x:c>
      <x:c r="I31" s="52" t="n">
        <x:f aca="0">H31/COUNTIF(样本回放!$D$7:$D$318,"是")</x:f>
        <x:v>0.00964630225080386</x:v>
      </x:c>
      <x:c r="J31" s="1" t="s">
        <x:v>190</x:v>
      </x:c>
      <x:c r="K31" s="1"/>
      <x:c r="L31" s="1"/>
      <x:c r="M31" s="1"/>
    </x:row>
    <x:row r="32" ht="20" hidden="0" customHeight="1">
      <x:c r="A32" s="51" t="n">
        <x:v>19</x:v>
      </x:c>
      <x:c r="B32" s="51" t="n">
        <x:v>1</x:v>
      </x:c>
      <x:c r="C32" s="23" t="s">
        <x:v>20</x:v>
      </x:c>
      <x:c r="D32" s="24" t="n">
        <x:f aca="0">D31+E32</x:f>
        <x:v>20500</x:v>
      </x:c>
      <x:c r="E32" s="24" t="n">
        <x:f aca="0">ROUND($B$8*(1+$B$9)^(A32-2)/$B$10,0)*$B$10</x:f>
        <x:v>2000</x:v>
      </x:c>
      <x:c r="F32" s="52" t="n">
        <x:f aca="0">E32/E31-1</x:f>
        <x:v>0.11111111111111116</x:v>
      </x:c>
      <x:c r="G32" s="24" t="n">
        <x:f aca="0">ROUNDUP(E32*7/$B$11,0)</x:f>
        <x:v>23</x:v>
      </x:c>
      <x:c r="H32" s="24" t="n">
        <x:f aca="0">COUNTIFS(样本回放!$D$7:$D$318,"是",样本回放!$C$7:$C$318,"&gt;="&amp;D32,样本回放!$C$7:$C$318,"&lt;"&amp;D33)</x:f>
        <x:v>5</x:v>
      </x:c>
      <x:c r="I32" s="52" t="n">
        <x:f aca="0">H32/COUNTIF(样本回放!$D$7:$D$318,"是")</x:f>
        <x:v>0.01607717041800643</x:v>
      </x:c>
      <x:c r="J32" s="1" t="s">
        <x:v>190</x:v>
      </x:c>
      <x:c r="K32" s="1"/>
      <x:c r="L32" s="1"/>
      <x:c r="M32" s="1"/>
    </x:row>
    <x:row r="33" ht="20" hidden="0" customHeight="1">
      <x:c r="A33" s="51" t="n">
        <x:v>20</x:v>
      </x:c>
      <x:c r="B33" s="51" t="n">
        <x:v>1</x:v>
      </x:c>
      <x:c r="C33" s="23" t="s">
        <x:v>20</x:v>
      </x:c>
      <x:c r="D33" s="24" t="n">
        <x:f aca="0">D32+E33</x:f>
        <x:v>22700</x:v>
      </x:c>
      <x:c r="E33" s="24" t="n">
        <x:f aca="0">ROUND($B$8*(1+$B$9)^(A33-2)/$B$10,0)*$B$10</x:f>
        <x:v>2200</x:v>
      </x:c>
      <x:c r="F33" s="52" t="n">
        <x:f aca="0">E33/E32-1</x:f>
        <x:v>0.10000000000000009</x:v>
      </x:c>
      <x:c r="G33" s="24" t="n">
        <x:f aca="0">ROUNDUP(E33*7/$B$11,0)</x:f>
        <x:v>25</x:v>
      </x:c>
      <x:c r="H33" s="24" t="n">
        <x:f aca="0">COUNTIFS(样本回放!$D$7:$D$318,"是",样本回放!$C$7:$C$318,"&gt;="&amp;D33,样本回放!$C$7:$C$318,"&lt;"&amp;D34)</x:f>
        <x:v>5</x:v>
      </x:c>
      <x:c r="I33" s="52" t="n">
        <x:f aca="0">H33/COUNTIF(样本回放!$D$7:$D$318,"是")</x:f>
        <x:v>0.01607717041800643</x:v>
      </x:c>
      <x:c r="J33" s="1" t="s">
        <x:v>190</x:v>
      </x:c>
      <x:c r="K33" s="1"/>
      <x:c r="L33" s="1"/>
      <x:c r="M33" s="1"/>
    </x:row>
    <x:row r="34" ht="20" hidden="0" customHeight="1">
      <x:c r="A34" s="51" t="n">
        <x:v>21</x:v>
      </x:c>
      <x:c r="B34" s="51" t="n">
        <x:v>2</x:v>
      </x:c>
      <x:c r="C34" s="23" t="s">
        <x:v>26</x:v>
      </x:c>
      <x:c r="D34" s="24" t="n">
        <x:f aca="0">D33+E34</x:f>
        <x:v>25100</x:v>
      </x:c>
      <x:c r="E34" s="24" t="n">
        <x:f aca="0">ROUND($B$8*(1+$B$9)^(A34-2)/$B$10,0)*$B$10</x:f>
        <x:v>2400</x:v>
      </x:c>
      <x:c r="F34" s="52" t="n">
        <x:f aca="0">E34/E33-1</x:f>
        <x:v>0.09090909090909083</x:v>
      </x:c>
      <x:c r="G34" s="24" t="n">
        <x:f aca="0">ROUNDUP(E34*7/$B$11,0)</x:f>
        <x:v>28</x:v>
      </x:c>
      <x:c r="H34" s="24" t="n">
        <x:f aca="0">COUNTIFS(样本回放!$D$7:$D$318,"是",样本回放!$C$7:$C$318,"&gt;="&amp;D34,样本回放!$C$7:$C$318,"&lt;"&amp;D35)</x:f>
        <x:v>4</x:v>
      </x:c>
      <x:c r="I34" s="52" t="n">
        <x:f aca="0">H34/COUNTIF(样本回放!$D$7:$D$318,"是")</x:f>
        <x:v>0.012861736334405145</x:v>
      </x:c>
      <x:c r="J34" s="1" t="s">
        <x:v>191</x:v>
      </x:c>
      <x:c r="K34" s="1"/>
      <x:c r="L34" s="1"/>
      <x:c r="M34" s="1"/>
    </x:row>
    <x:row r="35" ht="20" hidden="0" customHeight="1">
      <x:c r="A35" s="51" t="n">
        <x:v>22</x:v>
      </x:c>
      <x:c r="B35" s="51" t="n">
        <x:v>2</x:v>
      </x:c>
      <x:c r="C35" s="23" t="s">
        <x:v>26</x:v>
      </x:c>
      <x:c r="D35" s="24" t="n">
        <x:f aca="0">D34+E35</x:f>
        <x:v>27700</x:v>
      </x:c>
      <x:c r="E35" s="24" t="n">
        <x:f aca="0">ROUND($B$8*(1+$B$9)^(A35-2)/$B$10,0)*$B$10</x:f>
        <x:v>2600</x:v>
      </x:c>
      <x:c r="F35" s="52" t="n">
        <x:f aca="0">E35/E34-1</x:f>
        <x:v>0.08333333333333326</x:v>
      </x:c>
      <x:c r="G35" s="24" t="n">
        <x:f aca="0">ROUNDUP(E35*7/$B$11,0)</x:f>
        <x:v>30</x:v>
      </x:c>
      <x:c r="H35" s="24" t="n">
        <x:f aca="0">COUNTIFS(样本回放!$D$7:$D$318,"是",样本回放!$C$7:$C$318,"&gt;="&amp;D35,样本回放!$C$7:$C$318,"&lt;"&amp;D36)</x:f>
        <x:v>4</x:v>
      </x:c>
      <x:c r="I35" s="52" t="n">
        <x:f aca="0">H35/COUNTIF(样本回放!$D$7:$D$318,"是")</x:f>
        <x:v>0.012861736334405145</x:v>
      </x:c>
      <x:c r="J35" s="1" t="s">
        <x:v>190</x:v>
      </x:c>
      <x:c r="K35" s="1"/>
      <x:c r="L35" s="1"/>
      <x:c r="M35" s="1"/>
    </x:row>
    <x:row r="36" ht="20" hidden="0" customHeight="1">
      <x:c r="A36" s="51" t="n">
        <x:v>23</x:v>
      </x:c>
      <x:c r="B36" s="51" t="n">
        <x:v>2</x:v>
      </x:c>
      <x:c r="C36" s="23" t="s">
        <x:v>26</x:v>
      </x:c>
      <x:c r="D36" s="24" t="n">
        <x:f aca="0">D35+E36</x:f>
        <x:v>30500</x:v>
      </x:c>
      <x:c r="E36" s="24" t="n">
        <x:f aca="0">ROUND($B$8*(1+$B$9)^(A36-2)/$B$10,0)*$B$10</x:f>
        <x:v>2800</x:v>
      </x:c>
      <x:c r="F36" s="52" t="n">
        <x:f aca="0">E36/E35-1</x:f>
        <x:v>0.07692307692307687</x:v>
      </x:c>
      <x:c r="G36" s="24" t="n">
        <x:f aca="0">ROUNDUP(E36*7/$B$11,0)</x:f>
        <x:v>32</x:v>
      </x:c>
      <x:c r="H36" s="24" t="n">
        <x:f aca="0">COUNTIFS(样本回放!$D$7:$D$318,"是",样本回放!$C$7:$C$318,"&gt;="&amp;D36,样本回放!$C$7:$C$318,"&lt;"&amp;D37)</x:f>
        <x:v>7</x:v>
      </x:c>
      <x:c r="I36" s="52" t="n">
        <x:f aca="0">H36/COUNTIF(样本回放!$D$7:$D$318,"是")</x:f>
        <x:v>0.022508038585209004</x:v>
      </x:c>
      <x:c r="J36" s="1" t="s">
        <x:v>190</x:v>
      </x:c>
      <x:c r="K36" s="1"/>
      <x:c r="L36" s="1"/>
      <x:c r="M36" s="1"/>
    </x:row>
    <x:row r="37" ht="20" hidden="0" customHeight="1">
      <x:c r="A37" s="51" t="n">
        <x:v>24</x:v>
      </x:c>
      <x:c r="B37" s="51" t="n">
        <x:v>2</x:v>
      </x:c>
      <x:c r="C37" s="23" t="s">
        <x:v>26</x:v>
      </x:c>
      <x:c r="D37" s="24" t="n">
        <x:f aca="0">D36+E37</x:f>
        <x:v>33500</x:v>
      </x:c>
      <x:c r="E37" s="24" t="n">
        <x:f aca="0">ROUND($B$8*(1+$B$9)^(A37-2)/$B$10,0)*$B$10</x:f>
        <x:v>3000</x:v>
      </x:c>
      <x:c r="F37" s="52" t="n">
        <x:f aca="0">E37/E36-1</x:f>
        <x:v>0.0714285714285714</x:v>
      </x:c>
      <x:c r="G37" s="24" t="n">
        <x:f aca="0">ROUNDUP(E37*7/$B$11,0)</x:f>
        <x:v>34</x:v>
      </x:c>
      <x:c r="H37" s="24" t="n">
        <x:f aca="0">COUNTIFS(样本回放!$D$7:$D$318,"是",样本回放!$C$7:$C$318,"&gt;="&amp;D37,样本回放!$C$7:$C$318,"&lt;"&amp;D38)</x:f>
        <x:v>4</x:v>
      </x:c>
      <x:c r="I37" s="52" t="n">
        <x:f aca="0">H37/COUNTIF(样本回放!$D$7:$D$318,"是")</x:f>
        <x:v>0.012861736334405145</x:v>
      </x:c>
      <x:c r="J37" s="1" t="s">
        <x:v>190</x:v>
      </x:c>
      <x:c r="K37" s="1"/>
      <x:c r="L37" s="1"/>
      <x:c r="M37" s="1"/>
    </x:row>
    <x:row r="38" ht="20" hidden="0" customHeight="1">
      <x:c r="A38" s="51" t="n">
        <x:v>25</x:v>
      </x:c>
      <x:c r="B38" s="51" t="n">
        <x:v>2</x:v>
      </x:c>
      <x:c r="C38" s="23" t="s">
        <x:v>26</x:v>
      </x:c>
      <x:c r="D38" s="24" t="n">
        <x:f aca="0">D37+E38</x:f>
        <x:v>36800</x:v>
      </x:c>
      <x:c r="E38" s="24" t="n">
        <x:f aca="0">ROUND($B$8*(1+$B$9)^(A38-2)/$B$10,0)*$B$10</x:f>
        <x:v>3300</x:v>
      </x:c>
      <x:c r="F38" s="52" t="n">
        <x:f aca="0">E38/E37-1</x:f>
        <x:v>0.10000000000000009</x:v>
      </x:c>
      <x:c r="G38" s="24" t="n">
        <x:f aca="0">ROUNDUP(E38*7/$B$11,0)</x:f>
        <x:v>38</x:v>
      </x:c>
      <x:c r="H38" s="24" t="n">
        <x:f aca="0">COUNTIFS(样本回放!$D$7:$D$318,"是",样本回放!$C$7:$C$318,"&gt;="&amp;D38,样本回放!$C$7:$C$318,"&lt;"&amp;D39)</x:f>
        <x:v>8</x:v>
      </x:c>
      <x:c r="I38" s="52" t="n">
        <x:f aca="0">H38/COUNTIF(样本回放!$D$7:$D$318,"是")</x:f>
        <x:v>0.02572347266881029</x:v>
      </x:c>
      <x:c r="J38" s="1" t="s">
        <x:v>190</x:v>
      </x:c>
      <x:c r="K38" s="1"/>
      <x:c r="L38" s="1"/>
      <x:c r="M38" s="1"/>
    </x:row>
    <x:row r="39" ht="20" hidden="0" customHeight="1">
      <x:c r="A39" s="51" t="n">
        <x:v>26</x:v>
      </x:c>
      <x:c r="B39" s="51" t="n">
        <x:v>2</x:v>
      </x:c>
      <x:c r="C39" s="23" t="s">
        <x:v>26</x:v>
      </x:c>
      <x:c r="D39" s="24" t="n">
        <x:f aca="0">D38+E39</x:f>
        <x:v>40300</x:v>
      </x:c>
      <x:c r="E39" s="24" t="n">
        <x:f aca="0">ROUND($B$8*(1+$B$9)^(A39-2)/$B$10,0)*$B$10</x:f>
        <x:v>3500</x:v>
      </x:c>
      <x:c r="F39" s="52" t="n">
        <x:f aca="0">E39/E38-1</x:f>
        <x:v>0.06060606060606055</x:v>
      </x:c>
      <x:c r="G39" s="24" t="n">
        <x:f aca="0">ROUNDUP(E39*7/$B$11,0)</x:f>
        <x:v>40</x:v>
      </x:c>
      <x:c r="H39" s="24" t="n">
        <x:f aca="0">COUNTIFS(样本回放!$D$7:$D$318,"是",样本回放!$C$7:$C$318,"&gt;="&amp;D39,样本回放!$C$7:$C$318,"&lt;"&amp;D40)</x:f>
        <x:v>9</x:v>
      </x:c>
      <x:c r="I39" s="52" t="n">
        <x:f aca="0">H39/COUNTIF(样本回放!$D$7:$D$318,"是")</x:f>
        <x:v>0.028938906752411574</x:v>
      </x:c>
      <x:c r="J39" s="1" t="s">
        <x:v>190</x:v>
      </x:c>
      <x:c r="K39" s="1"/>
      <x:c r="L39" s="1"/>
      <x:c r="M39" s="1"/>
    </x:row>
    <x:row r="40" ht="20" hidden="0" customHeight="1">
      <x:c r="A40" s="51" t="n">
        <x:v>27</x:v>
      </x:c>
      <x:c r="B40" s="51" t="n">
        <x:v>2</x:v>
      </x:c>
      <x:c r="C40" s="23" t="s">
        <x:v>26</x:v>
      </x:c>
      <x:c r="D40" s="24" t="n">
        <x:f aca="0">D39+E40</x:f>
        <x:v>44100</x:v>
      </x:c>
      <x:c r="E40" s="24" t="n">
        <x:f aca="0">ROUND($B$8*(1+$B$9)^(A40-2)/$B$10,0)*$B$10</x:f>
        <x:v>3800</x:v>
      </x:c>
      <x:c r="F40" s="52" t="n">
        <x:f aca="0">E40/E39-1</x:f>
        <x:v>0.08571428571428563</x:v>
      </x:c>
      <x:c r="G40" s="24" t="n">
        <x:f aca="0">ROUNDUP(E40*7/$B$11,0)</x:f>
        <x:v>43</x:v>
      </x:c>
      <x:c r="H40" s="24" t="n">
        <x:f aca="0">COUNTIFS(样本回放!$D$7:$D$318,"是",样本回放!$C$7:$C$318,"&gt;="&amp;D40,样本回放!$C$7:$C$318,"&lt;"&amp;D41)</x:f>
        <x:v>6</x:v>
      </x:c>
      <x:c r="I40" s="52" t="n">
        <x:f aca="0">H40/COUNTIF(样本回放!$D$7:$D$318,"是")</x:f>
        <x:v>0.01929260450160772</x:v>
      </x:c>
      <x:c r="J40" s="1" t="s">
        <x:v>190</x:v>
      </x:c>
      <x:c r="K40" s="1"/>
      <x:c r="L40" s="1"/>
      <x:c r="M40" s="1"/>
    </x:row>
    <x:row r="41" ht="20" hidden="0" customHeight="1">
      <x:c r="A41" s="51" t="n">
        <x:v>28</x:v>
      </x:c>
      <x:c r="B41" s="51" t="n">
        <x:v>2</x:v>
      </x:c>
      <x:c r="C41" s="23" t="s">
        <x:v>26</x:v>
      </x:c>
      <x:c r="D41" s="24" t="n">
        <x:f aca="0">D40+E41</x:f>
        <x:v>48300</x:v>
      </x:c>
      <x:c r="E41" s="24" t="n">
        <x:f aca="0">ROUND($B$8*(1+$B$9)^(A41-2)/$B$10,0)*$B$10</x:f>
        <x:v>4200</x:v>
      </x:c>
      <x:c r="F41" s="52" t="n">
        <x:f aca="0">E41/E40-1</x:f>
        <x:v>0.10526315789473695</x:v>
      </x:c>
      <x:c r="G41" s="24" t="n">
        <x:f aca="0">ROUNDUP(E41*7/$B$11,0)</x:f>
        <x:v>48</x:v>
      </x:c>
      <x:c r="H41" s="24" t="n">
        <x:f aca="0">COUNTIFS(样本回放!$D$7:$D$318,"是",样本回放!$C$7:$C$318,"&gt;="&amp;D41,样本回放!$C$7:$C$318,"&lt;"&amp;D42)</x:f>
        <x:v>5</x:v>
      </x:c>
      <x:c r="I41" s="52" t="n">
        <x:f aca="0">H41/COUNTIF(样本回放!$D$7:$D$318,"是")</x:f>
        <x:v>0.01607717041800643</x:v>
      </x:c>
      <x:c r="J41" s="1" t="s">
        <x:v>190</x:v>
      </x:c>
      <x:c r="K41" s="1"/>
      <x:c r="L41" s="1"/>
      <x:c r="M41" s="1"/>
    </x:row>
    <x:row r="42" ht="20" hidden="0" customHeight="1">
      <x:c r="A42" s="51" t="n">
        <x:v>29</x:v>
      </x:c>
      <x:c r="B42" s="51" t="n">
        <x:v>2</x:v>
      </x:c>
      <x:c r="C42" s="23" t="s">
        <x:v>26</x:v>
      </x:c>
      <x:c r="D42" s="24" t="n">
        <x:f aca="0">D41+E42</x:f>
        <x:v>52800</x:v>
      </x:c>
      <x:c r="E42" s="24" t="n">
        <x:f aca="0">ROUND($B$8*(1+$B$9)^(A42-2)/$B$10,0)*$B$10</x:f>
        <x:v>4500</x:v>
      </x:c>
      <x:c r="F42" s="52" t="n">
        <x:f aca="0">E42/E41-1</x:f>
        <x:v>0.0714285714285714</x:v>
      </x:c>
      <x:c r="G42" s="24" t="n">
        <x:f aca="0">ROUNDUP(E42*7/$B$11,0)</x:f>
        <x:v>51</x:v>
      </x:c>
      <x:c r="H42" s="24" t="n">
        <x:f aca="0">COUNTIFS(样本回放!$D$7:$D$318,"是",样本回放!$C$7:$C$318,"&gt;="&amp;D42,样本回放!$C$7:$C$318,"&lt;"&amp;D43)</x:f>
        <x:v>3</x:v>
      </x:c>
      <x:c r="I42" s="52" t="n">
        <x:f aca="0">H42/COUNTIF(样本回放!$D$7:$D$318,"是")</x:f>
        <x:v>0.00964630225080386</x:v>
      </x:c>
      <x:c r="J42" s="1" t="s">
        <x:v>190</x:v>
      </x:c>
      <x:c r="K42" s="1"/>
      <x:c r="L42" s="1"/>
      <x:c r="M42" s="1"/>
    </x:row>
    <x:row r="43" ht="20" hidden="0" customHeight="1">
      <x:c r="A43" s="51" t="n">
        <x:v>30</x:v>
      </x:c>
      <x:c r="B43" s="51" t="n">
        <x:v>2</x:v>
      </x:c>
      <x:c r="C43" s="23" t="s">
        <x:v>26</x:v>
      </x:c>
      <x:c r="D43" s="24" t="n">
        <x:f aca="0">D42+E43</x:f>
        <x:v>57700</x:v>
      </x:c>
      <x:c r="E43" s="24" t="n">
        <x:f aca="0">ROUND($B$8*(1+$B$9)^(A43-2)/$B$10,0)*$B$10</x:f>
        <x:v>4900</x:v>
      </x:c>
      <x:c r="F43" s="52" t="n">
        <x:f aca="0">E43/E42-1</x:f>
        <x:v>0.0888888888888888</x:v>
      </x:c>
      <x:c r="G43" s="24" t="n">
        <x:f aca="0">ROUNDUP(E43*7/$B$11,0)</x:f>
        <x:v>56</x:v>
      </x:c>
      <x:c r="H43" s="24" t="n">
        <x:f aca="0">COUNTIFS(样本回放!$D$7:$D$318,"是",样本回放!$C$7:$C$318,"&gt;="&amp;D43,样本回放!$C$7:$C$318,"&lt;"&amp;D44)</x:f>
        <x:v>3</x:v>
      </x:c>
      <x:c r="I43" s="52" t="n">
        <x:f aca="0">H43/COUNTIF(样本回放!$D$7:$D$318,"是")</x:f>
        <x:v>0.00964630225080386</x:v>
      </x:c>
      <x:c r="J43" s="1" t="s">
        <x:v>190</x:v>
      </x:c>
      <x:c r="K43" s="1"/>
      <x:c r="L43" s="1"/>
      <x:c r="M43" s="1"/>
    </x:row>
    <x:row r="44" ht="20" hidden="0" customHeight="1">
      <x:c r="A44" s="51" t="n">
        <x:v>31</x:v>
      </x:c>
      <x:c r="B44" s="51" t="n">
        <x:v>2</x:v>
      </x:c>
      <x:c r="C44" s="23" t="s">
        <x:v>26</x:v>
      </x:c>
      <x:c r="D44" s="24" t="n">
        <x:f aca="0">D43+E44</x:f>
        <x:v>63000</x:v>
      </x:c>
      <x:c r="E44" s="24" t="n">
        <x:f aca="0">ROUND($B$8*(1+$B$9)^(A44-2)/$B$10,0)*$B$10</x:f>
        <x:v>5300</x:v>
      </x:c>
      <x:c r="F44" s="52" t="n">
        <x:f aca="0">E44/E43-1</x:f>
        <x:v>0.08163265306122458</x:v>
      </x:c>
      <x:c r="G44" s="24" t="n">
        <x:f aca="0">ROUNDUP(E44*7/$B$11,0)</x:f>
        <x:v>60</x:v>
      </x:c>
      <x:c r="H44" s="24" t="n">
        <x:f aca="0">COUNTIFS(样本回放!$D$7:$D$318,"是",样本回放!$C$7:$C$318,"&gt;="&amp;D44,样本回放!$C$7:$C$318,"&lt;"&amp;D45)</x:f>
        <x:v>2</x:v>
      </x:c>
      <x:c r="I44" s="52" t="n">
        <x:f aca="0">H44/COUNTIF(样本回放!$D$7:$D$318,"是")</x:f>
        <x:v>0.006430868167202572</x:v>
      </x:c>
      <x:c r="J44" s="1" t="s">
        <x:v>190</x:v>
      </x:c>
      <x:c r="K44" s="1"/>
      <x:c r="L44" s="1"/>
      <x:c r="M44" s="1"/>
    </x:row>
    <x:row r="45" ht="20" hidden="0" customHeight="1">
      <x:c r="A45" s="51" t="n">
        <x:v>32</x:v>
      </x:c>
      <x:c r="B45" s="51" t="n">
        <x:v>2</x:v>
      </x:c>
      <x:c r="C45" s="23" t="s">
        <x:v>26</x:v>
      </x:c>
      <x:c r="D45" s="24" t="n">
        <x:f aca="0">D44+E45</x:f>
        <x:v>68800</x:v>
      </x:c>
      <x:c r="E45" s="24" t="n">
        <x:f aca="0">ROUND($B$8*(1+$B$9)^(A45-2)/$B$10,0)*$B$10</x:f>
        <x:v>5800</x:v>
      </x:c>
      <x:c r="F45" s="52" t="n">
        <x:f aca="0">E45/E44-1</x:f>
        <x:v>0.09433962264150941</x:v>
      </x:c>
      <x:c r="G45" s="24" t="n">
        <x:f aca="0">ROUNDUP(E45*7/$B$11,0)</x:f>
        <x:v>66</x:v>
      </x:c>
      <x:c r="H45" s="24" t="n">
        <x:f aca="0">COUNTIFS(样本回放!$D$7:$D$318,"是",样本回放!$C$7:$C$318,"&gt;="&amp;D45,样本回放!$C$7:$C$318,"&lt;"&amp;D46)</x:f>
        <x:v>2</x:v>
      </x:c>
      <x:c r="I45" s="52" t="n">
        <x:f aca="0">H45/COUNTIF(样本回放!$D$7:$D$318,"是")</x:f>
        <x:v>0.006430868167202572</x:v>
      </x:c>
      <x:c r="J45" s="1" t="s">
        <x:v>190</x:v>
      </x:c>
      <x:c r="K45" s="1"/>
      <x:c r="L45" s="1"/>
      <x:c r="M45" s="1"/>
    </x:row>
    <x:row r="46" ht="20" hidden="0" customHeight="1">
      <x:c r="A46" s="51" t="n">
        <x:v>33</x:v>
      </x:c>
      <x:c r="B46" s="51" t="n">
        <x:v>2</x:v>
      </x:c>
      <x:c r="C46" s="23" t="s">
        <x:v>26</x:v>
      </x:c>
      <x:c r="D46" s="24" t="n">
        <x:f aca="0">D45+E46</x:f>
        <x:v>75100</x:v>
      </x:c>
      <x:c r="E46" s="24" t="n">
        <x:f aca="0">ROUND($B$8*(1+$B$9)^(A46-2)/$B$10,0)*$B$10</x:f>
        <x:v>6300</x:v>
      </x:c>
      <x:c r="F46" s="52" t="n">
        <x:f aca="0">E46/E45-1</x:f>
        <x:v>0.0862068965517242</x:v>
      </x:c>
      <x:c r="G46" s="24" t="n">
        <x:f aca="0">ROUNDUP(E46*7/$B$11,0)</x:f>
        <x:v>72</x:v>
      </x:c>
      <x:c r="H46" s="24" t="n">
        <x:f aca="0">COUNTIFS(样本回放!$D$7:$D$318,"是",样本回放!$C$7:$C$318,"&gt;="&amp;D46,样本回放!$C$7:$C$318,"&lt;"&amp;D47)</x:f>
        <x:v>7</x:v>
      </x:c>
      <x:c r="I46" s="52" t="n">
        <x:f aca="0">H46/COUNTIF(样本回放!$D$7:$D$318,"是")</x:f>
        <x:v>0.022508038585209004</x:v>
      </x:c>
      <x:c r="J46" s="1" t="s">
        <x:v>190</x:v>
      </x:c>
      <x:c r="K46" s="1"/>
      <x:c r="L46" s="1"/>
      <x:c r="M46" s="1"/>
    </x:row>
    <x:row r="47" ht="20" hidden="0" customHeight="1">
      <x:c r="A47" s="51" t="n">
        <x:v>34</x:v>
      </x:c>
      <x:c r="B47" s="51" t="n">
        <x:v>2</x:v>
      </x:c>
      <x:c r="C47" s="23" t="s">
        <x:v>26</x:v>
      </x:c>
      <x:c r="D47" s="24" t="n">
        <x:f aca="0">D46+E47</x:f>
        <x:v>81900</x:v>
      </x:c>
      <x:c r="E47" s="24" t="n">
        <x:f aca="0">ROUND($B$8*(1+$B$9)^(A47-2)/$B$10,0)*$B$10</x:f>
        <x:v>6800</x:v>
      </x:c>
      <x:c r="F47" s="52" t="n">
        <x:f aca="0">E47/E46-1</x:f>
        <x:v>0.0793650793650793</x:v>
      </x:c>
      <x:c r="G47" s="24" t="n">
        <x:f aca="0">ROUNDUP(E47*7/$B$11,0)</x:f>
        <x:v>77</x:v>
      </x:c>
      <x:c r="H47" s="24" t="n">
        <x:f aca="0">COUNTIFS(样本回放!$D$7:$D$318,"是",样本回放!$C$7:$C$318,"&gt;="&amp;D47,样本回放!$C$7:$C$318,"&lt;"&amp;D48)</x:f>
        <x:v>2</x:v>
      </x:c>
      <x:c r="I47" s="52" t="n">
        <x:f aca="0">H47/COUNTIF(样本回放!$D$7:$D$318,"是")</x:f>
        <x:v>0.006430868167202572</x:v>
      </x:c>
      <x:c r="J47" s="1" t="s">
        <x:v>190</x:v>
      </x:c>
      <x:c r="K47" s="1"/>
      <x:c r="L47" s="1"/>
      <x:c r="M47" s="1"/>
    </x:row>
    <x:row r="48" ht="20" hidden="0" customHeight="1">
      <x:c r="A48" s="51" t="n">
        <x:v>35</x:v>
      </x:c>
      <x:c r="B48" s="51" t="n">
        <x:v>2</x:v>
      </x:c>
      <x:c r="C48" s="23" t="s">
        <x:v>26</x:v>
      </x:c>
      <x:c r="D48" s="24" t="n">
        <x:f aca="0">D47+E48</x:f>
        <x:v>89300</x:v>
      </x:c>
      <x:c r="E48" s="24" t="n">
        <x:f aca="0">ROUND($B$8*(1+$B$9)^(A48-2)/$B$10,0)*$B$10</x:f>
        <x:v>7400</x:v>
      </x:c>
      <x:c r="F48" s="52" t="n">
        <x:f aca="0">E48/E47-1</x:f>
        <x:v>0.08823529411764697</x:v>
      </x:c>
      <x:c r="G48" s="24" t="n">
        <x:f aca="0">ROUNDUP(E48*7/$B$11,0)</x:f>
        <x:v>84</x:v>
      </x:c>
      <x:c r="H48" s="24" t="n">
        <x:f aca="0">COUNTIFS(样本回放!$D$7:$D$318,"是",样本回放!$C$7:$C$318,"&gt;="&amp;D48,样本回放!$C$7:$C$318,"&lt;"&amp;D49)</x:f>
        <x:v>4</x:v>
      </x:c>
      <x:c r="I48" s="52" t="n">
        <x:f aca="0">H48/COUNTIF(样本回放!$D$7:$D$318,"是")</x:f>
        <x:v>0.012861736334405145</x:v>
      </x:c>
      <x:c r="J48" s="1" t="s">
        <x:v>190</x:v>
      </x:c>
      <x:c r="K48" s="1"/>
      <x:c r="L48" s="1"/>
      <x:c r="M48" s="1"/>
    </x:row>
    <x:row r="49" ht="20" hidden="0" customHeight="1">
      <x:c r="A49" s="51" t="n">
        <x:v>36</x:v>
      </x:c>
      <x:c r="B49" s="51" t="n">
        <x:v>2</x:v>
      </x:c>
      <x:c r="C49" s="23" t="s">
        <x:v>26</x:v>
      </x:c>
      <x:c r="D49" s="24" t="n">
        <x:f aca="0">D48+E49</x:f>
        <x:v>97300</x:v>
      </x:c>
      <x:c r="E49" s="24" t="n">
        <x:f aca="0">ROUND($B$8*(1+$B$9)^(A49-2)/$B$10,0)*$B$10</x:f>
        <x:v>8000</x:v>
      </x:c>
      <x:c r="F49" s="52" t="n">
        <x:f aca="0">E49/E48-1</x:f>
        <x:v>0.08108108108108114</x:v>
      </x:c>
      <x:c r="G49" s="24" t="n">
        <x:f aca="0">ROUNDUP(E49*7/$B$11,0)</x:f>
        <x:v>91</x:v>
      </x:c>
      <x:c r="H49" s="24" t="n">
        <x:f aca="0">COUNTIFS(样本回放!$D$7:$D$318,"是",样本回放!$C$7:$C$318,"&gt;="&amp;D49,样本回放!$C$7:$C$318,"&lt;"&amp;D50)</x:f>
        <x:v>3</x:v>
      </x:c>
      <x:c r="I49" s="52" t="n">
        <x:f aca="0">H49/COUNTIF(样本回放!$D$7:$D$318,"是")</x:f>
        <x:v>0.00964630225080386</x:v>
      </x:c>
      <x:c r="J49" s="1" t="s">
        <x:v>190</x:v>
      </x:c>
      <x:c r="K49" s="1"/>
      <x:c r="L49" s="1"/>
      <x:c r="M49" s="1"/>
    </x:row>
    <x:row r="50" ht="20" hidden="0" customHeight="1">
      <x:c r="A50" s="51" t="n">
        <x:v>37</x:v>
      </x:c>
      <x:c r="B50" s="51" t="n">
        <x:v>2</x:v>
      </x:c>
      <x:c r="C50" s="23" t="s">
        <x:v>26</x:v>
      </x:c>
      <x:c r="D50" s="24" t="n">
        <x:f aca="0">D49+E50</x:f>
        <x:v>106000</x:v>
      </x:c>
      <x:c r="E50" s="24" t="n">
        <x:f aca="0">ROUND($B$8*(1+$B$9)^(A50-2)/$B$10,0)*$B$10</x:f>
        <x:v>8700</x:v>
      </x:c>
      <x:c r="F50" s="52" t="n">
        <x:f aca="0">E50/E49-1</x:f>
        <x:v>0.08749999999999991</x:v>
      </x:c>
      <x:c r="G50" s="24" t="n">
        <x:f aca="0">ROUNDUP(E50*7/$B$11,0)</x:f>
        <x:v>99</x:v>
      </x:c>
      <x:c r="H50" s="24" t="n">
        <x:f aca="0">COUNTIFS(样本回放!$D$7:$D$318,"是",样本回放!$C$7:$C$318,"&gt;="&amp;D50,样本回放!$C$7:$C$318,"&lt;"&amp;D51)</x:f>
        <x:v>4</x:v>
      </x:c>
      <x:c r="I50" s="52" t="n">
        <x:f aca="0">H50/COUNTIF(样本回放!$D$7:$D$318,"是")</x:f>
        <x:v>0.012861736334405145</x:v>
      </x:c>
      <x:c r="J50" s="1" t="s">
        <x:v>190</x:v>
      </x:c>
      <x:c r="K50" s="1"/>
      <x:c r="L50" s="1"/>
      <x:c r="M50" s="1"/>
    </x:row>
    <x:row r="51" ht="20" hidden="0" customHeight="1">
      <x:c r="A51" s="51" t="n">
        <x:v>38</x:v>
      </x:c>
      <x:c r="B51" s="51" t="n">
        <x:v>2</x:v>
      </x:c>
      <x:c r="C51" s="23" t="s">
        <x:v>26</x:v>
      </x:c>
      <x:c r="D51" s="24" t="n">
        <x:f aca="0">D50+E51</x:f>
        <x:v>115400</x:v>
      </x:c>
      <x:c r="E51" s="24" t="n">
        <x:f aca="0">ROUND($B$8*(1+$B$9)^(A51-2)/$B$10,0)*$B$10</x:f>
        <x:v>9400</x:v>
      </x:c>
      <x:c r="F51" s="52" t="n">
        <x:f aca="0">E51/E50-1</x:f>
        <x:v>0.08045977011494254</x:v>
      </x:c>
      <x:c r="G51" s="24" t="n">
        <x:f aca="0">ROUNDUP(E51*7/$B$11,0)</x:f>
        <x:v>107</x:v>
      </x:c>
      <x:c r="H51" s="24" t="n">
        <x:f aca="0">COUNTIFS(样本回放!$D$7:$D$318,"是",样本回放!$C$7:$C$318,"&gt;="&amp;D51,样本回放!$C$7:$C$318,"&lt;"&amp;D52)</x:f>
        <x:v>5</x:v>
      </x:c>
      <x:c r="I51" s="52" t="n">
        <x:f aca="0">H51/COUNTIF(样本回放!$D$7:$D$318,"是")</x:f>
        <x:v>0.01607717041800643</x:v>
      </x:c>
      <x:c r="J51" s="1" t="s">
        <x:v>190</x:v>
      </x:c>
      <x:c r="K51" s="1"/>
      <x:c r="L51" s="1"/>
      <x:c r="M51" s="1"/>
    </x:row>
    <x:row r="52" ht="20" hidden="0" customHeight="1">
      <x:c r="A52" s="51" t="n">
        <x:v>39</x:v>
      </x:c>
      <x:c r="B52" s="51" t="n">
        <x:v>2</x:v>
      </x:c>
      <x:c r="C52" s="23" t="s">
        <x:v>26</x:v>
      </x:c>
      <x:c r="D52" s="24" t="n">
        <x:f aca="0">D51+E52</x:f>
        <x:v>125600</x:v>
      </x:c>
      <x:c r="E52" s="24" t="n">
        <x:f aca="0">ROUND($B$8*(1+$B$9)^(A52-2)/$B$10,0)*$B$10</x:f>
        <x:v>10200</x:v>
      </x:c>
      <x:c r="F52" s="52" t="n">
        <x:f aca="0">E52/E51-1</x:f>
        <x:v>0.0851063829787233</x:v>
      </x:c>
      <x:c r="G52" s="24" t="n">
        <x:f aca="0">ROUNDUP(E52*7/$B$11,0)</x:f>
        <x:v>116</x:v>
      </x:c>
      <x:c r="H52" s="24" t="n">
        <x:f aca="0">COUNTIFS(样本回放!$D$7:$D$318,"是",样本回放!$C$7:$C$318,"&gt;="&amp;D52,样本回放!$C$7:$C$318,"&lt;"&amp;D53)</x:f>
        <x:v>1</x:v>
      </x:c>
      <x:c r="I52" s="52" t="n">
        <x:f aca="0">H52/COUNTIF(样本回放!$D$7:$D$318,"是")</x:f>
        <x:v>0.003215434083601286</x:v>
      </x:c>
      <x:c r="J52" s="1" t="s">
        <x:v>190</x:v>
      </x:c>
      <x:c r="K52" s="1"/>
      <x:c r="L52" s="1"/>
      <x:c r="M52" s="1"/>
    </x:row>
    <x:row r="53" ht="20" hidden="0" customHeight="1">
      <x:c r="A53" s="51" t="n">
        <x:v>40</x:v>
      </x:c>
      <x:c r="B53" s="51" t="n">
        <x:v>2</x:v>
      </x:c>
      <x:c r="C53" s="23" t="s">
        <x:v>26</x:v>
      </x:c>
      <x:c r="D53" s="24" t="n">
        <x:f aca="0">D52+E53</x:f>
        <x:v>136700</x:v>
      </x:c>
      <x:c r="E53" s="24" t="n">
        <x:f aca="0">ROUND($B$8*(1+$B$9)^(A53-2)/$B$10,0)*$B$10</x:f>
        <x:v>11100</x:v>
      </x:c>
      <x:c r="F53" s="52" t="n">
        <x:f aca="0">E53/E52-1</x:f>
        <x:v>0.08823529411764697</x:v>
      </x:c>
      <x:c r="G53" s="24" t="n">
        <x:f aca="0">ROUNDUP(E53*7/$B$11,0)</x:f>
        <x:v>126</x:v>
      </x:c>
      <x:c r="H53" s="24" t="n">
        <x:f aca="0">COUNTIFS(样本回放!$D$7:$D$318,"是",样本回放!$C$7:$C$318,"&gt;="&amp;D53,样本回放!$C$7:$C$318,"&lt;"&amp;D54)</x:f>
        <x:v>2</x:v>
      </x:c>
      <x:c r="I53" s="52" t="n">
        <x:f aca="0">H53/COUNTIF(样本回放!$D$7:$D$318,"是")</x:f>
        <x:v>0.006430868167202572</x:v>
      </x:c>
      <x:c r="J53" s="1" t="s">
        <x:v>190</x:v>
      </x:c>
      <x:c r="K53" s="1"/>
      <x:c r="L53" s="1"/>
      <x:c r="M53" s="1"/>
    </x:row>
    <x:row r="54" ht="20" hidden="0" customHeight="1">
      <x:c r="A54" s="51" t="n">
        <x:v>41</x:v>
      </x:c>
      <x:c r="B54" s="51" t="n">
        <x:v>3</x:v>
      </x:c>
      <x:c r="C54" s="23" t="s">
        <x:v>32</x:v>
      </x:c>
      <x:c r="D54" s="24" t="n">
        <x:f aca="0">D53+E54</x:f>
        <x:v>148700</x:v>
      </x:c>
      <x:c r="E54" s="24" t="n">
        <x:f aca="0">ROUND($B$8*(1+$B$9)^(A54-2)/$B$10,0)*$B$10</x:f>
        <x:v>12000</x:v>
      </x:c>
      <x:c r="F54" s="52" t="n">
        <x:f aca="0">E54/E53-1</x:f>
        <x:v>0.08108108108108114</x:v>
      </x:c>
      <x:c r="G54" s="24" t="n">
        <x:f aca="0">ROUNDUP(E54*7/$B$11,0)</x:f>
        <x:v>136</x:v>
      </x:c>
      <x:c r="H54" s="24" t="n">
        <x:f aca="0">COUNTIFS(样本回放!$D$7:$D$318,"是",样本回放!$C$7:$C$318,"&gt;="&amp;D54,样本回放!$C$7:$C$318,"&lt;"&amp;D55)</x:f>
        <x:v>1</x:v>
      </x:c>
      <x:c r="I54" s="52" t="n">
        <x:f aca="0">H54/COUNTIF(样本回放!$D$7:$D$318,"是")</x:f>
        <x:v>0.003215434083601286</x:v>
      </x:c>
      <x:c r="J54" s="1" t="s">
        <x:v>192</x:v>
      </x:c>
      <x:c r="K54" s="1"/>
      <x:c r="L54" s="1"/>
      <x:c r="M54" s="1"/>
    </x:row>
    <x:row r="55" ht="20" hidden="0" customHeight="1">
      <x:c r="A55" s="51" t="n">
        <x:v>42</x:v>
      </x:c>
      <x:c r="B55" s="51" t="n">
        <x:v>3</x:v>
      </x:c>
      <x:c r="C55" s="23" t="s">
        <x:v>32</x:v>
      </x:c>
      <x:c r="D55" s="24" t="n">
        <x:f aca="0">D54+E55</x:f>
        <x:v>161800</x:v>
      </x:c>
      <x:c r="E55" s="24" t="n">
        <x:f aca="0">ROUND($B$8*(1+$B$9)^(A55-2)/$B$10,0)*$B$10</x:f>
        <x:v>13100</x:v>
      </x:c>
      <x:c r="F55" s="52" t="n">
        <x:f aca="0">E55/E54-1</x:f>
        <x:v>0.09166666666666656</x:v>
      </x:c>
      <x:c r="G55" s="24" t="n">
        <x:f aca="0">ROUNDUP(E55*7/$B$11,0)</x:f>
        <x:v>148</x:v>
      </x:c>
      <x:c r="H55" s="24" t="n">
        <x:f aca="0">COUNTIFS(样本回放!$D$7:$D$318,"是",样本回放!$C$7:$C$318,"&gt;="&amp;D55,样本回放!$C$7:$C$318,"&lt;"&amp;D56)</x:f>
        <x:v>0</x:v>
      </x:c>
      <x:c r="I55" s="52" t="n">
        <x:f aca="0">H55/COUNTIF(样本回放!$D$7:$D$318,"是")</x:f>
        <x:v>0</x:v>
      </x:c>
      <x:c r="J55" s="1" t="s">
        <x:v>190</x:v>
      </x:c>
      <x:c r="K55" s="1"/>
      <x:c r="L55" s="1"/>
      <x:c r="M55" s="1"/>
    </x:row>
    <x:row r="56" ht="20" hidden="0" customHeight="1">
      <x:c r="A56" s="51" t="n">
        <x:v>43</x:v>
      </x:c>
      <x:c r="B56" s="51" t="n">
        <x:v>3</x:v>
      </x:c>
      <x:c r="C56" s="23" t="s">
        <x:v>32</x:v>
      </x:c>
      <x:c r="D56" s="24" t="n">
        <x:f aca="0">D55+E56</x:f>
        <x:v>176000</x:v>
      </x:c>
      <x:c r="E56" s="24" t="n">
        <x:f aca="0">ROUND($B$8*(1+$B$9)^(A56-2)/$B$10,0)*$B$10</x:f>
        <x:v>14200</x:v>
      </x:c>
      <x:c r="F56" s="52" t="n">
        <x:f aca="0">E56/E55-1</x:f>
        <x:v>0.08396946564885499</x:v>
      </x:c>
      <x:c r="G56" s="24" t="n">
        <x:f aca="0">ROUNDUP(E56*7/$B$11,0)</x:f>
        <x:v>161</x:v>
      </x:c>
      <x:c r="H56" s="24" t="n">
        <x:f aca="0">COUNTIFS(样本回放!$D$7:$D$318,"是",样本回放!$C$7:$C$318,"&gt;="&amp;D56,样本回放!$C$7:$C$318,"&lt;"&amp;D57)</x:f>
        <x:v>1</x:v>
      </x:c>
      <x:c r="I56" s="52" t="n">
        <x:f aca="0">H56/COUNTIF(样本回放!$D$7:$D$318,"是")</x:f>
        <x:v>0.003215434083601286</x:v>
      </x:c>
      <x:c r="J56" s="1" t="s">
        <x:v>190</x:v>
      </x:c>
      <x:c r="K56" s="1"/>
      <x:c r="L56" s="1"/>
      <x:c r="M56" s="1"/>
    </x:row>
    <x:row r="57" ht="20" hidden="0" customHeight="1">
      <x:c r="A57" s="51" t="n">
        <x:v>44</x:v>
      </x:c>
      <x:c r="B57" s="51" t="n">
        <x:v>3</x:v>
      </x:c>
      <x:c r="C57" s="23" t="s">
        <x:v>32</x:v>
      </x:c>
      <x:c r="D57" s="24" t="n">
        <x:f aca="0">D56+E57</x:f>
        <x:v>191400</x:v>
      </x:c>
      <x:c r="E57" s="24" t="n">
        <x:f aca="0">ROUND($B$8*(1+$B$9)^(A57-2)/$B$10,0)*$B$10</x:f>
        <x:v>15400</x:v>
      </x:c>
      <x:c r="F57" s="52" t="n">
        <x:f aca="0">E57/E56-1</x:f>
        <x:v>0.08450704225352124</x:v>
      </x:c>
      <x:c r="G57" s="24" t="n">
        <x:f aca="0">ROUNDUP(E57*7/$B$11,0)</x:f>
        <x:v>174</x:v>
      </x:c>
      <x:c r="H57" s="24" t="n">
        <x:f aca="0">COUNTIFS(样本回放!$D$7:$D$318,"是",样本回放!$C$7:$C$318,"&gt;="&amp;D57,样本回放!$C$7:$C$318,"&lt;"&amp;D58)</x:f>
        <x:v>2</x:v>
      </x:c>
      <x:c r="I57" s="52" t="n">
        <x:f aca="0">H57/COUNTIF(样本回放!$D$7:$D$318,"是")</x:f>
        <x:v>0.006430868167202572</x:v>
      </x:c>
      <x:c r="J57" s="1" t="s">
        <x:v>190</x:v>
      </x:c>
      <x:c r="K57" s="1"/>
      <x:c r="L57" s="1"/>
      <x:c r="M57" s="1"/>
    </x:row>
    <x:row r="58" ht="20" hidden="0" customHeight="1">
      <x:c r="A58" s="51" t="n">
        <x:v>45</x:v>
      </x:c>
      <x:c r="B58" s="51" t="n">
        <x:v>3</x:v>
      </x:c>
      <x:c r="C58" s="23" t="s">
        <x:v>32</x:v>
      </x:c>
      <x:c r="D58" s="24" t="n">
        <x:f aca="0">D57+E58</x:f>
        <x:v>208100</x:v>
      </x:c>
      <x:c r="E58" s="24" t="n">
        <x:f aca="0">ROUND($B$8*(1+$B$9)^(A58-2)/$B$10,0)*$B$10</x:f>
        <x:v>16700</x:v>
      </x:c>
      <x:c r="F58" s="52" t="n">
        <x:f aca="0">E58/E57-1</x:f>
        <x:v>0.0844155844155845</x:v>
      </x:c>
      <x:c r="G58" s="24" t="n">
        <x:f aca="0">ROUNDUP(E58*7/$B$11,0)</x:f>
        <x:v>189</x:v>
      </x:c>
      <x:c r="H58" s="24" t="n">
        <x:f aca="0">COUNTIFS(样本回放!$D$7:$D$318,"是",样本回放!$C$7:$C$318,"&gt;="&amp;D58,样本回放!$C$7:$C$318,"&lt;"&amp;D59)</x:f>
        <x:v>3</x:v>
      </x:c>
      <x:c r="I58" s="52" t="n">
        <x:f aca="0">H58/COUNTIF(样本回放!$D$7:$D$318,"是")</x:f>
        <x:v>0.00964630225080386</x:v>
      </x:c>
      <x:c r="J58" s="1" t="s">
        <x:v>190</x:v>
      </x:c>
      <x:c r="K58" s="1"/>
      <x:c r="L58" s="1"/>
      <x:c r="M58" s="1"/>
    </x:row>
    <x:row r="59" ht="20" hidden="0" customHeight="1">
      <x:c r="A59" s="51" t="n">
        <x:v>46</x:v>
      </x:c>
      <x:c r="B59" s="51" t="n">
        <x:v>3</x:v>
      </x:c>
      <x:c r="C59" s="23" t="s">
        <x:v>32</x:v>
      </x:c>
      <x:c r="D59" s="24" t="n">
        <x:f aca="0">D58+E59</x:f>
        <x:v>226200</x:v>
      </x:c>
      <x:c r="E59" s="24" t="n">
        <x:f aca="0">ROUND($B$8*(1+$B$9)^(A59-2)/$B$10,0)*$B$10</x:f>
        <x:v>18100</x:v>
      </x:c>
      <x:c r="F59" s="52" t="n">
        <x:f aca="0">E59/E58-1</x:f>
        <x:v>0.08383233532934131</x:v>
      </x:c>
      <x:c r="G59" s="24" t="n">
        <x:f aca="0">ROUNDUP(E59*7/$B$11,0)</x:f>
        <x:v>205</x:v>
      </x:c>
      <x:c r="H59" s="24" t="n">
        <x:f aca="0">COUNTIFS(样本回放!$D$7:$D$318,"是",样本回放!$C$7:$C$318,"&gt;="&amp;D59,样本回放!$C$7:$C$318,"&lt;"&amp;D60)</x:f>
        <x:v>2</x:v>
      </x:c>
      <x:c r="I59" s="52" t="n">
        <x:f aca="0">H59/COUNTIF(样本回放!$D$7:$D$318,"是")</x:f>
        <x:v>0.006430868167202572</x:v>
      </x:c>
      <x:c r="J59" s="1" t="s">
        <x:v>190</x:v>
      </x:c>
      <x:c r="K59" s="1"/>
      <x:c r="L59" s="1"/>
      <x:c r="M59" s="1"/>
    </x:row>
    <x:row r="60" ht="20" hidden="0" customHeight="1">
      <x:c r="A60" s="51" t="n">
        <x:v>47</x:v>
      </x:c>
      <x:c r="B60" s="51" t="n">
        <x:v>3</x:v>
      </x:c>
      <x:c r="C60" s="23" t="s">
        <x:v>32</x:v>
      </x:c>
      <x:c r="D60" s="24" t="n">
        <x:f aca="0">D59+E60</x:f>
        <x:v>245800</x:v>
      </x:c>
      <x:c r="E60" s="24" t="n">
        <x:f aca="0">ROUND($B$8*(1+$B$9)^(A60-2)/$B$10,0)*$B$10</x:f>
        <x:v>19600</x:v>
      </x:c>
      <x:c r="F60" s="52" t="n">
        <x:f aca="0">E60/E59-1</x:f>
        <x:v>0.08287292817679548</x:v>
      </x:c>
      <x:c r="G60" s="24" t="n">
        <x:f aca="0">ROUNDUP(E60*7/$B$11,0)</x:f>
        <x:v>222</x:v>
      </x:c>
      <x:c r="H60" s="24" t="n">
        <x:f aca="0">COUNTIFS(样本回放!$D$7:$D$318,"是",样本回放!$C$7:$C$318,"&gt;="&amp;D60,样本回放!$C$7:$C$318,"&lt;"&amp;D61)</x:f>
        <x:v>2</x:v>
      </x:c>
      <x:c r="I60" s="52" t="n">
        <x:f aca="0">H60/COUNTIF(样本回放!$D$7:$D$318,"是")</x:f>
        <x:v>0.006430868167202572</x:v>
      </x:c>
      <x:c r="J60" s="1" t="s">
        <x:v>190</x:v>
      </x:c>
      <x:c r="K60" s="1"/>
      <x:c r="L60" s="1"/>
      <x:c r="M60" s="1"/>
    </x:row>
    <x:row r="61" ht="20" hidden="0" customHeight="1">
      <x:c r="A61" s="51" t="n">
        <x:v>48</x:v>
      </x:c>
      <x:c r="B61" s="51" t="n">
        <x:v>3</x:v>
      </x:c>
      <x:c r="C61" s="23" t="s">
        <x:v>32</x:v>
      </x:c>
      <x:c r="D61" s="24" t="n">
        <x:f aca="0">D60+E61</x:f>
        <x:v>267100</x:v>
      </x:c>
      <x:c r="E61" s="24" t="n">
        <x:f aca="0">ROUND($B$8*(1+$B$9)^(A61-2)/$B$10,0)*$B$10</x:f>
        <x:v>21300</x:v>
      </x:c>
      <x:c r="F61" s="52" t="n">
        <x:f aca="0">E61/E60-1</x:f>
        <x:v>0.08673469387755106</x:v>
      </x:c>
      <x:c r="G61" s="24" t="n">
        <x:f aca="0">ROUNDUP(E61*7/$B$11,0)</x:f>
        <x:v>241</x:v>
      </x:c>
      <x:c r="H61" s="24" t="n">
        <x:f aca="0">COUNTIFS(样本回放!$D$7:$D$318,"是",样本回放!$C$7:$C$318,"&gt;="&amp;D61,样本回放!$C$7:$C$318,"&lt;"&amp;D62)</x:f>
        <x:v>3</x:v>
      </x:c>
      <x:c r="I61" s="52" t="n">
        <x:f aca="0">H61/COUNTIF(样本回放!$D$7:$D$318,"是")</x:f>
        <x:v>0.00964630225080386</x:v>
      </x:c>
      <x:c r="J61" s="1" t="s">
        <x:v>190</x:v>
      </x:c>
      <x:c r="K61" s="1"/>
      <x:c r="L61" s="1"/>
      <x:c r="M61" s="1"/>
    </x:row>
    <x:row r="62" ht="20" hidden="0" customHeight="1">
      <x:c r="A62" s="51" t="n">
        <x:v>49</x:v>
      </x:c>
      <x:c r="B62" s="51" t="n">
        <x:v>3</x:v>
      </x:c>
      <x:c r="C62" s="23" t="s">
        <x:v>32</x:v>
      </x:c>
      <x:c r="D62" s="24" t="n">
        <x:f aca="0">D61+E62</x:f>
        <x:v>290200</x:v>
      </x:c>
      <x:c r="E62" s="24" t="n">
        <x:f aca="0">ROUND($B$8*(1+$B$9)^(A62-2)/$B$10,0)*$B$10</x:f>
        <x:v>23100</x:v>
      </x:c>
      <x:c r="F62" s="52" t="n">
        <x:f aca="0">E62/E61-1</x:f>
        <x:v>0.08450704225352124</x:v>
      </x:c>
      <x:c r="G62" s="24" t="n">
        <x:f aca="0">ROUNDUP(E62*7/$B$11,0)</x:f>
        <x:v>261</x:v>
      </x:c>
      <x:c r="H62" s="24" t="n">
        <x:f aca="0">COUNTIFS(样本回放!$D$7:$D$318,"是",样本回放!$C$7:$C$318,"&gt;="&amp;D62,样本回放!$C$7:$C$318,"&lt;"&amp;D63)</x:f>
        <x:v>3</x:v>
      </x:c>
      <x:c r="I62" s="52" t="n">
        <x:f aca="0">H62/COUNTIF(样本回放!$D$7:$D$318,"是")</x:f>
        <x:v>0.00964630225080386</x:v>
      </x:c>
      <x:c r="J62" s="1" t="s">
        <x:v>190</x:v>
      </x:c>
      <x:c r="K62" s="1"/>
      <x:c r="L62" s="1"/>
      <x:c r="M62" s="1"/>
    </x:row>
    <x:row r="63" ht="20" hidden="0" customHeight="1">
      <x:c r="A63" s="51" t="n">
        <x:v>50</x:v>
      </x:c>
      <x:c r="B63" s="51" t="n">
        <x:v>3</x:v>
      </x:c>
      <x:c r="C63" s="23" t="s">
        <x:v>32</x:v>
      </x:c>
      <x:c r="D63" s="24" t="n">
        <x:f aca="0">D62+E63</x:f>
        <x:v>315300</x:v>
      </x:c>
      <x:c r="E63" s="24" t="n">
        <x:f aca="0">ROUND($B$8*(1+$B$9)^(A63-2)/$B$10,0)*$B$10</x:f>
        <x:v>25100</x:v>
      </x:c>
      <x:c r="F63" s="52" t="n">
        <x:f aca="0">E63/E62-1</x:f>
        <x:v>0.08658008658008653</x:v>
      </x:c>
      <x:c r="G63" s="24" t="n">
        <x:f aca="0">ROUNDUP(E63*7/$B$11,0)</x:f>
        <x:v>284</x:v>
      </x:c>
      <x:c r="H63" s="24" t="n">
        <x:f aca="0">COUNTIFS(样本回放!$D$7:$D$318,"是",样本回放!$C$7:$C$318,"&gt;="&amp;D63,样本回放!$C$7:$C$318,"&lt;"&amp;D64)</x:f>
        <x:v>2</x:v>
      </x:c>
      <x:c r="I63" s="52" t="n">
        <x:f aca="0">H63/COUNTIF(样本回放!$D$7:$D$318,"是")</x:f>
        <x:v>0.006430868167202572</x:v>
      </x:c>
      <x:c r="J63" s="1" t="s">
        <x:v>190</x:v>
      </x:c>
      <x:c r="K63" s="1"/>
      <x:c r="L63" s="1"/>
      <x:c r="M63" s="1"/>
    </x:row>
    <x:row r="64" ht="20" hidden="0" customHeight="1">
      <x:c r="A64" s="51" t="n">
        <x:v>51</x:v>
      </x:c>
      <x:c r="B64" s="51" t="n">
        <x:v>3</x:v>
      </x:c>
      <x:c r="C64" s="23" t="s">
        <x:v>32</x:v>
      </x:c>
      <x:c r="D64" s="24" t="n">
        <x:f aca="0">D63+E64</x:f>
        <x:v>342500</x:v>
      </x:c>
      <x:c r="E64" s="24" t="n">
        <x:f aca="0">ROUND($B$8*(1+$B$9)^(A64-2)/$B$10,0)*$B$10</x:f>
        <x:v>27200</x:v>
      </x:c>
      <x:c r="F64" s="52" t="n">
        <x:f aca="0">E64/E63-1</x:f>
        <x:v>0.08366533864541825</x:v>
      </x:c>
      <x:c r="G64" s="24" t="n">
        <x:f aca="0">ROUNDUP(E64*7/$B$11,0)</x:f>
        <x:v>308</x:v>
      </x:c>
      <x:c r="H64" s="24" t="n">
        <x:f aca="0">COUNTIFS(样本回放!$D$7:$D$318,"是",样本回放!$C$7:$C$318,"&gt;="&amp;D64,样本回放!$C$7:$C$318,"&lt;"&amp;D65)</x:f>
        <x:v>0</x:v>
      </x:c>
      <x:c r="I64" s="52" t="n">
        <x:f aca="0">H64/COUNTIF(样本回放!$D$7:$D$318,"是")</x:f>
        <x:v>0</x:v>
      </x:c>
      <x:c r="J64" s="1" t="s">
        <x:v>190</x:v>
      </x:c>
      <x:c r="K64" s="1"/>
      <x:c r="L64" s="1"/>
      <x:c r="M64" s="1"/>
    </x:row>
    <x:row r="65" ht="20" hidden="0" customHeight="1">
      <x:c r="A65" s="51" t="n">
        <x:v>52</x:v>
      </x:c>
      <x:c r="B65" s="51" t="n">
        <x:v>3</x:v>
      </x:c>
      <x:c r="C65" s="23" t="s">
        <x:v>32</x:v>
      </x:c>
      <x:c r="D65" s="24" t="n">
        <x:f aca="0">D64+E65</x:f>
        <x:v>372000</x:v>
      </x:c>
      <x:c r="E65" s="24" t="n">
        <x:f aca="0">ROUND($B$8*(1+$B$9)^(A65-2)/$B$10,0)*$B$10</x:f>
        <x:v>29500</x:v>
      </x:c>
      <x:c r="F65" s="52" t="n">
        <x:f aca="0">E65/E64-1</x:f>
        <x:v>0.08455882352941169</x:v>
      </x:c>
      <x:c r="G65" s="24" t="n">
        <x:f aca="0">ROUNDUP(E65*7/$B$11,0)</x:f>
        <x:v>334</x:v>
      </x:c>
      <x:c r="H65" s="24" t="n">
        <x:f aca="0">COUNTIFS(样本回放!$D$7:$D$318,"是",样本回放!$C$7:$C$318,"&gt;="&amp;D65,样本回放!$C$7:$C$318,"&lt;"&amp;D66)</x:f>
        <x:v>1</x:v>
      </x:c>
      <x:c r="I65" s="52" t="n">
        <x:f aca="0">H65/COUNTIF(样本回放!$D$7:$D$318,"是")</x:f>
        <x:v>0.003215434083601286</x:v>
      </x:c>
      <x:c r="J65" s="1" t="s">
        <x:v>190</x:v>
      </x:c>
      <x:c r="K65" s="1"/>
      <x:c r="L65" s="1"/>
      <x:c r="M65" s="1"/>
    </x:row>
    <x:row r="66" ht="20" hidden="0" customHeight="1">
      <x:c r="A66" s="51" t="n">
        <x:v>53</x:v>
      </x:c>
      <x:c r="B66" s="51" t="n">
        <x:v>3</x:v>
      </x:c>
      <x:c r="C66" s="23" t="s">
        <x:v>32</x:v>
      </x:c>
      <x:c r="D66" s="24" t="n">
        <x:f aca="0">D65+E66</x:f>
        <x:v>404100</x:v>
      </x:c>
      <x:c r="E66" s="24" t="n">
        <x:f aca="0">ROUND($B$8*(1+$B$9)^(A66-2)/$B$10,0)*$B$10</x:f>
        <x:v>32100</x:v>
      </x:c>
      <x:c r="F66" s="52" t="n">
        <x:f aca="0">E66/E65-1</x:f>
        <x:v>0.08813559322033893</x:v>
      </x:c>
      <x:c r="G66" s="24" t="n">
        <x:f aca="0">ROUNDUP(E66*7/$B$11,0)</x:f>
        <x:v>363</x:v>
      </x:c>
      <x:c r="H66" s="24" t="n">
        <x:f aca="0">COUNTIFS(样本回放!$D$7:$D$318,"是",样本回放!$C$7:$C$318,"&gt;="&amp;D66,样本回放!$C$7:$C$318,"&lt;"&amp;D67)</x:f>
        <x:v>2</x:v>
      </x:c>
      <x:c r="I66" s="52" t="n">
        <x:f aca="0">H66/COUNTIF(样本回放!$D$7:$D$318,"是")</x:f>
        <x:v>0.006430868167202572</x:v>
      </x:c>
      <x:c r="J66" s="1" t="s">
        <x:v>190</x:v>
      </x:c>
      <x:c r="K66" s="1"/>
      <x:c r="L66" s="1"/>
      <x:c r="M66" s="1"/>
    </x:row>
    <x:row r="67" ht="20" hidden="0" customHeight="1">
      <x:c r="A67" s="51" t="n">
        <x:v>54</x:v>
      </x:c>
      <x:c r="B67" s="51" t="n">
        <x:v>3</x:v>
      </x:c>
      <x:c r="C67" s="23" t="s">
        <x:v>32</x:v>
      </x:c>
      <x:c r="D67" s="24" t="n">
        <x:f aca="0">D66+E67</x:f>
        <x:v>438900</x:v>
      </x:c>
      <x:c r="E67" s="24" t="n">
        <x:f aca="0">ROUND($B$8*(1+$B$9)^(A67-2)/$B$10,0)*$B$10</x:f>
        <x:v>34800</x:v>
      </x:c>
      <x:c r="F67" s="52" t="n">
        <x:f aca="0">E67/E66-1</x:f>
        <x:v>0.08411214953271018</x:v>
      </x:c>
      <x:c r="G67" s="24" t="n">
        <x:f aca="0">ROUNDUP(E67*7/$B$11,0)</x:f>
        <x:v>393</x:v>
      </x:c>
      <x:c r="H67" s="24" t="n">
        <x:f aca="0">COUNTIFS(样本回放!$D$7:$D$318,"是",样本回放!$C$7:$C$318,"&gt;="&amp;D67,样本回放!$C$7:$C$318,"&lt;"&amp;D68)</x:f>
        <x:v>1</x:v>
      </x:c>
      <x:c r="I67" s="52" t="n">
        <x:f aca="0">H67/COUNTIF(样本回放!$D$7:$D$318,"是")</x:f>
        <x:v>0.003215434083601286</x:v>
      </x:c>
      <x:c r="J67" s="1" t="s">
        <x:v>190</x:v>
      </x:c>
      <x:c r="K67" s="1"/>
      <x:c r="L67" s="1"/>
      <x:c r="M67" s="1"/>
    </x:row>
    <x:row r="68" ht="20" hidden="0" customHeight="1">
      <x:c r="A68" s="51" t="n">
        <x:v>55</x:v>
      </x:c>
      <x:c r="B68" s="51" t="n">
        <x:v>3</x:v>
      </x:c>
      <x:c r="C68" s="23" t="s">
        <x:v>32</x:v>
      </x:c>
      <x:c r="D68" s="24" t="n">
        <x:f aca="0">D67+E68</x:f>
        <x:v>476600</x:v>
      </x:c>
      <x:c r="E68" s="24" t="n">
        <x:f aca="0">ROUND($B$8*(1+$B$9)^(A68-2)/$B$10,0)*$B$10</x:f>
        <x:v>37700</x:v>
      </x:c>
      <x:c r="F68" s="52" t="n">
        <x:f aca="0">E68/E67-1</x:f>
        <x:v>0.08333333333333326</x:v>
      </x:c>
      <x:c r="G68" s="24" t="n">
        <x:f aca="0">ROUNDUP(E68*7/$B$11,0)</x:f>
        <x:v>426</x:v>
      </x:c>
      <x:c r="H68" s="24" t="n">
        <x:f aca="0">COUNTIFS(样本回放!$D$7:$D$318,"是",样本回放!$C$7:$C$318,"&gt;="&amp;D68,样本回放!$C$7:$C$318,"&lt;"&amp;D69)</x:f>
        <x:v>1</x:v>
      </x:c>
      <x:c r="I68" s="52" t="n">
        <x:f aca="0">H68/COUNTIF(样本回放!$D$7:$D$318,"是")</x:f>
        <x:v>0.003215434083601286</x:v>
      </x:c>
      <x:c r="J68" s="1" t="s">
        <x:v>190</x:v>
      </x:c>
      <x:c r="K68" s="1"/>
      <x:c r="L68" s="1"/>
      <x:c r="M68" s="1"/>
    </x:row>
    <x:row r="69" ht="20" hidden="0" customHeight="1">
      <x:c r="A69" s="51" t="n">
        <x:v>56</x:v>
      </x:c>
      <x:c r="B69" s="51" t="n">
        <x:v>3</x:v>
      </x:c>
      <x:c r="C69" s="23" t="s">
        <x:v>32</x:v>
      </x:c>
      <x:c r="D69" s="24" t="n">
        <x:f aca="0">D68+E69</x:f>
        <x:v>517500</x:v>
      </x:c>
      <x:c r="E69" s="24" t="n">
        <x:f aca="0">ROUND($B$8*(1+$B$9)^(A69-2)/$B$10,0)*$B$10</x:f>
        <x:v>40900</x:v>
      </x:c>
      <x:c r="F69" s="52" t="n">
        <x:f aca="0">E69/E68-1</x:f>
        <x:v>0.08488063660477452</x:v>
      </x:c>
      <x:c r="G69" s="24" t="n">
        <x:f aca="0">ROUNDUP(E69*7/$B$11,0)</x:f>
        <x:v>462</x:v>
      </x:c>
      <x:c r="H69" s="24" t="n">
        <x:f aca="0">COUNTIFS(样本回放!$D$7:$D$318,"是",样本回放!$C$7:$C$318,"&gt;="&amp;D69,样本回放!$C$7:$C$318,"&lt;"&amp;D70)</x:f>
        <x:v>0</x:v>
      </x:c>
      <x:c r="I69" s="52" t="n">
        <x:f aca="0">H69/COUNTIF(样本回放!$D$7:$D$318,"是")</x:f>
        <x:v>0</x:v>
      </x:c>
      <x:c r="J69" s="1" t="s">
        <x:v>190</x:v>
      </x:c>
      <x:c r="K69" s="1"/>
      <x:c r="L69" s="1"/>
      <x:c r="M69" s="1"/>
    </x:row>
    <x:row r="70" ht="20" hidden="0" customHeight="1">
      <x:c r="A70" s="51" t="n">
        <x:v>57</x:v>
      </x:c>
      <x:c r="B70" s="51" t="n">
        <x:v>3</x:v>
      </x:c>
      <x:c r="C70" s="23" t="s">
        <x:v>32</x:v>
      </x:c>
      <x:c r="D70" s="24" t="n">
        <x:f aca="0">D69+E70</x:f>
        <x:v>561900</x:v>
      </x:c>
      <x:c r="E70" s="24" t="n">
        <x:f aca="0">ROUND($B$8*(1+$B$9)^(A70-2)/$B$10,0)*$B$10</x:f>
        <x:v>44400</x:v>
      </x:c>
      <x:c r="F70" s="52" t="n">
        <x:f aca="0">E70/E69-1</x:f>
        <x:v>0.08557457212713926</x:v>
      </x:c>
      <x:c r="G70" s="24" t="n">
        <x:f aca="0">ROUNDUP(E70*7/$B$11,0)</x:f>
        <x:v>502</x:v>
      </x:c>
      <x:c r="H70" s="24" t="n">
        <x:f aca="0">COUNTIFS(样本回放!$D$7:$D$318,"是",样本回放!$C$7:$C$318,"&gt;="&amp;D70,样本回放!$C$7:$C$318,"&lt;"&amp;D71)</x:f>
        <x:v>1</x:v>
      </x:c>
      <x:c r="I70" s="52" t="n">
        <x:f aca="0">H70/COUNTIF(样本回放!$D$7:$D$318,"是")</x:f>
        <x:v>0.003215434083601286</x:v>
      </x:c>
      <x:c r="J70" s="1" t="s">
        <x:v>190</x:v>
      </x:c>
      <x:c r="K70" s="1"/>
      <x:c r="L70" s="1"/>
      <x:c r="M70" s="1"/>
    </x:row>
    <x:row r="71" ht="20" hidden="0" customHeight="1">
      <x:c r="A71" s="51" t="n">
        <x:v>58</x:v>
      </x:c>
      <x:c r="B71" s="51" t="n">
        <x:v>3</x:v>
      </x:c>
      <x:c r="C71" s="23" t="s">
        <x:v>32</x:v>
      </x:c>
      <x:c r="D71" s="24" t="n">
        <x:f aca="0">D70+E71</x:f>
        <x:v>610100</x:v>
      </x:c>
      <x:c r="E71" s="24" t="n">
        <x:f aca="0">ROUND($B$8*(1+$B$9)^(A71-2)/$B$10,0)*$B$10</x:f>
        <x:v>48200</x:v>
      </x:c>
      <x:c r="F71" s="52" t="n">
        <x:f aca="0">E71/E70-1</x:f>
        <x:v>0.0855855855855856</x:v>
      </x:c>
      <x:c r="G71" s="24" t="n">
        <x:f aca="0">ROUNDUP(E71*7/$B$11,0)</x:f>
        <x:v>545</x:v>
      </x:c>
      <x:c r="H71" s="24" t="n">
        <x:f aca="0">COUNTIFS(样本回放!$D$7:$D$318,"是",样本回放!$C$7:$C$318,"&gt;="&amp;D71,样本回放!$C$7:$C$318,"&lt;"&amp;D72)</x:f>
        <x:v>0</x:v>
      </x:c>
      <x:c r="I71" s="52" t="n">
        <x:f aca="0">H71/COUNTIF(样本回放!$D$7:$D$318,"是")</x:f>
        <x:v>0</x:v>
      </x:c>
      <x:c r="J71" s="1" t="s">
        <x:v>190</x:v>
      </x:c>
      <x:c r="K71" s="1"/>
      <x:c r="L71" s="1"/>
      <x:c r="M71" s="1"/>
    </x:row>
    <x:row r="72" ht="20" hidden="0" customHeight="1">
      <x:c r="A72" s="51" t="n">
        <x:v>59</x:v>
      </x:c>
      <x:c r="B72" s="51" t="n">
        <x:v>3</x:v>
      </x:c>
      <x:c r="C72" s="23" t="s">
        <x:v>32</x:v>
      </x:c>
      <x:c r="D72" s="24" t="n">
        <x:f aca="0">D71+E72</x:f>
        <x:v>662400</x:v>
      </x:c>
      <x:c r="E72" s="24" t="n">
        <x:f aca="0">ROUND($B$8*(1+$B$9)^(A72-2)/$B$10,0)*$B$10</x:f>
        <x:v>52300</x:v>
      </x:c>
      <x:c r="F72" s="52" t="n">
        <x:f aca="0">E72/E71-1</x:f>
        <x:v>0.08506224066390033</x:v>
      </x:c>
      <x:c r="G72" s="24" t="n">
        <x:f aca="0">ROUNDUP(E72*7/$B$11,0)</x:f>
        <x:v>591</x:v>
      </x:c>
      <x:c r="H72" s="24" t="n">
        <x:f aca="0">COUNTIFS(样本回放!$D$7:$D$318,"是",样本回放!$C$7:$C$318,"&gt;="&amp;D72,样本回放!$C$7:$C$318,"&lt;"&amp;D73)</x:f>
        <x:v>1</x:v>
      </x:c>
      <x:c r="I72" s="52" t="n">
        <x:f aca="0">H72/COUNTIF(样本回放!$D$7:$D$318,"是")</x:f>
        <x:v>0.003215434083601286</x:v>
      </x:c>
      <x:c r="J72" s="1" t="s">
        <x:v>190</x:v>
      </x:c>
      <x:c r="K72" s="1"/>
      <x:c r="L72" s="1"/>
      <x:c r="M72" s="1"/>
    </x:row>
    <x:row r="73" ht="20" hidden="0" customHeight="1">
      <x:c r="A73" s="51" t="n">
        <x:v>60</x:v>
      </x:c>
      <x:c r="B73" s="51" t="n">
        <x:v>3</x:v>
      </x:c>
      <x:c r="C73" s="23" t="s">
        <x:v>32</x:v>
      </x:c>
      <x:c r="D73" s="24" t="n">
        <x:f aca="0">D72+E73</x:f>
        <x:v>719100</x:v>
      </x:c>
      <x:c r="E73" s="24" t="n">
        <x:f aca="0">ROUND($B$8*(1+$B$9)^(A73-2)/$B$10,0)*$B$10</x:f>
        <x:v>56700</x:v>
      </x:c>
      <x:c r="F73" s="52" t="n">
        <x:f aca="0">E73/E72-1</x:f>
        <x:v>0.08413001912045881</x:v>
      </x:c>
      <x:c r="G73" s="24" t="n">
        <x:f aca="0">ROUNDUP(E73*7/$B$11,0)</x:f>
        <x:v>641</x:v>
      </x:c>
      <x:c r="H73" s="24" t="n">
        <x:f aca="0">COUNTIFS(样本回放!$D$7:$D$318,"是",样本回放!$C$7:$C$318,"&gt;="&amp;D73,样本回放!$C$7:$C$318,"&lt;"&amp;D74)</x:f>
        <x:v>2</x:v>
      </x:c>
      <x:c r="I73" s="52" t="n">
        <x:f aca="0">H73/COUNTIF(样本回放!$D$7:$D$318,"是")</x:f>
        <x:v>0.006430868167202572</x:v>
      </x:c>
      <x:c r="J73" s="1" t="s">
        <x:v>190</x:v>
      </x:c>
      <x:c r="K73" s="1"/>
      <x:c r="L73" s="1"/>
      <x:c r="M73" s="1"/>
    </x:row>
    <x:row r="74" ht="20" hidden="0" customHeight="1">
      <x:c r="A74" s="51" t="n">
        <x:v>61</x:v>
      </x:c>
      <x:c r="B74" s="51" t="n">
        <x:v>4</x:v>
      </x:c>
      <x:c r="C74" s="23" t="s">
        <x:v>40</x:v>
      </x:c>
      <x:c r="D74" s="24" t="n">
        <x:f aca="0">D73+E74</x:f>
        <x:v>780700</x:v>
      </x:c>
      <x:c r="E74" s="24" t="n">
        <x:f aca="0">ROUND($B$8*(1+$B$9)^(A74-2)/$B$10,0)*$B$10</x:f>
        <x:v>61600</x:v>
      </x:c>
      <x:c r="F74" s="52" t="n">
        <x:f aca="0">E74/E73-1</x:f>
        <x:v>0.08641975308641969</x:v>
      </x:c>
      <x:c r="G74" s="24" t="n">
        <x:f aca="0">ROUNDUP(E74*7/$B$11,0)</x:f>
        <x:v>696</x:v>
      </x:c>
      <x:c r="H74" s="24" t="n">
        <x:f aca="0">COUNTIFS(样本回放!$D$7:$D$318,"是",样本回放!$C$7:$C$318,"&gt;="&amp;D74,样本回放!$C$7:$C$318,"&lt;"&amp;D75)</x:f>
        <x:v>0</x:v>
      </x:c>
      <x:c r="I74" s="52" t="n">
        <x:f aca="0">H74/COUNTIF(样本回放!$D$7:$D$318,"是")</x:f>
        <x:v>0</x:v>
      </x:c>
      <x:c r="J74" s="1" t="s">
        <x:v>193</x:v>
      </x:c>
      <x:c r="K74" s="1"/>
      <x:c r="L74" s="1"/>
      <x:c r="M74" s="1"/>
    </x:row>
    <x:row r="75" ht="20" hidden="0" customHeight="1">
      <x:c r="A75" s="51" t="n">
        <x:v>62</x:v>
      </x:c>
      <x:c r="B75" s="51" t="n">
        <x:v>4</x:v>
      </x:c>
      <x:c r="C75" s="23" t="s">
        <x:v>40</x:v>
      </x:c>
      <x:c r="D75" s="24" t="n">
        <x:f aca="0">D74+E75</x:f>
        <x:v>847500</x:v>
      </x:c>
      <x:c r="E75" s="24" t="n">
        <x:f aca="0">ROUND($B$8*(1+$B$9)^(A75-2)/$B$10,0)*$B$10</x:f>
        <x:v>66800</x:v>
      </x:c>
      <x:c r="F75" s="52" t="n">
        <x:f aca="0">E75/E74-1</x:f>
        <x:v>0.0844155844155845</x:v>
      </x:c>
      <x:c r="G75" s="24" t="n">
        <x:f aca="0">ROUNDUP(E75*7/$B$11,0)</x:f>
        <x:v>755</x:v>
      </x:c>
      <x:c r="H75" s="24" t="n">
        <x:f aca="0">COUNTIFS(样本回放!$D$7:$D$318,"是",样本回放!$C$7:$C$318,"&gt;="&amp;D75,样本回放!$C$7:$C$318,"&lt;"&amp;D76)</x:f>
        <x:v>1</x:v>
      </x:c>
      <x:c r="I75" s="52" t="n">
        <x:f aca="0">H75/COUNTIF(样本回放!$D$7:$D$318,"是")</x:f>
        <x:v>0.003215434083601286</x:v>
      </x:c>
      <x:c r="J75" s="1" t="s">
        <x:v>190</x:v>
      </x:c>
      <x:c r="K75" s="1"/>
      <x:c r="L75" s="1"/>
      <x:c r="M75" s="1"/>
    </x:row>
    <x:row r="76" ht="20" hidden="0" customHeight="1">
      <x:c r="A76" s="51" t="n">
        <x:v>63</x:v>
      </x:c>
      <x:c r="B76" s="51" t="n">
        <x:v>4</x:v>
      </x:c>
      <x:c r="C76" s="23" t="s">
        <x:v>40</x:v>
      </x:c>
      <x:c r="D76" s="24" t="n">
        <x:f aca="0">D75+E76</x:f>
        <x:v>920000</x:v>
      </x:c>
      <x:c r="E76" s="24" t="n">
        <x:f aca="0">ROUND($B$8*(1+$B$9)^(A76-2)/$B$10,0)*$B$10</x:f>
        <x:v>72500</x:v>
      </x:c>
      <x:c r="F76" s="52" t="n">
        <x:f aca="0">E76/E75-1</x:f>
        <x:v>0.08532934131736525</x:v>
      </x:c>
      <x:c r="G76" s="24" t="n">
        <x:f aca="0">ROUNDUP(E76*7/$B$11,0)</x:f>
        <x:v>819</x:v>
      </x:c>
      <x:c r="H76" s="24" t="n">
        <x:f aca="0">COUNTIFS(样本回放!$D$7:$D$318,"是",样本回放!$C$7:$C$318,"&gt;="&amp;D76,样本回放!$C$7:$C$318,"&lt;"&amp;D77)</x:f>
        <x:v>0</x:v>
      </x:c>
      <x:c r="I76" s="52" t="n">
        <x:f aca="0">H76/COUNTIF(样本回放!$D$7:$D$318,"是")</x:f>
        <x:v>0</x:v>
      </x:c>
      <x:c r="J76" s="1" t="s">
        <x:v>190</x:v>
      </x:c>
      <x:c r="K76" s="1"/>
      <x:c r="L76" s="1"/>
      <x:c r="M76" s="1"/>
    </x:row>
    <x:row r="77" ht="20" hidden="0" customHeight="1">
      <x:c r="A77" s="51" t="n">
        <x:v>64</x:v>
      </x:c>
      <x:c r="B77" s="51" t="n">
        <x:v>4</x:v>
      </x:c>
      <x:c r="C77" s="23" t="s">
        <x:v>40</x:v>
      </x:c>
      <x:c r="D77" s="24" t="n">
        <x:f aca="0">D76+E77</x:f>
        <x:v>998600</x:v>
      </x:c>
      <x:c r="E77" s="24" t="n">
        <x:f aca="0">ROUND($B$8*(1+$B$9)^(A77-2)/$B$10,0)*$B$10</x:f>
        <x:v>78600</x:v>
      </x:c>
      <x:c r="F77" s="52" t="n">
        <x:f aca="0">E77/E76-1</x:f>
        <x:v>0.08413793103448275</x:v>
      </x:c>
      <x:c r="G77" s="24" t="n">
        <x:f aca="0">ROUNDUP(E77*7/$B$11,0)</x:f>
        <x:v>888</x:v>
      </x:c>
      <x:c r="H77" s="24" t="n">
        <x:f aca="0">COUNTIFS(样本回放!$D$7:$D$318,"是",样本回放!$C$7:$C$318,"&gt;="&amp;D77,样本回放!$C$7:$C$318,"&lt;"&amp;D78)</x:f>
        <x:v>0</x:v>
      </x:c>
      <x:c r="I77" s="52" t="n">
        <x:f aca="0">H77/COUNTIF(样本回放!$D$7:$D$318,"是")</x:f>
        <x:v>0</x:v>
      </x:c>
      <x:c r="J77" s="1" t="s">
        <x:v>190</x:v>
      </x:c>
      <x:c r="K77" s="1"/>
      <x:c r="L77" s="1"/>
      <x:c r="M77" s="1"/>
    </x:row>
    <x:row r="78" ht="20" hidden="0" customHeight="1">
      <x:c r="A78" s="51" t="n">
        <x:v>65</x:v>
      </x:c>
      <x:c r="B78" s="51" t="n">
        <x:v>4</x:v>
      </x:c>
      <x:c r="C78" s="23" t="s">
        <x:v>40</x:v>
      </x:c>
      <x:c r="D78" s="24" t="n">
        <x:f aca="0">D77+E78</x:f>
        <x:v>1083900</x:v>
      </x:c>
      <x:c r="E78" s="24" t="n">
        <x:f aca="0">ROUND($B$8*(1+$B$9)^(A78-2)/$B$10,0)*$B$10</x:f>
        <x:v>85300</x:v>
      </x:c>
      <x:c r="F78" s="52" t="n">
        <x:f aca="0">E78/E77-1</x:f>
        <x:v>0.08524173027989823</x:v>
      </x:c>
      <x:c r="G78" s="24" t="n">
        <x:f aca="0">ROUNDUP(E78*7/$B$11,0)</x:f>
        <x:v>964</x:v>
      </x:c>
      <x:c r="H78" s="24" t="n">
        <x:f aca="0">COUNTIFS(样本回放!$D$7:$D$318,"是",样本回放!$C$7:$C$318,"&gt;="&amp;D78,样本回放!$C$7:$C$318,"&lt;"&amp;D79)</x:f>
        <x:v>0</x:v>
      </x:c>
      <x:c r="I78" s="52" t="n">
        <x:f aca="0">H78/COUNTIF(样本回放!$D$7:$D$318,"是")</x:f>
        <x:v>0</x:v>
      </x:c>
      <x:c r="J78" s="1" t="s">
        <x:v>190</x:v>
      </x:c>
      <x:c r="K78" s="1"/>
      <x:c r="L78" s="1"/>
      <x:c r="M78" s="1"/>
    </x:row>
    <x:row r="79" ht="20" hidden="0" customHeight="1">
      <x:c r="A79" s="51" t="n">
        <x:v>66</x:v>
      </x:c>
      <x:c r="B79" s="51" t="n">
        <x:v>4</x:v>
      </x:c>
      <x:c r="C79" s="23" t="s">
        <x:v>40</x:v>
      </x:c>
      <x:c r="D79" s="24" t="n">
        <x:f aca="0">D78+E79</x:f>
        <x:v>1176500</x:v>
      </x:c>
      <x:c r="E79" s="24" t="n">
        <x:f aca="0">ROUND($B$8*(1+$B$9)^(A79-2)/$B$10,0)*$B$10</x:f>
        <x:v>92600</x:v>
      </x:c>
      <x:c r="F79" s="52" t="n">
        <x:f aca="0">E79/E78-1</x:f>
        <x:v>0.08558030480656509</x:v>
      </x:c>
      <x:c r="G79" s="24" t="n">
        <x:f aca="0">ROUNDUP(E79*7/$B$11,0)</x:f>
        <x:v>1046</x:v>
      </x:c>
      <x:c r="H79" s="24" t="n">
        <x:f aca="0">COUNTIFS(样本回放!$D$7:$D$318,"是",样本回放!$C$7:$C$318,"&gt;="&amp;D79,样本回放!$C$7:$C$318,"&lt;"&amp;D80)</x:f>
        <x:v>1</x:v>
      </x:c>
      <x:c r="I79" s="52" t="n">
        <x:f aca="0">H79/COUNTIF(样本回放!$D$7:$D$318,"是")</x:f>
        <x:v>0.003215434083601286</x:v>
      </x:c>
      <x:c r="J79" s="1" t="s">
        <x:v>190</x:v>
      </x:c>
      <x:c r="K79" s="1"/>
      <x:c r="L79" s="1"/>
      <x:c r="M79" s="1"/>
    </x:row>
    <x:row r="80" ht="20" hidden="0" customHeight="1">
      <x:c r="A80" s="51" t="n">
        <x:v>67</x:v>
      </x:c>
      <x:c r="B80" s="51" t="n">
        <x:v>4</x:v>
      </x:c>
      <x:c r="C80" s="23" t="s">
        <x:v>40</x:v>
      </x:c>
      <x:c r="D80" s="24" t="n">
        <x:f aca="0">D79+E80</x:f>
        <x:v>1276900</x:v>
      </x:c>
      <x:c r="E80" s="24" t="n">
        <x:f aca="0">ROUND($B$8*(1+$B$9)^(A80-2)/$B$10,0)*$B$10</x:f>
        <x:v>100400</x:v>
      </x:c>
      <x:c r="F80" s="52" t="n">
        <x:f aca="0">E80/E79-1</x:f>
        <x:v>0.08423326133909281</x:v>
      </x:c>
      <x:c r="G80" s="24" t="n">
        <x:f aca="0">ROUNDUP(E80*7/$B$11,0)</x:f>
        <x:v>1134</x:v>
      </x:c>
      <x:c r="H80" s="24" t="n">
        <x:f aca="0">COUNTIFS(样本回放!$D$7:$D$318,"是",样本回放!$C$7:$C$318,"&gt;="&amp;D80,样本回放!$C$7:$C$318,"&lt;"&amp;D81)</x:f>
        <x:v>0</x:v>
      </x:c>
      <x:c r="I80" s="52" t="n">
        <x:f aca="0">H80/COUNTIF(样本回放!$D$7:$D$318,"是")</x:f>
        <x:v>0</x:v>
      </x:c>
      <x:c r="J80" s="1" t="s">
        <x:v>190</x:v>
      </x:c>
      <x:c r="K80" s="1"/>
      <x:c r="L80" s="1"/>
      <x:c r="M80" s="1"/>
    </x:row>
    <x:row r="81" ht="20" hidden="0" customHeight="1">
      <x:c r="A81" s="51" t="n">
        <x:v>68</x:v>
      </x:c>
      <x:c r="B81" s="51" t="n">
        <x:v>4</x:v>
      </x:c>
      <x:c r="C81" s="23" t="s">
        <x:v>40</x:v>
      </x:c>
      <x:c r="D81" s="24" t="n">
        <x:f aca="0">D80+E81</x:f>
        <x:v>1385900</x:v>
      </x:c>
      <x:c r="E81" s="24" t="n">
        <x:f aca="0">ROUND($B$8*(1+$B$9)^(A81-2)/$B$10,0)*$B$10</x:f>
        <x:v>109000</x:v>
      </x:c>
      <x:c r="F81" s="52" t="n">
        <x:f aca="0">E81/E80-1</x:f>
        <x:v>0.08565737051792821</x:v>
      </x:c>
      <x:c r="G81" s="24" t="n">
        <x:f aca="0">ROUNDUP(E81*7/$B$11,0)</x:f>
        <x:v>1231</x:v>
      </x:c>
      <x:c r="H81" s="24" t="n">
        <x:f aca="0">COUNTIFS(样本回放!$D$7:$D$318,"是",样本回放!$C$7:$C$318,"&gt;="&amp;D81,样本回放!$C$7:$C$318,"&lt;"&amp;D82)</x:f>
        <x:v>0</x:v>
      </x:c>
      <x:c r="I81" s="52" t="n">
        <x:f aca="0">H81/COUNTIF(样本回放!$D$7:$D$318,"是")</x:f>
        <x:v>0</x:v>
      </x:c>
      <x:c r="J81" s="1" t="s">
        <x:v>190</x:v>
      </x:c>
      <x:c r="K81" s="1"/>
      <x:c r="L81" s="1"/>
      <x:c r="M81" s="1"/>
    </x:row>
    <x:row r="82" ht="20" hidden="0" customHeight="1">
      <x:c r="A82" s="51" t="n">
        <x:v>69</x:v>
      </x:c>
      <x:c r="B82" s="51" t="n">
        <x:v>4</x:v>
      </x:c>
      <x:c r="C82" s="23" t="s">
        <x:v>40</x:v>
      </x:c>
      <x:c r="D82" s="24" t="n">
        <x:f aca="0">D81+E82</x:f>
        <x:v>1504100</x:v>
      </x:c>
      <x:c r="E82" s="24" t="n">
        <x:f aca="0">ROUND($B$8*(1+$B$9)^(A82-2)/$B$10,0)*$B$10</x:f>
        <x:v>118200</x:v>
      </x:c>
      <x:c r="F82" s="52" t="n">
        <x:f aca="0">E82/E81-1</x:f>
        <x:v>0.08440366972477054</x:v>
      </x:c>
      <x:c r="G82" s="24" t="n">
        <x:f aca="0">ROUNDUP(E82*7/$B$11,0)</x:f>
        <x:v>1335</x:v>
      </x:c>
      <x:c r="H82" s="24" t="n">
        <x:f aca="0">COUNTIFS(样本回放!$D$7:$D$318,"是",样本回放!$C$7:$C$318,"&gt;="&amp;D82,样本回放!$C$7:$C$318,"&lt;"&amp;D83)</x:f>
        <x:v>3</x:v>
      </x:c>
      <x:c r="I82" s="52" t="n">
        <x:f aca="0">H82/COUNTIF(样本回放!$D$7:$D$318,"是")</x:f>
        <x:v>0.00964630225080386</x:v>
      </x:c>
      <x:c r="J82" s="1" t="s">
        <x:v>190</x:v>
      </x:c>
      <x:c r="K82" s="1"/>
      <x:c r="L82" s="1"/>
      <x:c r="M82" s="1"/>
    </x:row>
    <x:row r="83" ht="20" hidden="0" customHeight="1">
      <x:c r="A83" s="51" t="n">
        <x:v>70</x:v>
      </x:c>
      <x:c r="B83" s="51" t="n">
        <x:v>4</x:v>
      </x:c>
      <x:c r="C83" s="23" t="s">
        <x:v>40</x:v>
      </x:c>
      <x:c r="D83" s="24" t="n">
        <x:f aca="0">D82+E83</x:f>
        <x:v>1632400</x:v>
      </x:c>
      <x:c r="E83" s="24" t="n">
        <x:f aca="0">ROUND($B$8*(1+$B$9)^(A83-2)/$B$10,0)*$B$10</x:f>
        <x:v>128300</x:v>
      </x:c>
      <x:c r="F83" s="52" t="n">
        <x:f aca="0">E83/E82-1</x:f>
        <x:v>0.08544839255499159</x:v>
      </x:c>
      <x:c r="G83" s="24" t="n">
        <x:f aca="0">ROUNDUP(E83*7/$B$11,0)</x:f>
        <x:v>1449</x:v>
      </x:c>
      <x:c r="H83" s="24" t="n">
        <x:f aca="0">COUNTIFS(样本回放!$D$7:$D$318,"是",样本回放!$C$7:$C$318,"&gt;="&amp;D83,样本回放!$C$7:$C$318,"&lt;"&amp;D84)</x:f>
        <x:v>0</x:v>
      </x:c>
      <x:c r="I83" s="52" t="n">
        <x:f aca="0">H83/COUNTIF(样本回放!$D$7:$D$318,"是")</x:f>
        <x:v>0</x:v>
      </x:c>
      <x:c r="J83" s="1" t="s">
        <x:v>190</x:v>
      </x:c>
      <x:c r="K83" s="1"/>
      <x:c r="L83" s="1"/>
      <x:c r="M83" s="1"/>
    </x:row>
    <x:row r="84" ht="20" hidden="0" customHeight="1">
      <x:c r="A84" s="51" t="n">
        <x:v>71</x:v>
      </x:c>
      <x:c r="B84" s="51" t="n">
        <x:v>4</x:v>
      </x:c>
      <x:c r="C84" s="23" t="s">
        <x:v>40</x:v>
      </x:c>
      <x:c r="D84" s="24" t="n">
        <x:f aca="0">D83+E84</x:f>
        <x:v>1771600</x:v>
      </x:c>
      <x:c r="E84" s="24" t="n">
        <x:f aca="0">ROUND($B$8*(1+$B$9)^(A84-2)/$B$10,0)*$B$10</x:f>
        <x:v>139200</x:v>
      </x:c>
      <x:c r="F84" s="52" t="n">
        <x:f aca="0">E84/E83-1</x:f>
        <x:v>0.08495713172252528</x:v>
      </x:c>
      <x:c r="G84" s="24" t="n">
        <x:f aca="0">ROUNDUP(E84*7/$B$11,0)</x:f>
        <x:v>1572</x:v>
      </x:c>
      <x:c r="H84" s="24" t="n">
        <x:f aca="0">COUNTIFS(样本回放!$D$7:$D$318,"是",样本回放!$C$7:$C$318,"&gt;="&amp;D84,样本回放!$C$7:$C$318,"&lt;"&amp;D85)</x:f>
        <x:v>0</x:v>
      </x:c>
      <x:c r="I84" s="52" t="n">
        <x:f aca="0">H84/COUNTIF(样本回放!$D$7:$D$318,"是")</x:f>
        <x:v>0</x:v>
      </x:c>
      <x:c r="J84" s="1" t="s">
        <x:v>190</x:v>
      </x:c>
      <x:c r="K84" s="1"/>
      <x:c r="L84" s="1"/>
      <x:c r="M84" s="1"/>
    </x:row>
    <x:row r="85" ht="20" hidden="0" customHeight="1">
      <x:c r="A85" s="51" t="n">
        <x:v>72</x:v>
      </x:c>
      <x:c r="B85" s="51" t="n">
        <x:v>4</x:v>
      </x:c>
      <x:c r="C85" s="23" t="s">
        <x:v>40</x:v>
      </x:c>
      <x:c r="D85" s="24" t="n">
        <x:f aca="0">D84+E85</x:f>
        <x:v>1922600</x:v>
      </x:c>
      <x:c r="E85" s="24" t="n">
        <x:f aca="0">ROUND($B$8*(1+$B$9)^(A85-2)/$B$10,0)*$B$10</x:f>
        <x:v>151000</x:v>
      </x:c>
      <x:c r="F85" s="52" t="n">
        <x:f aca="0">E85/E84-1</x:f>
        <x:v>0.08477011494252884</x:v>
      </x:c>
      <x:c r="G85" s="24" t="n">
        <x:f aca="0">ROUNDUP(E85*7/$B$11,0)</x:f>
        <x:v>1705</x:v>
      </x:c>
      <x:c r="H85" s="24" t="n">
        <x:f aca="0">COUNTIFS(样本回放!$D$7:$D$318,"是",样本回放!$C$7:$C$318,"&gt;="&amp;D85,样本回放!$C$7:$C$318,"&lt;"&amp;D86)</x:f>
        <x:v>0</x:v>
      </x:c>
      <x:c r="I85" s="52" t="n">
        <x:f aca="0">H85/COUNTIF(样本回放!$D$7:$D$318,"是")</x:f>
        <x:v>0</x:v>
      </x:c>
      <x:c r="J85" s="1" t="s">
        <x:v>190</x:v>
      </x:c>
      <x:c r="K85" s="1"/>
      <x:c r="L85" s="1"/>
      <x:c r="M85" s="1"/>
    </x:row>
    <x:row r="86" ht="20" hidden="0" customHeight="1">
      <x:c r="A86" s="51" t="n">
        <x:v>73</x:v>
      </x:c>
      <x:c r="B86" s="51" t="n">
        <x:v>4</x:v>
      </x:c>
      <x:c r="C86" s="23" t="s">
        <x:v>40</x:v>
      </x:c>
      <x:c r="D86" s="24" t="n">
        <x:f aca="0">D85+E86</x:f>
        <x:v>2086500</x:v>
      </x:c>
      <x:c r="E86" s="24" t="n">
        <x:f aca="0">ROUND($B$8*(1+$B$9)^(A86-2)/$B$10,0)*$B$10</x:f>
        <x:v>163900</x:v>
      </x:c>
      <x:c r="F86" s="52" t="n">
        <x:f aca="0">E86/E85-1</x:f>
        <x:v>0.08543046357615891</x:v>
      </x:c>
      <x:c r="G86" s="24" t="n">
        <x:f aca="0">ROUNDUP(E86*7/$B$11,0)</x:f>
        <x:v>1851</x:v>
      </x:c>
      <x:c r="H86" s="24" t="n">
        <x:f aca="0">COUNTIFS(样本回放!$D$7:$D$318,"是",样本回放!$C$7:$C$318,"&gt;="&amp;D86,样本回放!$C$7:$C$318,"&lt;"&amp;D87)</x:f>
        <x:v>0</x:v>
      </x:c>
      <x:c r="I86" s="52" t="n">
        <x:f aca="0">H86/COUNTIF(样本回放!$D$7:$D$318,"是")</x:f>
        <x:v>0</x:v>
      </x:c>
      <x:c r="J86" s="1" t="s">
        <x:v>190</x:v>
      </x:c>
      <x:c r="K86" s="1"/>
      <x:c r="L86" s="1"/>
      <x:c r="M86" s="1"/>
    </x:row>
    <x:row r="87" ht="20" hidden="0" customHeight="1">
      <x:c r="A87" s="51" t="n">
        <x:v>74</x:v>
      </x:c>
      <x:c r="B87" s="51" t="n">
        <x:v>4</x:v>
      </x:c>
      <x:c r="C87" s="23" t="s">
        <x:v>40</x:v>
      </x:c>
      <x:c r="D87" s="24" t="n">
        <x:f aca="0">D86+E87</x:f>
        <x:v>2264300</x:v>
      </x:c>
      <x:c r="E87" s="24" t="n">
        <x:f aca="0">ROUND($B$8*(1+$B$9)^(A87-2)/$B$10,0)*$B$10</x:f>
        <x:v>177800</x:v>
      </x:c>
      <x:c r="F87" s="52" t="n">
        <x:f aca="0">E87/E86-1</x:f>
        <x:v>0.08480780964002443</x:v>
      </x:c>
      <x:c r="G87" s="24" t="n">
        <x:f aca="0">ROUNDUP(E87*7/$B$11,0)</x:f>
        <x:v>2008</x:v>
      </x:c>
      <x:c r="H87" s="24" t="n">
        <x:f aca="0">COUNTIFS(样本回放!$D$7:$D$318,"是",样本回放!$C$7:$C$318,"&gt;="&amp;D87,样本回放!$C$7:$C$318,"&lt;"&amp;D88)</x:f>
        <x:v>0</x:v>
      </x:c>
      <x:c r="I87" s="52" t="n">
        <x:f aca="0">H87/COUNTIF(样本回放!$D$7:$D$318,"是")</x:f>
        <x:v>0</x:v>
      </x:c>
      <x:c r="J87" s="1" t="s">
        <x:v>190</x:v>
      </x:c>
      <x:c r="K87" s="1"/>
      <x:c r="L87" s="1"/>
      <x:c r="M87" s="1"/>
    </x:row>
    <x:row r="88" ht="20" hidden="0" customHeight="1">
      <x:c r="A88" s="51" t="n">
        <x:v>75</x:v>
      </x:c>
      <x:c r="B88" s="51" t="n">
        <x:v>4</x:v>
      </x:c>
      <x:c r="C88" s="23" t="s">
        <x:v>40</x:v>
      </x:c>
      <x:c r="D88" s="24" t="n">
        <x:f aca="0">D87+E88</x:f>
        <x:v>2457200</x:v>
      </x:c>
      <x:c r="E88" s="24" t="n">
        <x:f aca="0">ROUND($B$8*(1+$B$9)^(A88-2)/$B$10,0)*$B$10</x:f>
        <x:v>192900</x:v>
      </x:c>
      <x:c r="F88" s="52" t="n">
        <x:f aca="0">E88/E87-1</x:f>
        <x:v>0.08492688413948257</x:v>
      </x:c>
      <x:c r="G88" s="24" t="n">
        <x:f aca="0">ROUNDUP(E88*7/$B$11,0)</x:f>
        <x:v>2178</x:v>
      </x:c>
      <x:c r="H88" s="24" t="n">
        <x:f aca="0">COUNTIFS(样本回放!$D$7:$D$318,"是",样本回放!$C$7:$C$318,"&gt;="&amp;D88,样本回放!$C$7:$C$318,"&lt;"&amp;D89)</x:f>
        <x:v>0</x:v>
      </x:c>
      <x:c r="I88" s="52" t="n">
        <x:f aca="0">H88/COUNTIF(样本回放!$D$7:$D$318,"是")</x:f>
        <x:v>0</x:v>
      </x:c>
      <x:c r="J88" s="1" t="s">
        <x:v>190</x:v>
      </x:c>
      <x:c r="K88" s="1"/>
      <x:c r="L88" s="1"/>
      <x:c r="M88" s="1"/>
    </x:row>
    <x:row r="89" ht="20" hidden="0" customHeight="1">
      <x:c r="A89" s="51" t="n">
        <x:v>76</x:v>
      </x:c>
      <x:c r="B89" s="51" t="n">
        <x:v>4</x:v>
      </x:c>
      <x:c r="C89" s="23" t="s">
        <x:v>40</x:v>
      </x:c>
      <x:c r="D89" s="24" t="n">
        <x:f aca="0">D88+E89</x:f>
        <x:v>2666500</x:v>
      </x:c>
      <x:c r="E89" s="24" t="n">
        <x:f aca="0">ROUND($B$8*(1+$B$9)^(A89-2)/$B$10,0)*$B$10</x:f>
        <x:v>209300</x:v>
      </x:c>
      <x:c r="F89" s="52" t="n">
        <x:f aca="0">E89/E88-1</x:f>
        <x:v>0.08501814411612241</x:v>
      </x:c>
      <x:c r="G89" s="24" t="n">
        <x:f aca="0">ROUNDUP(E89*7/$B$11,0)</x:f>
        <x:v>2364</x:v>
      </x:c>
      <x:c r="H89" s="24" t="n">
        <x:f aca="0">COUNTIFS(样本回放!$D$7:$D$318,"是",样本回放!$C$7:$C$318,"&gt;="&amp;D89,样本回放!$C$7:$C$318,"&lt;"&amp;D90)</x:f>
        <x:v>0</x:v>
      </x:c>
      <x:c r="I89" s="52" t="n">
        <x:f aca="0">H89/COUNTIF(样本回放!$D$7:$D$318,"是")</x:f>
        <x:v>0</x:v>
      </x:c>
      <x:c r="J89" s="1" t="s">
        <x:v>190</x:v>
      </x:c>
      <x:c r="K89" s="1"/>
      <x:c r="L89" s="1"/>
      <x:c r="M89" s="1"/>
    </x:row>
    <x:row r="90" ht="20" hidden="0" customHeight="1">
      <x:c r="A90" s="51" t="n">
        <x:v>77</x:v>
      </x:c>
      <x:c r="B90" s="51" t="n">
        <x:v>4</x:v>
      </x:c>
      <x:c r="C90" s="23" t="s">
        <x:v>40</x:v>
      </x:c>
      <x:c r="D90" s="24" t="n">
        <x:f aca="0">D89+E90</x:f>
        <x:v>2893600</x:v>
      </x:c>
      <x:c r="E90" s="24" t="n">
        <x:f aca="0">ROUND($B$8*(1+$B$9)^(A90-2)/$B$10,0)*$B$10</x:f>
        <x:v>227100</x:v>
      </x:c>
      <x:c r="F90" s="52" t="n">
        <x:f aca="0">E90/E89-1</x:f>
        <x:v>0.08504538939321549</x:v>
      </x:c>
      <x:c r="G90" s="24" t="n">
        <x:f aca="0">ROUNDUP(E90*7/$B$11,0)</x:f>
        <x:v>2565</x:v>
      </x:c>
      <x:c r="H90" s="24" t="n">
        <x:f aca="0">COUNTIFS(样本回放!$D$7:$D$318,"是",样本回放!$C$7:$C$318,"&gt;="&amp;D90,样本回放!$C$7:$C$318,"&lt;"&amp;D91)</x:f>
        <x:v>0</x:v>
      </x:c>
      <x:c r="I90" s="52" t="n">
        <x:f aca="0">H90/COUNTIF(样本回放!$D$7:$D$318,"是")</x:f>
        <x:v>0</x:v>
      </x:c>
      <x:c r="J90" s="1" t="s">
        <x:v>190</x:v>
      </x:c>
      <x:c r="K90" s="1"/>
      <x:c r="L90" s="1"/>
      <x:c r="M90" s="1"/>
    </x:row>
    <x:row r="91" ht="20" hidden="0" customHeight="1">
      <x:c r="A91" s="51" t="n">
        <x:v>78</x:v>
      </x:c>
      <x:c r="B91" s="51" t="n">
        <x:v>4</x:v>
      </x:c>
      <x:c r="C91" s="23" t="s">
        <x:v>40</x:v>
      </x:c>
      <x:c r="D91" s="24" t="n">
        <x:f aca="0">D90+E91</x:f>
        <x:v>3140000</x:v>
      </x:c>
      <x:c r="E91" s="24" t="n">
        <x:f aca="0">ROUND($B$8*(1+$B$9)^(A91-2)/$B$10,0)*$B$10</x:f>
        <x:v>246400</x:v>
      </x:c>
      <x:c r="F91" s="52" t="n">
        <x:f aca="0">E91/E90-1</x:f>
        <x:v>0.0849845882870981</x:v>
      </x:c>
      <x:c r="G91" s="24" t="n">
        <x:f aca="0">ROUNDUP(E91*7/$B$11,0)</x:f>
        <x:v>2782</x:v>
      </x:c>
      <x:c r="H91" s="24" t="n">
        <x:f aca="0">COUNTIFS(样本回放!$D$7:$D$318,"是",样本回放!$C$7:$C$318,"&gt;="&amp;D91,样本回放!$C$7:$C$318,"&lt;"&amp;D92)</x:f>
        <x:v>0</x:v>
      </x:c>
      <x:c r="I91" s="52" t="n">
        <x:f aca="0">H91/COUNTIF(样本回放!$D$7:$D$318,"是")</x:f>
        <x:v>0</x:v>
      </x:c>
      <x:c r="J91" s="1" t="s">
        <x:v>190</x:v>
      </x:c>
      <x:c r="K91" s="1"/>
      <x:c r="L91" s="1"/>
      <x:c r="M91" s="1"/>
    </x:row>
    <x:row r="92" ht="20" hidden="0" customHeight="1">
      <x:c r="A92" s="51" t="n">
        <x:v>79</x:v>
      </x:c>
      <x:c r="B92" s="51" t="n">
        <x:v>4</x:v>
      </x:c>
      <x:c r="C92" s="23" t="s">
        <x:v>40</x:v>
      </x:c>
      <x:c r="D92" s="24" t="n">
        <x:f aca="0">D91+E92</x:f>
        <x:v>3407300</x:v>
      </x:c>
      <x:c r="E92" s="24" t="n">
        <x:f aca="0">ROUND($B$8*(1+$B$9)^(A92-2)/$B$10,0)*$B$10</x:f>
        <x:v>267300</x:v>
      </x:c>
      <x:c r="F92" s="52" t="n">
        <x:f aca="0">E92/E91-1</x:f>
        <x:v>0.0848214285714286</x:v>
      </x:c>
      <x:c r="G92" s="24" t="n">
        <x:f aca="0">ROUNDUP(E92*7/$B$11,0)</x:f>
        <x:v>3018</x:v>
      </x:c>
      <x:c r="H92" s="24" t="n">
        <x:f aca="0">COUNTIFS(样本回放!$D$7:$D$318,"是",样本回放!$C$7:$C$318,"&gt;="&amp;D92,样本回放!$C$7:$C$318,"&lt;"&amp;D93)</x:f>
        <x:v>1</x:v>
      </x:c>
      <x:c r="I92" s="52" t="n">
        <x:f aca="0">H92/COUNTIF(样本回放!$D$7:$D$318,"是")</x:f>
        <x:v>0.003215434083601286</x:v>
      </x:c>
      <x:c r="J92" s="1" t="s">
        <x:v>190</x:v>
      </x:c>
      <x:c r="K92" s="1"/>
      <x:c r="L92" s="1"/>
      <x:c r="M92" s="1"/>
    </x:row>
    <x:row r="93" ht="20" hidden="0" customHeight="1">
      <x:c r="A93" s="51" t="n">
        <x:v>80</x:v>
      </x:c>
      <x:c r="B93" s="51" t="n">
        <x:v>4</x:v>
      </x:c>
      <x:c r="C93" s="23" t="s">
        <x:v>40</x:v>
      </x:c>
      <x:c r="D93" s="24" t="n">
        <x:f aca="0">D92+E93</x:f>
        <x:v>3697400</x:v>
      </x:c>
      <x:c r="E93" s="24" t="n">
        <x:f aca="0">ROUND($B$8*(1+$B$9)^(A93-2)/$B$10,0)*$B$10</x:f>
        <x:v>290100</x:v>
      </x:c>
      <x:c r="F93" s="52" t="n">
        <x:f aca="0">E93/E92-1</x:f>
        <x:v>0.08529741863075202</x:v>
      </x:c>
      <x:c r="G93" s="24" t="n">
        <x:f aca="0">ROUNDUP(E93*7/$B$11,0)</x:f>
        <x:v>3276</x:v>
      </x:c>
      <x:c r="H93" s="24" t="n">
        <x:f aca="0">COUNTIFS(样本回放!$D$7:$D$318,"是",样本回放!$C$7:$C$318,"&gt;="&amp;D93,样本回放!$C$7:$C$318,"&lt;"&amp;D94)</x:f>
        <x:v>0</x:v>
      </x:c>
      <x:c r="I93" s="52" t="n">
        <x:f aca="0">H93/COUNTIF(样本回放!$D$7:$D$318,"是")</x:f>
        <x:v>0</x:v>
      </x:c>
      <x:c r="J93" s="1" t="s">
        <x:v>190</x:v>
      </x:c>
      <x:c r="K93" s="1"/>
      <x:c r="L93" s="1"/>
      <x:c r="M93" s="1"/>
    </x:row>
    <x:row r="94" ht="20" hidden="0" customHeight="1">
      <x:c r="A94" s="51" t="n">
        <x:v>81</x:v>
      </x:c>
      <x:c r="B94" s="51" t="n">
        <x:v>5</x:v>
      </x:c>
      <x:c r="C94" s="23" t="s">
        <x:v>48</x:v>
      </x:c>
      <x:c r="D94" s="24" t="n">
        <x:f aca="0">D93+E94</x:f>
        <x:v>4012100</x:v>
      </x:c>
      <x:c r="E94" s="24" t="n">
        <x:f aca="0">ROUND($B$8*(1+$B$9)^(A94-2)/$B$10,0)*$B$10</x:f>
        <x:v>314700</x:v>
      </x:c>
      <x:c r="F94" s="52" t="n">
        <x:f aca="0">E94/E93-1</x:f>
        <x:v>0.08479834539813846</x:v>
      </x:c>
      <x:c r="G94" s="24" t="n">
        <x:f aca="0">ROUNDUP(E94*7/$B$11,0)</x:f>
        <x:v>3554</x:v>
      </x:c>
      <x:c r="H94" s="24" t="n">
        <x:f aca="0">COUNTIFS(样本回放!$D$7:$D$318,"是",样本回放!$C$7:$C$318,"&gt;="&amp;D94,样本回放!$C$7:$C$318,"&lt;"&amp;D95)</x:f>
        <x:v>0</x:v>
      </x:c>
      <x:c r="I94" s="52" t="n">
        <x:f aca="0">H94/COUNTIF(样本回放!$D$7:$D$318,"是")</x:f>
        <x:v>0</x:v>
      </x:c>
      <x:c r="J94" s="1" t="s">
        <x:v>194</x:v>
      </x:c>
      <x:c r="K94" s="1"/>
      <x:c r="L94" s="1"/>
      <x:c r="M94" s="1"/>
    </x:row>
    <x:row r="95" ht="20" hidden="0" customHeight="1">
      <x:c r="A95" s="51" t="n">
        <x:v>82</x:v>
      </x:c>
      <x:c r="B95" s="51" t="n">
        <x:v>5</x:v>
      </x:c>
      <x:c r="C95" s="23" t="s">
        <x:v>48</x:v>
      </x:c>
      <x:c r="D95" s="24" t="n">
        <x:f aca="0">D94+E95</x:f>
        <x:v>4353600</x:v>
      </x:c>
      <x:c r="E95" s="24" t="n">
        <x:f aca="0">ROUND($B$8*(1+$B$9)^(A95-2)/$B$10,0)*$B$10</x:f>
        <x:v>341500</x:v>
      </x:c>
      <x:c r="F95" s="52" t="n">
        <x:f aca="0">E95/E94-1</x:f>
        <x:v>0.08516047028916418</x:v>
      </x:c>
      <x:c r="G95" s="24" t="n">
        <x:f aca="0">ROUNDUP(E95*7/$B$11,0)</x:f>
        <x:v>3856</x:v>
      </x:c>
      <x:c r="H95" s="24" t="n">
        <x:f aca="0">COUNTIFS(样本回放!$D$7:$D$318,"是",样本回放!$C$7:$C$318,"&gt;="&amp;D95,样本回放!$C$7:$C$318,"&lt;"&amp;D96)</x:f>
        <x:v>0</x:v>
      </x:c>
      <x:c r="I95" s="52" t="n">
        <x:f aca="0">H95/COUNTIF(样本回放!$D$7:$D$318,"是")</x:f>
        <x:v>0</x:v>
      </x:c>
      <x:c r="J95" s="1" t="s">
        <x:v>190</x:v>
      </x:c>
      <x:c r="K95" s="1"/>
      <x:c r="L95" s="1"/>
      <x:c r="M95" s="1"/>
    </x:row>
    <x:row r="96" ht="20" hidden="0" customHeight="1">
      <x:c r="A96" s="51" t="n">
        <x:v>83</x:v>
      </x:c>
      <x:c r="B96" s="51" t="n">
        <x:v>5</x:v>
      </x:c>
      <x:c r="C96" s="23" t="s">
        <x:v>48</x:v>
      </x:c>
      <x:c r="D96" s="24" t="n">
        <x:f aca="0">D95+E96</x:f>
        <x:v>4724100</x:v>
      </x:c>
      <x:c r="E96" s="24" t="n">
        <x:f aca="0">ROUND($B$8*(1+$B$9)^(A96-2)/$B$10,0)*$B$10</x:f>
        <x:v>370500</x:v>
      </x:c>
      <x:c r="F96" s="52" t="n">
        <x:f aca="0">E96/E95-1</x:f>
        <x:v>0.08491947291361646</x:v>
      </x:c>
      <x:c r="G96" s="24" t="n">
        <x:f aca="0">ROUNDUP(E96*7/$B$11,0)</x:f>
        <x:v>4184</x:v>
      </x:c>
      <x:c r="H96" s="24" t="n">
        <x:f aca="0">COUNTIFS(样本回放!$D$7:$D$318,"是",样本回放!$C$7:$C$318,"&gt;="&amp;D96,样本回放!$C$7:$C$318,"&lt;"&amp;D97)</x:f>
        <x:v>0</x:v>
      </x:c>
      <x:c r="I96" s="52" t="n">
        <x:f aca="0">H96/COUNTIF(样本回放!$D$7:$D$318,"是")</x:f>
        <x:v>0</x:v>
      </x:c>
      <x:c r="J96" s="1" t="s">
        <x:v>190</x:v>
      </x:c>
      <x:c r="K96" s="1"/>
      <x:c r="L96" s="1"/>
      <x:c r="M96" s="1"/>
    </x:row>
    <x:row r="97" ht="20" hidden="0" customHeight="1">
      <x:c r="A97" s="51" t="n">
        <x:v>84</x:v>
      </x:c>
      <x:c r="B97" s="51" t="n">
        <x:v>5</x:v>
      </x:c>
      <x:c r="C97" s="23" t="s">
        <x:v>48</x:v>
      </x:c>
      <x:c r="D97" s="24" t="n">
        <x:f aca="0">D96+E97</x:f>
        <x:v>5126100</x:v>
      </x:c>
      <x:c r="E97" s="24" t="n">
        <x:f aca="0">ROUND($B$8*(1+$B$9)^(A97-2)/$B$10,0)*$B$10</x:f>
        <x:v>402000</x:v>
      </x:c>
      <x:c r="F97" s="52" t="n">
        <x:f aca="0">E97/E96-1</x:f>
        <x:v>0.08502024291497978</x:v>
      </x:c>
      <x:c r="G97" s="24" t="n">
        <x:f aca="0">ROUNDUP(E97*7/$B$11,0)</x:f>
        <x:v>4539</x:v>
      </x:c>
      <x:c r="H97" s="24" t="n">
        <x:f aca="0">COUNTIFS(样本回放!$D$7:$D$318,"是",样本回放!$C$7:$C$318,"&gt;="&amp;D97,样本回放!$C$7:$C$318,"&lt;"&amp;D98)</x:f>
        <x:v>0</x:v>
      </x:c>
      <x:c r="I97" s="52" t="n">
        <x:f aca="0">H97/COUNTIF(样本回放!$D$7:$D$318,"是")</x:f>
        <x:v>0</x:v>
      </x:c>
      <x:c r="J97" s="1" t="s">
        <x:v>190</x:v>
      </x:c>
      <x:c r="K97" s="1"/>
      <x:c r="L97" s="1"/>
      <x:c r="M97" s="1"/>
    </x:row>
    <x:row r="98" ht="20" hidden="0" customHeight="1">
      <x:c r="A98" s="51" t="n">
        <x:v>85</x:v>
      </x:c>
      <x:c r="B98" s="51" t="n">
        <x:v>5</x:v>
      </x:c>
      <x:c r="C98" s="23" t="s">
        <x:v>48</x:v>
      </x:c>
      <x:c r="D98" s="24" t="n">
        <x:f aca="0">D97+E98</x:f>
        <x:v>5562300</x:v>
      </x:c>
      <x:c r="E98" s="24" t="n">
        <x:f aca="0">ROUND($B$8*(1+$B$9)^(A98-2)/$B$10,0)*$B$10</x:f>
        <x:v>436200</x:v>
      </x:c>
      <x:c r="F98" s="52" t="n">
        <x:f aca="0">E98/E97-1</x:f>
        <x:v>0.08507462686567169</x:v>
      </x:c>
      <x:c r="G98" s="24" t="n">
        <x:f aca="0">ROUNDUP(E98*7/$B$11,0)</x:f>
        <x:v>4925</x:v>
      </x:c>
      <x:c r="H98" s="24" t="n">
        <x:f aca="0">COUNTIFS(样本回放!$D$7:$D$318,"是",样本回放!$C$7:$C$318,"&gt;="&amp;D98,样本回放!$C$7:$C$318,"&lt;"&amp;D99)</x:f>
        <x:v>0</x:v>
      </x:c>
      <x:c r="I98" s="52" t="n">
        <x:f aca="0">H98/COUNTIF(样本回放!$D$7:$D$318,"是")</x:f>
        <x:v>0</x:v>
      </x:c>
      <x:c r="J98" s="1" t="s">
        <x:v>190</x:v>
      </x:c>
      <x:c r="K98" s="1"/>
      <x:c r="L98" s="1"/>
      <x:c r="M98" s="1"/>
    </x:row>
    <x:row r="99" ht="20" hidden="0" customHeight="1">
      <x:c r="A99" s="51" t="n">
        <x:v>86</x:v>
      </x:c>
      <x:c r="B99" s="51" t="n">
        <x:v>5</x:v>
      </x:c>
      <x:c r="C99" s="23" t="s">
        <x:v>48</x:v>
      </x:c>
      <x:c r="D99" s="24" t="n">
        <x:f aca="0">D98+E99</x:f>
        <x:v>6035500</x:v>
      </x:c>
      <x:c r="E99" s="24" t="n">
        <x:f aca="0">ROUND($B$8*(1+$B$9)^(A99-2)/$B$10,0)*$B$10</x:f>
        <x:v>473200</x:v>
      </x:c>
      <x:c r="F99" s="52" t="n">
        <x:f aca="0">E99/E98-1</x:f>
        <x:v>0.08482347546996793</x:v>
      </x:c>
      <x:c r="G99" s="24" t="n">
        <x:f aca="0">ROUNDUP(E99*7/$B$11,0)</x:f>
        <x:v>5343</x:v>
      </x:c>
      <x:c r="H99" s="24" t="n">
        <x:f aca="0">COUNTIFS(样本回放!$D$7:$D$318,"是",样本回放!$C$7:$C$318,"&gt;="&amp;D99,样本回放!$C$7:$C$318,"&lt;"&amp;D100)</x:f>
        <x:v>0</x:v>
      </x:c>
      <x:c r="I99" s="52" t="n">
        <x:f aca="0">H99/COUNTIF(样本回放!$D$7:$D$318,"是")</x:f>
        <x:v>0</x:v>
      </x:c>
      <x:c r="J99" s="1" t="s">
        <x:v>190</x:v>
      </x:c>
      <x:c r="K99" s="1"/>
      <x:c r="L99" s="1"/>
      <x:c r="M99" s="1"/>
    </x:row>
    <x:row r="100" ht="20" hidden="0" customHeight="1">
      <x:c r="A100" s="51" t="n">
        <x:v>87</x:v>
      </x:c>
      <x:c r="B100" s="51" t="n">
        <x:v>5</x:v>
      </x:c>
      <x:c r="C100" s="23" t="s">
        <x:v>48</x:v>
      </x:c>
      <x:c r="D100" s="24" t="n">
        <x:f aca="0">D99+E100</x:f>
        <x:v>6548900</x:v>
      </x:c>
      <x:c r="E100" s="24" t="n">
        <x:f aca="0">ROUND($B$8*(1+$B$9)^(A100-2)/$B$10,0)*$B$10</x:f>
        <x:v>513400</x:v>
      </x:c>
      <x:c r="F100" s="52" t="n">
        <x:f aca="0">E100/E99-1</x:f>
        <x:v>0.08495350803043111</x:v>
      </x:c>
      <x:c r="G100" s="24" t="n">
        <x:f aca="0">ROUNDUP(E100*7/$B$11,0)</x:f>
        <x:v>5797</x:v>
      </x:c>
      <x:c r="H100" s="24" t="n">
        <x:f aca="0">COUNTIFS(样本回放!$D$7:$D$318,"是",样本回放!$C$7:$C$318,"&gt;="&amp;D100,样本回放!$C$7:$C$318,"&lt;"&amp;D101)</x:f>
        <x:v>0</x:v>
      </x:c>
      <x:c r="I100" s="52" t="n">
        <x:f aca="0">H100/COUNTIF(样本回放!$D$7:$D$318,"是")</x:f>
        <x:v>0</x:v>
      </x:c>
      <x:c r="J100" s="1" t="s">
        <x:v>190</x:v>
      </x:c>
      <x:c r="K100" s="1"/>
      <x:c r="L100" s="1"/>
      <x:c r="M100" s="1"/>
    </x:row>
    <x:row r="101" ht="20" hidden="0" customHeight="1">
      <x:c r="A101" s="51" t="n">
        <x:v>88</x:v>
      </x:c>
      <x:c r="B101" s="51" t="n">
        <x:v>5</x:v>
      </x:c>
      <x:c r="C101" s="23" t="s">
        <x:v>48</x:v>
      </x:c>
      <x:c r="D101" s="24" t="n">
        <x:f aca="0">D100+E101</x:f>
        <x:v>7106000</x:v>
      </x:c>
      <x:c r="E101" s="24" t="n">
        <x:f aca="0">ROUND($B$8*(1+$B$9)^(A101-2)/$B$10,0)*$B$10</x:f>
        <x:v>557100</x:v>
      </x:c>
      <x:c r="F101" s="52" t="n">
        <x:f aca="0">E101/E100-1</x:f>
        <x:v>0.08511881573821589</x:v>
      </x:c>
      <x:c r="G101" s="24" t="n">
        <x:f aca="0">ROUNDUP(E101*7/$B$11,0)</x:f>
        <x:v>6290</x:v>
      </x:c>
      <x:c r="H101" s="24" t="n">
        <x:f aca="0">COUNTIFS(样本回放!$D$7:$D$318,"是",样本回放!$C$7:$C$318,"&gt;="&amp;D101,样本回放!$C$7:$C$318,"&lt;"&amp;D102)</x:f>
        <x:v>0</x:v>
      </x:c>
      <x:c r="I101" s="52" t="n">
        <x:f aca="0">H101/COUNTIF(样本回放!$D$7:$D$318,"是")</x:f>
        <x:v>0</x:v>
      </x:c>
      <x:c r="J101" s="1" t="s">
        <x:v>190</x:v>
      </x:c>
      <x:c r="K101" s="1"/>
      <x:c r="L101" s="1"/>
      <x:c r="M101" s="1"/>
    </x:row>
    <x:row r="102" ht="20" hidden="0" customHeight="1">
      <x:c r="A102" s="51" t="n">
        <x:v>89</x:v>
      </x:c>
      <x:c r="B102" s="51" t="n">
        <x:v>5</x:v>
      </x:c>
      <x:c r="C102" s="23" t="s">
        <x:v>48</x:v>
      </x:c>
      <x:c r="D102" s="24" t="n">
        <x:f aca="0">D101+E102</x:f>
        <x:v>7710400</x:v>
      </x:c>
      <x:c r="E102" s="24" t="n">
        <x:f aca="0">ROUND($B$8*(1+$B$9)^(A102-2)/$B$10,0)*$B$10</x:f>
        <x:v>604400</x:v>
      </x:c>
      <x:c r="F102" s="52" t="n">
        <x:f aca="0">E102/E101-1</x:f>
        <x:v>0.08490396697181835</x:v>
      </x:c>
      <x:c r="G102" s="24" t="n">
        <x:f aca="0">ROUNDUP(E102*7/$B$11,0)</x:f>
        <x:v>6824</x:v>
      </x:c>
      <x:c r="H102" s="24" t="n">
        <x:f aca="0">COUNTIFS(样本回放!$D$7:$D$318,"是",样本回放!$C$7:$C$318,"&gt;="&amp;D102,样本回放!$C$7:$C$318,"&lt;"&amp;D103)</x:f>
        <x:v>0</x:v>
      </x:c>
      <x:c r="I102" s="52" t="n">
        <x:f aca="0">H102/COUNTIF(样本回放!$D$7:$D$318,"是")</x:f>
        <x:v>0</x:v>
      </x:c>
      <x:c r="J102" s="1" t="s">
        <x:v>190</x:v>
      </x:c>
      <x:c r="K102" s="1"/>
      <x:c r="L102" s="1"/>
      <x:c r="M102" s="1"/>
    </x:row>
    <x:row r="103" ht="20" hidden="0" customHeight="1">
      <x:c r="A103" s="51" t="n">
        <x:v>90</x:v>
      </x:c>
      <x:c r="B103" s="51" t="n">
        <x:v>5</x:v>
      </x:c>
      <x:c r="C103" s="23" t="s">
        <x:v>48</x:v>
      </x:c>
      <x:c r="D103" s="24" t="n">
        <x:f aca="0">D102+E103</x:f>
        <x:v>8366200</x:v>
      </x:c>
      <x:c r="E103" s="24" t="n">
        <x:f aca="0">ROUND($B$8*(1+$B$9)^(A103-2)/$B$10,0)*$B$10</x:f>
        <x:v>655800</x:v>
      </x:c>
      <x:c r="F103" s="52" t="n">
        <x:f aca="0">E103/E102-1</x:f>
        <x:v>0.08504301786896096</x:v>
      </x:c>
      <x:c r="G103" s="24" t="n">
        <x:f aca="0">ROUNDUP(E103*7/$B$11,0)</x:f>
        <x:v>7405</x:v>
      </x:c>
      <x:c r="H103" s="24" t="n">
        <x:f aca="0">COUNTIFS(样本回放!$D$7:$D$318,"是",样本回放!$C$7:$C$318,"&gt;="&amp;D103,样本回放!$C$7:$C$318,"&lt;"&amp;D104)</x:f>
        <x:v>0</x:v>
      </x:c>
      <x:c r="I103" s="52" t="n">
        <x:f aca="0">H103/COUNTIF(样本回放!$D$7:$D$318,"是")</x:f>
        <x:v>0</x:v>
      </x:c>
      <x:c r="J103" s="1" t="s">
        <x:v>190</x:v>
      </x:c>
      <x:c r="K103" s="1"/>
      <x:c r="L103" s="1"/>
      <x:c r="M103" s="1"/>
    </x:row>
    <x:row r="104" ht="20" hidden="0" customHeight="1">
      <x:c r="A104" s="51" t="n">
        <x:v>91</x:v>
      </x:c>
      <x:c r="B104" s="51" t="n">
        <x:v>5</x:v>
      </x:c>
      <x:c r="C104" s="23" t="s">
        <x:v>48</x:v>
      </x:c>
      <x:c r="D104" s="24" t="n">
        <x:f aca="0">D103+E104</x:f>
        <x:v>9077800</x:v>
      </x:c>
      <x:c r="E104" s="24" t="n">
        <x:f aca="0">ROUND($B$8*(1+$B$9)^(A104-2)/$B$10,0)*$B$10</x:f>
        <x:v>711600</x:v>
      </x:c>
      <x:c r="F104" s="52" t="n">
        <x:f aca="0">E104/E103-1</x:f>
        <x:v>0.08508691674290936</x:v>
      </x:c>
      <x:c r="G104" s="24" t="n">
        <x:f aca="0">ROUNDUP(E104*7/$B$11,0)</x:f>
        <x:v>8035</x:v>
      </x:c>
      <x:c r="H104" s="24" t="n">
        <x:f aca="0">COUNTIFS(样本回放!$D$7:$D$318,"是",样本回放!$C$7:$C$318,"&gt;="&amp;D104,样本回放!$C$7:$C$318,"&lt;"&amp;D105)</x:f>
        <x:v>0</x:v>
      </x:c>
      <x:c r="I104" s="52" t="n">
        <x:f aca="0">H104/COUNTIF(样本回放!$D$7:$D$318,"是")</x:f>
        <x:v>0</x:v>
      </x:c>
      <x:c r="J104" s="1" t="s">
        <x:v>190</x:v>
      </x:c>
      <x:c r="K104" s="1"/>
      <x:c r="L104" s="1"/>
      <x:c r="M104" s="1"/>
    </x:row>
    <x:row r="105" ht="20" hidden="0" customHeight="1">
      <x:c r="A105" s="51" t="n">
        <x:v>92</x:v>
      </x:c>
      <x:c r="B105" s="51" t="n">
        <x:v>5</x:v>
      </x:c>
      <x:c r="C105" s="23" t="s">
        <x:v>48</x:v>
      </x:c>
      <x:c r="D105" s="24" t="n">
        <x:f aca="0">D104+E105</x:f>
        <x:v>9849900</x:v>
      </x:c>
      <x:c r="E105" s="24" t="n">
        <x:f aca="0">ROUND($B$8*(1+$B$9)^(A105-2)/$B$10,0)*$B$10</x:f>
        <x:v>772100</x:v>
      </x:c>
      <x:c r="F105" s="52" t="n">
        <x:f aca="0">E105/E104-1</x:f>
        <x:v>0.08501967397414267</x:v>
      </x:c>
      <x:c r="G105" s="24" t="n">
        <x:f aca="0">ROUNDUP(E105*7/$B$11,0)</x:f>
        <x:v>8718</x:v>
      </x:c>
      <x:c r="H105" s="24" t="n">
        <x:f aca="0">COUNTIFS(样本回放!$D$7:$D$318,"是",样本回放!$C$7:$C$318,"&gt;="&amp;D105,样本回放!$C$7:$C$318,"&lt;"&amp;D106)</x:f>
        <x:v>0</x:v>
      </x:c>
      <x:c r="I105" s="52" t="n">
        <x:f aca="0">H105/COUNTIF(样本回放!$D$7:$D$318,"是")</x:f>
        <x:v>0</x:v>
      </x:c>
      <x:c r="J105" s="1" t="s">
        <x:v>190</x:v>
      </x:c>
      <x:c r="K105" s="1"/>
      <x:c r="L105" s="1"/>
      <x:c r="M105" s="1"/>
    </x:row>
    <x:row r="106" ht="20" hidden="0" customHeight="1">
      <x:c r="A106" s="51" t="n">
        <x:v>93</x:v>
      </x:c>
      <x:c r="B106" s="51" t="n">
        <x:v>5</x:v>
      </x:c>
      <x:c r="C106" s="23" t="s">
        <x:v>48</x:v>
      </x:c>
      <x:c r="D106" s="24" t="n">
        <x:f aca="0">D105+E106</x:f>
        <x:v>10687600</x:v>
      </x:c>
      <x:c r="E106" s="24" t="n">
        <x:f aca="0">ROUND($B$8*(1+$B$9)^(A106-2)/$B$10,0)*$B$10</x:f>
        <x:v>837700</x:v>
      </x:c>
      <x:c r="F106" s="52" t="n">
        <x:f aca="0">E106/E105-1</x:f>
        <x:v>0.08496308768294258</x:v>
      </x:c>
      <x:c r="G106" s="24" t="n">
        <x:f aca="0">ROUNDUP(E106*7/$B$11,0)</x:f>
        <x:v>9458</x:v>
      </x:c>
      <x:c r="H106" s="24" t="n">
        <x:f aca="0">COUNTIFS(样本回放!$D$7:$D$318,"是",样本回放!$C$7:$C$318,"&gt;="&amp;D106,样本回放!$C$7:$C$318,"&lt;"&amp;D107)</x:f>
        <x:v>0</x:v>
      </x:c>
      <x:c r="I106" s="52" t="n">
        <x:f aca="0">H106/COUNTIF(样本回放!$D$7:$D$318,"是")</x:f>
        <x:v>0</x:v>
      </x:c>
      <x:c r="J106" s="1" t="s">
        <x:v>190</x:v>
      </x:c>
      <x:c r="K106" s="1"/>
      <x:c r="L106" s="1"/>
      <x:c r="M106" s="1"/>
    </x:row>
    <x:row r="107" ht="20" hidden="0" customHeight="1">
      <x:c r="A107" s="51" t="n">
        <x:v>94</x:v>
      </x:c>
      <x:c r="B107" s="51" t="n">
        <x:v>5</x:v>
      </x:c>
      <x:c r="C107" s="23" t="s">
        <x:v>48</x:v>
      </x:c>
      <x:c r="D107" s="24" t="n">
        <x:f aca="0">D106+E107</x:f>
        <x:v>11596500</x:v>
      </x:c>
      <x:c r="E107" s="24" t="n">
        <x:f aca="0">ROUND($B$8*(1+$B$9)^(A107-2)/$B$10,0)*$B$10</x:f>
        <x:v>908900</x:v>
      </x:c>
      <x:c r="F107" s="52" t="n">
        <x:f aca="0">E107/E106-1</x:f>
        <x:v>0.0849946281485019</x:v>
      </x:c>
      <x:c r="G107" s="24" t="n">
        <x:f aca="0">ROUNDUP(E107*7/$B$11,0)</x:f>
        <x:v>10262</x:v>
      </x:c>
      <x:c r="H107" s="24" t="n">
        <x:f aca="0">COUNTIFS(样本回放!$D$7:$D$318,"是",样本回放!$C$7:$C$318,"&gt;="&amp;D107,样本回放!$C$7:$C$318,"&lt;"&amp;D108)</x:f>
        <x:v>0</x:v>
      </x:c>
      <x:c r="I107" s="52" t="n">
        <x:f aca="0">H107/COUNTIF(样本回放!$D$7:$D$318,"是")</x:f>
        <x:v>0</x:v>
      </x:c>
      <x:c r="J107" s="1" t="s">
        <x:v>190</x:v>
      </x:c>
      <x:c r="K107" s="1"/>
      <x:c r="L107" s="1"/>
      <x:c r="M107" s="1"/>
    </x:row>
    <x:row r="108" ht="20" hidden="0" customHeight="1">
      <x:c r="A108" s="51" t="n">
        <x:v>95</x:v>
      </x:c>
      <x:c r="B108" s="51" t="n">
        <x:v>5</x:v>
      </x:c>
      <x:c r="C108" s="23" t="s">
        <x:v>48</x:v>
      </x:c>
      <x:c r="D108" s="24" t="n">
        <x:f aca="0">D107+E108</x:f>
        <x:v>12582600</x:v>
      </x:c>
      <x:c r="E108" s="24" t="n">
        <x:f aca="0">ROUND($B$8*(1+$B$9)^(A108-2)/$B$10,0)*$B$10</x:f>
        <x:v>986100</x:v>
      </x:c>
      <x:c r="F108" s="52" t="n">
        <x:f aca="0">E108/E107-1</x:f>
        <x:v>0.08493783694575852</x:v>
      </x:c>
      <x:c r="G108" s="24" t="n">
        <x:f aca="0">ROUNDUP(E108*7/$B$11,0)</x:f>
        <x:v>11134</x:v>
      </x:c>
      <x:c r="H108" s="24" t="n">
        <x:f aca="0">COUNTIFS(样本回放!$D$7:$D$318,"是",样本回放!$C$7:$C$318,"&gt;="&amp;D108,样本回放!$C$7:$C$318,"&lt;"&amp;D109)</x:f>
        <x:v>0</x:v>
      </x:c>
      <x:c r="I108" s="52" t="n">
        <x:f aca="0">H108/COUNTIF(样本回放!$D$7:$D$318,"是")</x:f>
        <x:v>0</x:v>
      </x:c>
      <x:c r="J108" s="1" t="s">
        <x:v>190</x:v>
      </x:c>
      <x:c r="K108" s="1"/>
      <x:c r="L108" s="1"/>
      <x:c r="M108" s="1"/>
    </x:row>
    <x:row r="109" ht="20" hidden="0" customHeight="1">
      <x:c r="A109" s="51" t="n">
        <x:v>96</x:v>
      </x:c>
      <x:c r="B109" s="51" t="n">
        <x:v>5</x:v>
      </x:c>
      <x:c r="C109" s="23" t="s">
        <x:v>48</x:v>
      </x:c>
      <x:c r="D109" s="24" t="n">
        <x:f aca="0">D108+E109</x:f>
        <x:v>13652600</x:v>
      </x:c>
      <x:c r="E109" s="24" t="n">
        <x:f aca="0">ROUND($B$8*(1+$B$9)^(A109-2)/$B$10,0)*$B$10</x:f>
        <x:v>1070000</x:v>
      </x:c>
      <x:c r="F109" s="52" t="n">
        <x:f aca="0">E109/E108-1</x:f>
        <x:v>0.0850826488185783</x:v>
      </x:c>
      <x:c r="G109" s="24" t="n">
        <x:f aca="0">ROUNDUP(E109*7/$B$11,0)</x:f>
        <x:v>12081</x:v>
      </x:c>
      <x:c r="H109" s="24" t="n">
        <x:f aca="0">COUNTIFS(样本回放!$D$7:$D$318,"是",样本回放!$C$7:$C$318,"&gt;="&amp;D109,样本回放!$C$7:$C$318,"&lt;"&amp;D110)</x:f>
        <x:v>0</x:v>
      </x:c>
      <x:c r="I109" s="52" t="n">
        <x:f aca="0">H109/COUNTIF(样本回放!$D$7:$D$318,"是")</x:f>
        <x:v>0</x:v>
      </x:c>
      <x:c r="J109" s="1" t="s">
        <x:v>190</x:v>
      </x:c>
      <x:c r="K109" s="1"/>
      <x:c r="L109" s="1"/>
      <x:c r="M109" s="1"/>
    </x:row>
    <x:row r="110" ht="20" hidden="0" customHeight="1">
      <x:c r="A110" s="51" t="n">
        <x:v>97</x:v>
      </x:c>
      <x:c r="B110" s="51" t="n">
        <x:v>5</x:v>
      </x:c>
      <x:c r="C110" s="23" t="s">
        <x:v>48</x:v>
      </x:c>
      <x:c r="D110" s="24" t="n">
        <x:f aca="0">D109+E110</x:f>
        <x:v>14813500</x:v>
      </x:c>
      <x:c r="E110" s="24" t="n">
        <x:f aca="0">ROUND($B$8*(1+$B$9)^(A110-2)/$B$10,0)*$B$10</x:f>
        <x:v>1160900</x:v>
      </x:c>
      <x:c r="F110" s="52" t="n">
        <x:f aca="0">E110/E109-1</x:f>
        <x:v>0.0849532710280374</x:v>
      </x:c>
      <x:c r="G110" s="24" t="n">
        <x:f aca="0">ROUNDUP(E110*7/$B$11,0)</x:f>
        <x:v>13107</x:v>
      </x:c>
      <x:c r="H110" s="24" t="n">
        <x:f aca="0">COUNTIFS(样本回放!$D$7:$D$318,"是",样本回放!$C$7:$C$318,"&gt;="&amp;D110,样本回放!$C$7:$C$318,"&lt;"&amp;D111)</x:f>
        <x:v>0</x:v>
      </x:c>
      <x:c r="I110" s="52" t="n">
        <x:f aca="0">H110/COUNTIF(样本回放!$D$7:$D$318,"是")</x:f>
        <x:v>0</x:v>
      </x:c>
      <x:c r="J110" s="1" t="s">
        <x:v>190</x:v>
      </x:c>
      <x:c r="K110" s="1"/>
      <x:c r="L110" s="1"/>
      <x:c r="M110" s="1"/>
    </x:row>
    <x:row r="111" ht="20" hidden="0" customHeight="1">
      <x:c r="A111" s="51" t="n">
        <x:v>98</x:v>
      </x:c>
      <x:c r="B111" s="51" t="n">
        <x:v>5</x:v>
      </x:c>
      <x:c r="C111" s="23" t="s">
        <x:v>48</x:v>
      </x:c>
      <x:c r="D111" s="24" t="n">
        <x:f aca="0">D110+E111</x:f>
        <x:v>16073100</x:v>
      </x:c>
      <x:c r="E111" s="24" t="n">
        <x:f aca="0">ROUND($B$8*(1+$B$9)^(A111-2)/$B$10,0)*$B$10</x:f>
        <x:v>1259600</x:v>
      </x:c>
      <x:c r="F111" s="52" t="n">
        <x:f aca="0">E111/E110-1</x:f>
        <x:v>0.08502024291497978</x:v>
      </x:c>
      <x:c r="G111" s="24" t="n">
        <x:f aca="0">ROUNDUP(E111*7/$B$11,0)</x:f>
        <x:v>14222</x:v>
      </x:c>
      <x:c r="H111" s="24" t="n">
        <x:f aca="0">COUNTIFS(样本回放!$D$7:$D$318,"是",样本回放!$C$7:$C$318,"&gt;="&amp;D111,样本回放!$C$7:$C$318,"&lt;"&amp;D112)</x:f>
        <x:v>0</x:v>
      </x:c>
      <x:c r="I111" s="52" t="n">
        <x:f aca="0">H111/COUNTIF(样本回放!$D$7:$D$318,"是")</x:f>
        <x:v>0</x:v>
      </x:c>
      <x:c r="J111" s="1" t="s">
        <x:v>190</x:v>
      </x:c>
      <x:c r="K111" s="1"/>
      <x:c r="L111" s="1"/>
      <x:c r="M111" s="1"/>
    </x:row>
    <x:row r="112" ht="20" hidden="0" customHeight="1">
      <x:c r="A112" s="51" t="n">
        <x:v>99</x:v>
      </x:c>
      <x:c r="B112" s="51" t="n">
        <x:v>5</x:v>
      </x:c>
      <x:c r="C112" s="23" t="s">
        <x:v>48</x:v>
      </x:c>
      <x:c r="D112" s="24" t="n">
        <x:f aca="0">D111+E112</x:f>
        <x:v>17439700</x:v>
      </x:c>
      <x:c r="E112" s="24" t="n">
        <x:f aca="0">ROUND($B$8*(1+$B$9)^(A112-2)/$B$10,0)*$B$10</x:f>
        <x:v>1366600</x:v>
      </x:c>
      <x:c r="F112" s="52" t="n">
        <x:f aca="0">E112/E111-1</x:f>
        <x:v>0.08494760241346455</x:v>
      </x:c>
      <x:c r="G112" s="24" t="n">
        <x:f aca="0">ROUNDUP(E112*7/$B$11,0)</x:f>
        <x:v>15430</x:v>
      </x:c>
      <x:c r="H112" s="24" t="n">
        <x:f aca="0">COUNTIFS(样本回放!$D$7:$D$318,"是",样本回放!$C$7:$C$318,"&gt;="&amp;D112,样本回放!$C$7:$C$318,"&lt;"&amp;D113)</x:f>
        <x:v>0</x:v>
      </x:c>
      <x:c r="I112" s="52" t="n">
        <x:f aca="0">H112/COUNTIF(样本回放!$D$7:$D$318,"是")</x:f>
        <x:v>0</x:v>
      </x:c>
      <x:c r="J112" s="1" t="s">
        <x:v>190</x:v>
      </x:c>
      <x:c r="K112" s="1"/>
      <x:c r="L112" s="1"/>
      <x:c r="M112" s="1"/>
    </x:row>
    <x:row r="113" ht="20" hidden="0" customHeight="1">
      <x:c r="A113" s="53" t="n">
        <x:v>100</x:v>
      </x:c>
      <x:c r="B113" s="53" t="n">
        <x:v>5</x:v>
      </x:c>
      <x:c r="C113" s="27" t="s">
        <x:v>48</x:v>
      </x:c>
      <x:c r="D113" s="28" t="n">
        <x:f aca="0">D112+E113</x:f>
        <x:v>18922500</x:v>
      </x:c>
      <x:c r="E113" s="28" t="n">
        <x:f aca="0">ROUND($B$8*(1+$B$9)^(A113-2)/$B$10,0)*$B$10</x:f>
        <x:v>1482800</x:v>
      </x:c>
      <x:c r="F113" s="54" t="n">
        <x:f aca="0">E113/E112-1</x:f>
        <x:v>0.08502853797746224</x:v>
      </x:c>
      <x:c r="G113" s="28" t="n">
        <x:f aca="0">ROUNDUP(E113*7/$B$11,0)</x:f>
        <x:v>16742</x:v>
      </x:c>
      <x:c r="H113" s="28" t="n">
        <x:f aca="0">COUNTIFS(样本回放!$D$7:$D$318,"是",样本回放!$C$7:$C$318,"&gt;="&amp;D113)</x:f>
        <x:v>0</x:v>
      </x:c>
      <x:c r="I113" s="54" t="n">
        <x:f aca="0">H113/COUNTIF(样本回放!$D$7:$D$318,"是")</x:f>
        <x:v>0</x:v>
      </x:c>
      <x:c r="J113" s="29" t="s">
        <x:v>195</x:v>
      </x:c>
      <x:c r="K113" s="1"/>
      <x:c r="L113" s="1"/>
      <x:c r="M113" s="1"/>
    </x:row>
    <x:row r="114" ht="16.799999237060547" hidden="0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 ht="16.799999237060547" hidden="0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 ht="16.799999237060547" hidden="0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</x:sheetData>
  <x:conditionalFormatting sqref="A14:J113">
    <x:cfRule type="expression" dxfId="0" priority="2" aboveAverage="0" percent="0" bottom="0" rank="0" equalAverage="0">
      <x:formula>OR($A14=1,$A14=21,$A14=41,$A14=61,$A14=81,$A14=100)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B57"/>
  </x:sheetPr>
  <x:sheetViews>
    <x:sheetView showGridLines="0" workbookViewId="0"/>
  </x:sheetViews>
  <x:sheetFormatPr defaultColWidth="10.74609375" defaultRowHeight="16.799999237060547"/>
  <x:cols>
    <x:col min="1" max="1" width="15.510000228881836" hidden="0" customWidth="1"/>
    <x:col min="2" max="2" width="16.709999084472656" hidden="0" customWidth="1"/>
    <x:col min="3" max="3" width="23.8700008392334" hidden="0" customWidth="1"/>
    <x:col min="4" max="4" width="21.479999542236328" hidden="0" customWidth="1"/>
    <x:col min="5" max="5" width="26.260000228881836" hidden="0" customWidth="1"/>
    <x:col min="6" max="7" width="14.329999923706055" hidden="0" customWidth="1"/>
    <x:col min="8" max="9" width="17.899999618530273" hidden="0" customWidth="1"/>
    <x:col min="10" max="10" width="28.649999618530273" hidden="0" customWidth="1"/>
    <x:col min="11" max="11" width="26.260000228881836" hidden="0" customWidth="1"/>
    <x:col min="12" max="12" width="30" hidden="0" customWidth="1"/>
  </x:cols>
  <x:sheetData>
    <x:row r="1" ht="16.799999237060547" hidden="0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8.649999618530273" hidden="0">
      <x:c r="A2" s="55" t="str">
        <x:v>五档物料如何承接100级｜v3.9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 t="inlineStr">
        <x:is>
          <x:t xml:space="preserve"/>
        </x:is>
      </x:c>
    </x:row>
    <x:row r="3" ht="16.799999237060547" hidden="0">
      <x:c r="A3" s="3" t="s">
        <x:v>196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 t="inlineStr">
        <x:is>
          <x:t xml:space="preserve"/>
        </x:is>
      </x:c>
    </x:row>
    <x:row r="4" ht="16.799999237060547" hidden="0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16.799999237060547" hidden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2" hidden="0" customHeight="1">
      <x:c r="A6" s="5" t="s">
        <x:v>197</x:v>
      </x:c>
      <x:c r="B6" s="6"/>
      <x:c r="C6" s="6"/>
      <x:c r="D6" s="6"/>
      <x:c r="E6" s="6"/>
      <x:c r="F6" s="6"/>
      <x:c r="G6" s="6"/>
      <x:c r="H6" s="6"/>
      <x:c r="I6" s="6"/>
      <x:c r="J6" s="6"/>
      <x:c r="K6" s="39"/>
      <x:c r="L6" s="39" t="inlineStr">
        <x:is>
          <x:t xml:space="preserve"/>
        </x:is>
      </x:c>
    </x:row>
    <x:row r="7" ht="31" hidden="0" customHeight="1">
      <x:c r="A7" s="10" t="s">
        <x:v>8</x:v>
      </x:c>
      <x:c r="B7" s="11" t="s">
        <x:v>9</x:v>
      </x:c>
      <x:c r="C7" s="11" t="s">
        <x:v>198</x:v>
      </x:c>
      <x:c r="D7" s="11" t="s">
        <x:v>199</x:v>
      </x:c>
      <x:c r="E7" s="11" t="s">
        <x:v>200</x:v>
      </x:c>
      <x:c r="F7" s="11" t="s">
        <x:v>201</x:v>
      </x:c>
      <x:c r="G7" s="11" t="s">
        <x:v>202</x:v>
      </x:c>
      <x:c r="H7" s="11" t="s">
        <x:v>203</x:v>
      </x:c>
      <x:c r="I7" s="11" t="s">
        <x:v>204</x:v>
      </x:c>
      <x:c r="J7" s="11" t="s">
        <x:v>205</x:v>
      </x:c>
      <x:c r="K7" s="12" t="s">
        <x:v>206</x:v>
      </x:c>
      <x:c r="L7" s="12" t="inlineStr">
        <x:is>
          <x:t xml:space="preserve">房间内个人信息卡装扮</x:t>
        </x:is>
      </x:c>
    </x:row>
    <x:row r="8" ht="39" hidden="0" customHeight="1">
      <x:c r="A8" s="56" t="s">
        <x:v>19</x:v>
      </x:c>
      <x:c r="B8" s="56" t="s">
        <x:v>20</x:v>
      </x:c>
      <x:c r="C8" s="57" t="n">
        <x:f aca="0">等级门槛!D14</x:f>
        <x:v>1000</x:v>
      </x:c>
      <x:c r="D8" s="57" t="n">
        <x:f aca="0">E8-C8</x:f>
        <x:v>24100</x:v>
      </x:c>
      <x:c r="E8" s="57" t="n">
        <x:f aca="0">等级门槛!D34</x:f>
        <x:v>25100</x:v>
      </x:c>
      <x:c r="F8" s="58" t="s">
        <x:v>207</x:v>
      </x:c>
      <x:c r="G8" s="58" t="s">
        <x:v>208</x:v>
      </x:c>
      <x:c r="H8" s="58" t="s">
        <x:v>209</x:v>
      </x:c>
      <x:c r="I8" s="58" t="s">
        <x:v>209</x:v>
      </x:c>
      <x:c r="J8" s="59" t="s">
        <x:v>210</x:v>
      </x:c>
      <x:c r="K8" s="60" t="s">
        <x:v>211</x:v>
      </x:c>
      <x:c r="L8" s="60" t="inlineStr">
        <x:is>
          <x:t xml:space="preserve">默认样式</x:t>
        </x:is>
      </x:c>
    </x:row>
    <x:row r="9" ht="39" hidden="0" customHeight="1">
      <x:c r="A9" s="56" t="s">
        <x:v>25</x:v>
      </x:c>
      <x:c r="B9" s="56" t="s">
        <x:v>26</x:v>
      </x:c>
      <x:c r="C9" s="57" t="n">
        <x:f aca="0">等级门槛!D34</x:f>
        <x:v>25100</x:v>
      </x:c>
      <x:c r="D9" s="57" t="n">
        <x:f aca="0">E9-C9</x:f>
        <x:v>123600</x:v>
      </x:c>
      <x:c r="E9" s="57" t="n">
        <x:f aca="0">等级门槛!D54</x:f>
        <x:v>148700</x:v>
      </x:c>
      <x:c r="F9" s="58" t="s">
        <x:v>212</x:v>
      </x:c>
      <x:c r="G9" s="58" t="s">
        <x:v>213</x:v>
      </x:c>
      <x:c r="H9" s="58" t="s">
        <x:v>214</x:v>
      </x:c>
      <x:c r="I9" s="58" t="s">
        <x:v>214</x:v>
      </x:c>
      <x:c r="J9" s="59" t="s">
        <x:v>210</x:v>
      </x:c>
      <x:c r="K9" s="59" t="s">
        <x:v>215</x:v>
      </x:c>
      <x:c r="L9" s="59" t="inlineStr">
        <x:is>
          <x:t xml:space="preserve">G2 基础 CP 装扮</x:t>
        </x:is>
      </x:c>
    </x:row>
    <x:row r="10" ht="39" hidden="0" customHeight="1">
      <x:c r="A10" s="56" t="s">
        <x:v>31</x:v>
      </x:c>
      <x:c r="B10" s="56" t="s">
        <x:v>32</x:v>
      </x:c>
      <x:c r="C10" s="57" t="n">
        <x:f aca="0">等级门槛!D54</x:f>
        <x:v>148700</x:v>
      </x:c>
      <x:c r="D10" s="57" t="n">
        <x:f aca="0">E10-C10</x:f>
        <x:v>632000</x:v>
      </x:c>
      <x:c r="E10" s="57" t="n">
        <x:f aca="0">等级门槛!D74</x:f>
        <x:v>780700</x:v>
      </x:c>
      <x:c r="F10" s="58" t="s">
        <x:v>216</x:v>
      </x:c>
      <x:c r="G10" s="58" t="s">
        <x:v>217</x:v>
      </x:c>
      <x:c r="H10" s="58" t="s">
        <x:v>218</x:v>
      </x:c>
      <x:c r="I10" s="58" t="s">
        <x:v>218</x:v>
      </x:c>
      <x:c r="J10" s="59" t="s">
        <x:v>210</x:v>
      </x:c>
      <x:c r="K10" s="59" t="s">
        <x:v>219</x:v>
      </x:c>
      <x:c r="L10" s="59" t="inlineStr">
        <x:is>
          <x:t xml:space="preserve">G3 主题升级装扮</x:t>
        </x:is>
      </x:c>
    </x:row>
    <x:row r="11" ht="39" hidden="0" customHeight="1">
      <x:c r="A11" s="56" t="s">
        <x:v>39</x:v>
      </x:c>
      <x:c r="B11" s="56" t="s">
        <x:v>40</x:v>
      </x:c>
      <x:c r="C11" s="57" t="n">
        <x:f aca="0">等级门槛!D74</x:f>
        <x:v>780700</x:v>
      </x:c>
      <x:c r="D11" s="57" t="n">
        <x:f aca="0">E11-C11</x:f>
        <x:v>3231400</x:v>
      </x:c>
      <x:c r="E11" s="57" t="n">
        <x:f aca="0">等级门槛!D94</x:f>
        <x:v>4012100</x:v>
      </x:c>
      <x:c r="F11" s="58" t="s">
        <x:v>220</x:v>
      </x:c>
      <x:c r="G11" s="58" t="s">
        <x:v>221</x:v>
      </x:c>
      <x:c r="H11" s="58" t="s">
        <x:v>222</x:v>
      </x:c>
      <x:c r="I11" s="58" t="s">
        <x:v>222</x:v>
      </x:c>
      <x:c r="J11" s="59" t="s">
        <x:v>210</x:v>
      </x:c>
      <x:c r="K11" s="59" t="s">
        <x:v>223</x:v>
      </x:c>
      <x:c r="L11" s="59" t="inlineStr">
        <x:is>
          <x:t xml:space="preserve">G4 高阶动态装扮 + 静态降级</x:t>
        </x:is>
      </x:c>
    </x:row>
    <x:row r="12" ht="39" hidden="0" customHeight="1">
      <x:c r="A12" s="61" t="s">
        <x:v>47</x:v>
      </x:c>
      <x:c r="B12" s="61" t="s">
        <x:v>48</x:v>
      </x:c>
      <x:c r="C12" s="62" t="n">
        <x:f aca="0">等级门槛!D94</x:f>
        <x:v>4012100</x:v>
      </x:c>
      <x:c r="D12" s="62" t="n">
        <x:f aca="0">E12-C12</x:f>
        <x:v>14910400</x:v>
      </x:c>
      <x:c r="E12" s="62" t="n">
        <x:f aca="0">等级门槛!D113</x:f>
        <x:v>18922500</x:v>
      </x:c>
      <x:c r="F12" s="63" t="s">
        <x:v>224</x:v>
      </x:c>
      <x:c r="G12" s="63" t="s">
        <x:v>225</x:v>
      </x:c>
      <x:c r="H12" s="63" t="s">
        <x:v>226</x:v>
      </x:c>
      <x:c r="I12" s="63" t="s">
        <x:v>226</x:v>
      </x:c>
      <x:c r="J12" s="64" t="s">
        <x:v>210</x:v>
      </x:c>
      <x:c r="K12" s="64" t="s">
        <x:v>227</x:v>
      </x:c>
      <x:c r="L12" s="64" t="inlineStr">
        <x:is>
          <x:t xml:space="preserve">G5 典藏动态装扮 + 静态降级</x:t>
        </x:is>
      </x:c>
    </x:row>
    <x:row r="13" ht="16.799999237060547" hidden="0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6.799999237060547" hidden="0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2" hidden="0" customHeight="1">
      <x:c r="A15" s="30" t="s">
        <x:v>228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9"/>
      <x:c r="L15" s="9" t="inlineStr">
        <x:is>
          <x:t xml:space="preserve"/>
        </x:is>
      </x:c>
    </x:row>
    <x:row r="16" ht="31" hidden="0" customHeight="1">
      <x:c r="A16" s="10" t="s">
        <x:v>229</x:v>
      </x:c>
      <x:c r="B16" s="11" t="s">
        <x:v>230</x:v>
      </x:c>
      <x:c r="C16" s="11" t="s">
        <x:v>231</x:v>
      </x:c>
      <x:c r="D16" s="11" t="s">
        <x:v>232</x:v>
      </x:c>
      <x:c r="E16" s="12" t="s">
        <x:v>233</x:v>
      </x:c>
      <x:c r="F16" s="1"/>
      <x:c r="G16" s="1"/>
      <x:c r="H16" s="1"/>
      <x:c r="I16" s="1"/>
      <x:c r="J16" s="1"/>
      <x:c r="K16" s="1"/>
    </x:row>
    <x:row r="17" ht="42" hidden="0" customHeight="1">
      <x:c r="A17" s="13" t="s">
        <x:v>234</x:v>
      </x:c>
      <x:c r="B17" s="14" t="s">
        <x:v>235</x:v>
      </x:c>
      <x:c r="C17" s="13" t="s">
        <x:v>236</x:v>
      </x:c>
      <x:c r="D17" s="13" t="s">
        <x:v>237</x:v>
      </x:c>
      <x:c r="E17" s="13" t="s">
        <x:v>238</x:v>
      </x:c>
      <x:c r="F17" s="1"/>
      <x:c r="G17" s="1"/>
      <x:c r="H17" s="1"/>
      <x:c r="I17" s="1"/>
      <x:c r="J17" s="1"/>
      <x:c r="K17" s="1"/>
    </x:row>
    <x:row r="18" ht="42" hidden="0" customHeight="1">
      <x:c r="A18" s="13" t="s">
        <x:v>239</x:v>
      </x:c>
      <x:c r="B18" s="13" t="s">
        <x:v>240</x:v>
      </x:c>
      <x:c r="C18" s="14" t="s">
        <x:v>241</x:v>
      </x:c>
      <x:c r="D18" s="14" t="s">
        <x:v>242</x:v>
      </x:c>
      <x:c r="E18" s="13" t="s">
        <x:v>243</x:v>
      </x:c>
      <x:c r="F18" s="1"/>
      <x:c r="G18" s="1"/>
      <x:c r="H18" s="1"/>
      <x:c r="I18" s="1"/>
      <x:c r="J18" s="1"/>
      <x:c r="K18" s="1"/>
    </x:row>
    <x:row r="19" ht="42" hidden="0" customHeight="1">
      <x:c r="A19" s="13" t="s">
        <x:v>244</x:v>
      </x:c>
      <x:c r="B19" s="14" t="s">
        <x:v>245</x:v>
      </x:c>
      <x:c r="C19" s="14" t="s">
        <x:v>246</x:v>
      </x:c>
      <x:c r="D19" s="14" t="s">
        <x:v>247</x:v>
      </x:c>
      <x:c r="E19" s="13" t="s">
        <x:v>248</x:v>
      </x:c>
      <x:c r="F19" s="1"/>
      <x:c r="G19" s="1"/>
      <x:c r="H19" s="1"/>
      <x:c r="I19" s="1"/>
      <x:c r="J19" s="1"/>
      <x:c r="K19" s="1"/>
    </x:row>
    <x:row r="20" ht="42" hidden="0" customHeight="1">
      <x:c r="A20" s="13" t="s">
        <x:v>204</x:v>
      </x:c>
      <x:c r="B20" s="14" t="s">
        <x:v>249</x:v>
      </x:c>
      <x:c r="C20" s="14" t="s">
        <x:v>250</x:v>
      </x:c>
      <x:c r="D20" s="14" t="s">
        <x:v>251</x:v>
      </x:c>
      <x:c r="E20" s="13" t="s">
        <x:v>252</x:v>
      </x:c>
      <x:c r="F20" s="1"/>
      <x:c r="G20" s="1"/>
      <x:c r="H20" s="1"/>
      <x:c r="I20" s="1"/>
      <x:c r="J20" s="1"/>
      <x:c r="K20" s="1"/>
    </x:row>
    <x:row r="21" ht="42" hidden="0" customHeight="1">
      <x:c r="A21" s="13" t="s">
        <x:v>55</x:v>
      </x:c>
      <x:c r="B21" s="14" t="s">
        <x:v>253</x:v>
      </x:c>
      <x:c r="C21" s="13" t="s">
        <x:v>254</x:v>
      </x:c>
      <x:c r="D21" s="14" t="s">
        <x:v>255</x:v>
      </x:c>
      <x:c r="E21" s="13" t="s">
        <x:v>256</x:v>
      </x:c>
      <x:c r="F21" s="1"/>
      <x:c r="G21" s="1"/>
      <x:c r="H21" s="1"/>
      <x:c r="I21" s="1"/>
      <x:c r="J21" s="1"/>
      <x:c r="K21" s="1"/>
    </x:row>
    <x:row r="22" ht="42" hidden="0" customHeight="1">
      <x:c r="A22" s="13" t="s">
        <x:v>257</x:v>
      </x:c>
      <x:c r="B22" s="14" t="s">
        <x:v>258</x:v>
      </x:c>
      <x:c r="C22" s="14" t="s">
        <x:v>259</x:v>
      </x:c>
      <x:c r="D22" s="13" t="s">
        <x:v>260</x:v>
      </x:c>
      <x:c r="E22" s="13" t="s">
        <x:v>261</x:v>
      </x:c>
      <x:c r="F22" s="1"/>
      <x:c r="G22" s="1"/>
      <x:c r="H22" s="1"/>
      <x:c r="I22" s="1"/>
      <x:c r="J22" s="1"/>
      <x:c r="K22" s="1"/>
    </x:row>
    <x:row r="23" ht="42" hidden="0" customHeight="1">
      <x:c r="A23" s="14" t="s">
        <x:v>123</x:v>
      </x:c>
      <x:c r="B23" s="13" t="s">
        <x:v>262</x:v>
      </x:c>
      <x:c r="C23" s="13" t="s">
        <x:v>263</x:v>
      </x:c>
      <x:c r="D23" s="14" t="s">
        <x:v>255</x:v>
      </x:c>
      <x:c r="E23" s="13" t="s">
        <x:v>264</x:v>
      </x:c>
      <x:c r="F23" s="1"/>
      <x:c r="G23" s="1"/>
      <x:c r="H23" s="1"/>
      <x:c r="I23" s="1"/>
      <x:c r="J23" s="1"/>
      <x:c r="K23" s="1"/>
    </x:row>
    <x:row r="24" ht="42" hidden="0" customHeight="1">
      <x:c r="A24" s="22" t="s">
        <x:v>265</x:v>
      </x:c>
      <x:c r="B24" s="21" t="s">
        <x:v>266</x:v>
      </x:c>
      <x:c r="C24" s="22" t="s">
        <x:v>267</x:v>
      </x:c>
      <x:c r="D24" s="21" t="s">
        <x:v>268</x:v>
      </x:c>
      <x:c r="E24" s="22" t="s">
        <x:v>269</x:v>
      </x:c>
      <x:c r="F24" s="1"/>
      <x:c r="G24" s="1"/>
      <x:c r="H24" s="1"/>
      <x:c r="I24" s="1"/>
      <x:c r="J24" s="1"/>
      <x:c r="K24" s="1"/>
    </x:row>
    <x:row r="25" ht="66" hidden="0" customHeight="1">
      <x:c r="A25" s="92" t="inlineStr">
        <x:is>
          <x:t xml:space="preserve">房间内个人信息卡</x:t>
        </x:is>
      </x:c>
      <x:c r="B25" s="92" t="inlineStr">
        <x:is>
          <x:t xml:space="preserve">当前 G 档装扮 + 动态用户字段</x:t>
        </x:is>
      </x:c>
      <x:c r="C25" s="92" t="str">
        <x:v>保护到期下调 rights_level、下次进入 App、重新升级或关系解除</x:v>
      </x:c>
      <x:c r="D25" s="92" t="inlineStr">
        <x:is>
          <x:t xml:space="preserve">G2-G5 四档皮肤；G4/G5 静态降级</x:t>
        </x:is>
      </x:c>
      <x:c r="E25" s="92" t="str">
        <x:v>保护期保留；到期待刷新；下次进入 App 自动回退；重新升级恢复；解除后回默认</x:v>
      </x:c>
      <x:c r="F25" s="1"/>
      <x:c r="G25" s="1"/>
      <x:c r="H25" s="1"/>
      <x:c r="I25" s="1"/>
      <x:c r="J25" s="1"/>
      <x:c r="K25" s="1"/>
    </x:row>
    <x:row r="26" ht="66" hidden="0" customHeight="1">
      <x:c r="A26" s="92" t="str">
        <x:v>荣誉认证证书</x:v>
      </x:c>
      <x:c r="B26" s="92" t="str">
        <x:v>G5 首次获得后永久展示</x:v>
      </x:c>
      <x:c r="C26" s="92" t="str">
        <x:v>首次达到 G5 时</x:v>
      </x:c>
      <x:c r="D26" s="92" t="str">
        <x:v>证书卡面 + 详情/分享模板</x:v>
      </x:c>
      <x:c r="E26" s="92" t="str">
        <x:v>掉档或解除关系后仍可在个人荣誉/历史关系记录查看；不重复发放</x:v>
      </x:c>
      <x:c r="F26" s="1"/>
      <x:c r="G26" s="1"/>
      <x:c r="H26" s="1"/>
      <x:c r="I26" s="1"/>
      <x:c r="J26" s="1"/>
      <x:c r="K26" s="1"/>
    </x:row>
    <x:row r="27" ht="22" hidden="0" customHeight="1">
      <x:c r="A27" s="7" t="s">
        <x:v>270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9"/>
      <x:c r="L27" s="9" t="inlineStr">
        <x:is>
          <x:t xml:space="preserve"/>
        </x:is>
      </x:c>
    </x:row>
    <x:row r="28" ht="31" hidden="0" customHeight="1">
      <x:c r="A28" s="10" t="s">
        <x:v>271</x:v>
      </x:c>
      <x:c r="B28" s="11" t="s">
        <x:v>272</x:v>
      </x:c>
      <x:c r="C28" s="11" t="s">
        <x:v>273</x:v>
      </x:c>
      <x:c r="D28" s="11" t="s">
        <x:v>274</x:v>
      </x:c>
      <x:c r="E28" s="11" t="s">
        <x:v>275</x:v>
      </x:c>
      <x:c r="F28" s="12" t="s">
        <x:v>161</x:v>
      </x:c>
      <x:c r="G28" s="1"/>
      <x:c r="H28" s="1"/>
      <x:c r="I28" s="1"/>
      <x:c r="J28" s="1"/>
      <x:c r="K28" s="1"/>
    </x:row>
    <x:row r="29" ht="36" hidden="0" customHeight="1">
      <x:c r="A29" s="13" t="s">
        <x:v>201</x:v>
      </x:c>
      <x:c r="B29" s="13" t="n">
        <x:v>5</x:v>
      </x:c>
      <x:c r="C29" s="14" t="s">
        <x:v>276</x:v>
      </x:c>
      <x:c r="D29" s="14" t="s">
        <x:v>277</x:v>
      </x:c>
      <x:c r="E29" s="14" t="s">
        <x:v>278</x:v>
      </x:c>
      <x:c r="F29" s="13" t="s">
        <x:v>279</x:v>
      </x:c>
      <x:c r="G29" s="1"/>
      <x:c r="H29" s="1"/>
      <x:c r="I29" s="1"/>
      <x:c r="J29" s="1"/>
      <x:c r="K29" s="1"/>
    </x:row>
    <x:row r="30" ht="36" hidden="0" customHeight="1">
      <x:c r="A30" s="13" t="s">
        <x:v>202</x:v>
      </x:c>
      <x:c r="B30" s="13" t="n">
        <x:v>5</x:v>
      </x:c>
      <x:c r="C30" s="13" t="s">
        <x:v>280</x:v>
      </x:c>
      <x:c r="D30" s="14" t="s">
        <x:v>277</x:v>
      </x:c>
      <x:c r="E30" s="14" t="s">
        <x:v>281</x:v>
      </x:c>
      <x:c r="F30" s="13" t="s">
        <x:v>282</x:v>
      </x:c>
      <x:c r="G30" s="1"/>
      <x:c r="H30" s="1"/>
      <x:c r="I30" s="1"/>
      <x:c r="J30" s="1"/>
      <x:c r="K30" s="1"/>
    </x:row>
    <x:row r="31" ht="36" hidden="0" customHeight="1">
      <x:c r="A31" s="13" t="s">
        <x:v>244</x:v>
      </x:c>
      <x:c r="B31" s="13" t="n">
        <x:v>5</x:v>
      </x:c>
      <x:c r="C31" s="13" t="s">
        <x:v>283</x:v>
      </x:c>
      <x:c r="D31" s="14" t="s">
        <x:v>277</x:v>
      </x:c>
      <x:c r="E31" s="14" t="s">
        <x:v>284</x:v>
      </x:c>
      <x:c r="F31" s="13" t="s">
        <x:v>285</x:v>
      </x:c>
      <x:c r="G31" s="1"/>
      <x:c r="H31" s="1"/>
      <x:c r="I31" s="1"/>
      <x:c r="J31" s="1"/>
      <x:c r="K31" s="1"/>
    </x:row>
    <x:row r="32" ht="36" hidden="0" customHeight="1">
      <x:c r="A32" s="13" t="s">
        <x:v>204</x:v>
      </x:c>
      <x:c r="B32" s="13" t="n">
        <x:v>5</x:v>
      </x:c>
      <x:c r="C32" s="13" t="s">
        <x:v>280</x:v>
      </x:c>
      <x:c r="D32" s="14" t="s">
        <x:v>286</x:v>
      </x:c>
      <x:c r="E32" s="13" t="s">
        <x:v>287</x:v>
      </x:c>
      <x:c r="F32" s="13" t="s">
        <x:v>288</x:v>
      </x:c>
      <x:c r="G32" s="1"/>
      <x:c r="H32" s="1"/>
      <x:c r="I32" s="1"/>
      <x:c r="J32" s="1"/>
      <x:c r="K32" s="1"/>
    </x:row>
    <x:row r="33" ht="36" hidden="0" customHeight="1">
      <x:c r="A33" s="13" t="s">
        <x:v>289</x:v>
      </x:c>
      <x:c r="B33" s="13" t="n">
        <x:v>4</x:v>
      </x:c>
      <x:c r="C33" s="14" t="s">
        <x:v>290</x:v>
      </x:c>
      <x:c r="D33" s="13" t="s">
        <x:v>291</x:v>
      </x:c>
      <x:c r="E33" s="13" t="s">
        <x:v>292</x:v>
      </x:c>
      <x:c r="F33" s="13" t="s">
        <x:v>293</x:v>
      </x:c>
      <x:c r="G33" s="1"/>
      <x:c r="H33" s="1"/>
      <x:c r="I33" s="1"/>
      <x:c r="J33" s="1"/>
      <x:c r="K33" s="1"/>
    </x:row>
    <x:row r="34" ht="36" hidden="0" customHeight="1">
      <x:c r="A34" s="13" t="s">
        <x:v>294</x:v>
      </x:c>
      <x:c r="B34" s="13" t="n">
        <x:v>1</x:v>
      </x:c>
      <x:c r="C34" s="14" t="s">
        <x:v>295</x:v>
      </x:c>
      <x:c r="D34" s="13" t="s">
        <x:v>296</x:v>
      </x:c>
      <x:c r="E34" s="14" t="s">
        <x:v>297</x:v>
      </x:c>
      <x:c r="F34" s="13" t="s">
        <x:v>298</x:v>
      </x:c>
      <x:c r="G34" s="1"/>
      <x:c r="H34" s="1"/>
      <x:c r="I34" s="1"/>
      <x:c r="J34" s="1"/>
      <x:c r="K34" s="1"/>
    </x:row>
    <x:row r="35" ht="36" hidden="0" customHeight="1">
      <x:c r="A35" s="13" t="s">
        <x:v>299</x:v>
      </x:c>
      <x:c r="B35" s="13" t="n">
        <x:v>0</x:v>
      </x:c>
      <x:c r="C35" s="14" t="s">
        <x:v>300</x:v>
      </x:c>
      <x:c r="D35" s="13" t="s">
        <x:v>301</x:v>
      </x:c>
      <x:c r="E35" s="13" t="s">
        <x:v>302</x:v>
      </x:c>
      <x:c r="F35" s="13" t="s">
        <x:v>303</x:v>
      </x:c>
      <x:c r="G35" s="1"/>
      <x:c r="H35" s="1"/>
      <x:c r="I35" s="1"/>
      <x:c r="J35" s="1"/>
      <x:c r="K35" s="1"/>
    </x:row>
    <x:row r="36" ht="36" hidden="0" customHeight="1">
      <x:c r="A36" s="22" t="s">
        <x:v>304</x:v>
      </x:c>
      <x:c r="B36" s="22" t="n">
        <x:v>0</x:v>
      </x:c>
      <x:c r="C36" s="21" t="s">
        <x:v>300</x:v>
      </x:c>
      <x:c r="D36" s="22" t="s">
        <x:v>305</x:v>
      </x:c>
      <x:c r="E36" s="22" t="s">
        <x:v>302</x:v>
      </x:c>
      <x:c r="F36" s="22" t="s">
        <x:v>306</x:v>
      </x:c>
      <x:c r="G36" s="1"/>
      <x:c r="H36" s="1"/>
      <x:c r="I36" s="1"/>
      <x:c r="J36" s="1"/>
      <x:c r="K36" s="1"/>
    </x:row>
    <x:row r="37" ht="16.799999237060547" hidden="0">
      <x:c r="A37" s="1" t="inlineStr">
        <x:is>
          <x:t xml:space="preserve">房间内个人信息卡装扮</x:t>
        </x:is>
      </x:c>
      <x:c r="B37" s="1">
        <x:v>4</x:v>
      </x:c>
      <x:c r="C37" s="1" t="inlineStr">
        <x:is>
          <x:t xml:space="preserve">头像/昵称/国家/VIP/等级/徽章</x:t>
        </x:is>
      </x:c>
      <x:c r="D37" s="1" t="inlineStr">
        <x:is>
          <x:t xml:space="preserve">G2-G5 四档；G4/G5 含静态降级</x:t>
        </x:is>
      </x:c>
      <x:c r="E37" s="1" t="inlineStr">
        <x:is>
          <x:t xml:space="preserve">G1 独立皮肤/烘焙用户字段</x:t>
        </x:is>
      </x:c>
      <x:c r="F37" s="1" t="inlineStr">
        <x:is>
          <x:t xml:space="preserve">复用公共个人信息卡组件</x:t>
        </x:is>
      </x:c>
      <x:c r="G37" s="1"/>
      <x:c r="H37" s="1"/>
      <x:c r="I37" s="1"/>
      <x:c r="J37" s="1"/>
      <x:c r="K37" s="1"/>
    </x:row>
    <x:row r="38" ht="16.799999237060547" hidden="0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6.799999237060547" hidden="0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6.799999237060547" hidden="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6.799999237060547" hidden="0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6.799999237060547" hidden="0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4">
      <x:c r="A44" s="85" t="str">
        <x:v>v2.55 页面与复用补充</x:v>
      </x:c>
      <x:c r="B44" s="85" t="str"/>
      <x:c r="C44" s="85" t="str"/>
      <x:c r="D44" s="85" t="str"/>
      <x:c r="E44" s="85" t="str"/>
      <x:c r="F44" s="85" t="str"/>
      <x:c r="G44" s="85" t="str"/>
      <x:c r="H44" s="85" t="str"/>
      <x:c r="I44" s="86" t="str"/>
      <x:c r="J44" s="86" t="str"/>
      <x:c r="K44" s="86" t="str"/>
      <x:c r="L44" s="86" t="str"/>
    </x:row>
    <x:row r="45">
      <x:c r="A45" s="88" t="str">
        <x:v>页面/组件</x:v>
      </x:c>
      <x:c r="B45" s="88" t="str">
        <x:v>适用关系</x:v>
      </x:c>
      <x:c r="C45" s="88" t="str">
        <x:v>核心内容</x:v>
      </x:c>
      <x:c r="D45" s="88" t="str">
        <x:v>动态字段</x:v>
      </x:c>
      <x:c r="E45" s="88" t="str">
        <x:v>交互</x:v>
      </x:c>
      <x:c r="F45" s="88" t="str">
        <x:v>复用要求</x:v>
      </x:c>
      <x:c r="G45" s="88" t="str">
        <x:v>异常/降级</x:v>
      </x:c>
      <x:c r="H45" s="88" t="str">
        <x:v>验收</x:v>
      </x:c>
      <x:c r="I45"/>
      <x:c r="J45"/>
      <x:c r="K45"/>
      <x:c r="L45"/>
    </x:row>
    <x:row r="46" ht="100" customHeight="1">
      <x:c r="A46" s="82" t="str">
        <x:v>CP Level 预览</x:v>
      </x:c>
      <x:c r="B46" s="82" t="str">
        <x:v>CP</x:v>
      </x:c>
      <x:c r="C46" s="82" t="str">
        <x:v>G1-G5 档位、勋章与奖励豆腐块；主页顶部双人展示区/当前等级卡查看权益双入口</x:v>
      </x:c>
      <x:c r="D46" s="82" t="str">
        <x:v>relationship_id、Lv、进度、档位、权益状态、入口来源</x:v>
      </x:c>
      <x:c r="E46" s="82" t="str">
        <x:v>主页顶部双方头像/昵称/中间标识或等级卡查看权益进入同一全屏 CP Level；横向切档、页面纵向滚动、单项中央预览</x:v>
      </x:c>
      <x:c r="F46" s="82" t="str">
        <x:v>两入口共用档位与奖励组件；顶部入口复用原双头像/昵称/CP 标识，返回及说明按钮独立</x:v>
      </x:c>
      <x:c r="G46" s="82" t="str">
        <x:v>保护期保留；到期后下次进入 App 按 rights_level 回退；资源失败使用静态或默认资源</x:v>
      </x:c>
      <x:c r="H46" s="82" t="str">
        <x:v>两入口同一关系/权益；默认当前档居中；返回保持主页位置和房间会话；保护/恢复/永久证书按原规则</x:v>
      </x:c>
      <x:c r="I46"/>
      <x:c r="J46"/>
      <x:c r="K46"/>
      <x:c r="L46"/>
    </x:row>
    <x:row r="47" ht="54" customHeight="1">
      <x:c r="A47" s="82" t="str">
        <x:v>Relationship Memory</x:v>
      </x:c>
      <x:c r="B47" s="82" t="str">
        <x:v>CP/兄弟/闺蜜/挚友</x:v>
      </x:c>
      <x:c r="C47" s="82" t="str">
        <x:v>双方信息、礼物/戒指、已达成纪念、解除入口</x:v>
      </x:c>
      <x:c r="D47" s="82" t="str">
        <x:v>关系类型、主题色、头像、天数、礼物数量、未解锁数</x:v>
      </x:c>
      <x:c r="E47" s="82" t="str">
        <x:v>仅展示已达成纪念；角标汇总未解锁数量</x:v>
      </x:c>
      <x:c r="F47" s="82" t="str">
        <x:v>同一组件按关系类型换主题与数据，不做四套页面</x:v>
      </x:c>
      <x:c r="G47" s="82" t="str">
        <x:v>加载/空/错误态可恢复，不伪造资产</x:v>
      </x:c>
      <x:c r="H47" s="82" t="str">
        <x:v>CP 与亲友结构一致，动态内容不烘焙</x:v>
      </x:c>
      <x:c r="I47"/>
      <x:c r="J47"/>
      <x:c r="K47"/>
      <x:c r="L47"/>
    </x:row>
    <x:row r="48" ht="54" customHeight="1">
      <x:c r="A48" s="82" t="str">
        <x:v>解除关系确认</x:v>
      </x:c>
      <x:c r="B48" s="82" t="str">
        <x:v>CP/兄弟/闺蜜/挚友</x:v>
      </x:c>
      <x:c r="C48" s="82" t="str">
        <x:v>协议解除、强制解除两种中央确认</x:v>
      </x:c>
      <x:c r="D48" s="82" t="str">
        <x:v>关系称谓、价格、等待状态</x:v>
      </x:c>
      <x:c r="E48" s="82" t="str">
        <x:v>取消不变更；提交防重复；服务端复核</x:v>
      </x:c>
      <x:c r="F48" s="82" t="str">
        <x:v>复用一个确认弹窗骨架</x:v>
      </x:c>
      <x:c r="G48" s="82" t="str">
        <x:v>余额不足、状态变化、超时和失败均可重试/返回</x:v>
      </x:c>
      <x:c r="H48" s="82" t="str">
        <x:v>CP 默认99,999；亲友默认59,999；价格服务端下发</x:v>
      </x:c>
      <x:c r="I48"/>
      <x:c r="J48"/>
      <x:c r="K48"/>
      <x:c r="L4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B57"/>
  </x:sheetPr>
  <x:sheetViews>
    <x:sheetView showGridLines="0" workbookViewId="0"/>
  </x:sheetViews>
  <x:sheetFormatPr defaultColWidth="10.74609375" defaultRowHeight="16.799999237060547"/>
  <x:cols>
    <x:col min="1" max="1" width="27.450000762939453" hidden="0" customWidth="1"/>
    <x:col min="2" max="2" width="28.649999618530273" hidden="0" customWidth="1"/>
    <x:col min="3" max="4" width="25.06999969482422" hidden="0" customWidth="1"/>
    <x:col min="5" max="5" width="23.8700008392334" hidden="0" customWidth="1"/>
    <x:col min="6" max="6" width="20.290000915527344" hidden="0" customWidth="1"/>
    <x:col min="7" max="9" width="21.479999542236328" hidden="0" customWidth="1"/>
  </x:cols>
  <x:sheetData>
    <x:row r="1" ht="16.799999237060547" hidden="0">
      <x:c r="A1" s="1"/>
      <x:c r="B1" s="1"/>
      <x:c r="C1" s="1"/>
      <x:c r="D1" s="1"/>
      <x:c r="E1" s="1"/>
      <x:c r="F1" s="1"/>
      <x:c r="G1" s="1"/>
      <x:c r="H1" s="1"/>
      <x:c r="I1" s="1"/>
    </x:row>
    <x:row r="2" ht="18.649999618530273" hidden="0">
      <x:c r="A2" s="55" t="str">
        <x:v>等级增长、关系礼物与戒指｜v3.9</x:v>
      </x:c>
      <x:c r="B2" s="1"/>
      <x:c r="C2" s="1"/>
      <x:c r="D2" s="1"/>
      <x:c r="E2" s="1"/>
      <x:c r="F2" s="1"/>
      <x:c r="G2" s="1"/>
      <x:c r="H2" s="1"/>
      <x:c r="I2" s="1"/>
    </x:row>
    <x:row r="3" ht="16.799999237060547" hidden="0">
      <x:c r="A3" s="3" t="str">
        <x:v>等级、礼物与8条任务数值不变；同步 PRD v5.14 / HTML v2.55 的关系回忆汇总、已达成纪念展示与 CP/亲友解除规则。</x:v>
      </x:c>
      <x:c r="B3" s="1"/>
      <x:c r="C3" s="1"/>
      <x:c r="D3" s="1"/>
      <x:c r="E3" s="1"/>
      <x:c r="F3" s="1"/>
      <x:c r="G3" s="1"/>
      <x:c r="H3" s="1"/>
      <x:c r="I3" s="1"/>
    </x:row>
    <x:row r="4" ht="16.799999237060547" hidden="0">
      <x:c r="A4" s="4"/>
      <x:c r="B4" s="4"/>
      <x:c r="C4" s="4"/>
      <x:c r="D4" s="4"/>
      <x:c r="E4" s="4"/>
      <x:c r="F4" s="4"/>
      <x:c r="G4" s="4"/>
      <x:c r="H4" s="4"/>
      <x:c r="I4" s="4"/>
    </x:row>
    <x:row r="5" ht="16.799999237060547" hidden="0">
      <x:c r="A5" s="1"/>
      <x:c r="B5" s="1"/>
      <x:c r="C5" s="1"/>
      <x:c r="D5" s="1"/>
      <x:c r="E5" s="1"/>
      <x:c r="F5" s="1"/>
      <x:c r="G5" s="1"/>
      <x:c r="H5" s="1"/>
      <x:c r="I5" s="1"/>
    </x:row>
    <x:row r="6" ht="22" hidden="0" customHeight="1">
      <x:c r="A6" s="5" t="s">
        <x:v>307</x:v>
      </x:c>
      <x:c r="B6" s="6"/>
      <x:c r="C6" s="6"/>
      <x:c r="D6" s="6"/>
      <x:c r="E6" s="6"/>
      <x:c r="F6" s="6"/>
      <x:c r="G6" s="6"/>
      <x:c r="H6" s="6"/>
      <x:c r="I6" s="39"/>
    </x:row>
    <x:row r="7" ht="31" hidden="0" customHeight="1">
      <x:c r="A7" s="10" t="s">
        <x:v>113</x:v>
      </x:c>
      <x:c r="B7" s="11" t="s">
        <x:v>308</x:v>
      </x:c>
      <x:c r="C7" s="11" t="s">
        <x:v>309</x:v>
      </x:c>
      <x:c r="D7" s="11" t="s">
        <x:v>310</x:v>
      </x:c>
      <x:c r="E7" s="11" t="s">
        <x:v>311</x:v>
      </x:c>
      <x:c r="F7" s="12" t="s">
        <x:v>312</x:v>
      </x:c>
      <x:c r="G7" s="1"/>
      <x:c r="H7" s="1"/>
      <x:c r="I7" s="1"/>
    </x:row>
    <x:row r="8" ht="28" hidden="0" customHeight="1">
      <x:c r="A8" s="13" t="s">
        <x:v>313</x:v>
      </x:c>
      <x:c r="B8" s="14" t="s">
        <x:v>314</x:v>
      </x:c>
      <x:c r="C8" s="14" t="s">
        <x:v>315</x:v>
      </x:c>
      <x:c r="D8" s="13" t="s">
        <x:v>316</x:v>
      </x:c>
      <x:c r="E8" s="13" t="s">
        <x:v>317</x:v>
      </x:c>
      <x:c r="F8" s="13" t="s">
        <x:v>318</x:v>
      </x:c>
      <x:c r="G8" s="1"/>
      <x:c r="H8" s="1"/>
      <x:c r="I8" s="1"/>
    </x:row>
    <x:row r="9" ht="28" hidden="0" customHeight="1">
      <x:c r="A9" s="13" t="s">
        <x:v>319</x:v>
      </x:c>
      <x:c r="B9" s="14" t="s">
        <x:v>320</x:v>
      </x:c>
      <x:c r="C9" s="14" t="s">
        <x:v>321</x:v>
      </x:c>
      <x:c r="D9" s="13" t="s">
        <x:v>316</x:v>
      </x:c>
      <x:c r="E9" s="13" t="s">
        <x:v>317</x:v>
      </x:c>
      <x:c r="F9" s="13" t="s">
        <x:v>322</x:v>
      </x:c>
      <x:c r="G9" s="1"/>
      <x:c r="H9" s="1"/>
      <x:c r="I9" s="1"/>
    </x:row>
    <x:row r="10" ht="28" hidden="0" customHeight="1">
      <x:c r="A10" s="13" t="s">
        <x:v>323</x:v>
      </x:c>
      <x:c r="B10" s="13" t="s">
        <x:v>324</x:v>
      </x:c>
      <x:c r="C10" s="13" t="s">
        <x:v>325</x:v>
      </x:c>
      <x:c r="D10" s="13" t="s">
        <x:v>316</x:v>
      </x:c>
      <x:c r="E10" s="13" t="s">
        <x:v>326</x:v>
      </x:c>
      <x:c r="F10" s="13" t="s">
        <x:v>327</x:v>
      </x:c>
      <x:c r="G10" s="1"/>
      <x:c r="H10" s="1"/>
      <x:c r="I10" s="1"/>
    </x:row>
    <x:row r="11" ht="28" hidden="0" customHeight="1">
      <x:c r="A11" s="13" t="s">
        <x:v>328</x:v>
      </x:c>
      <x:c r="B11" s="14" t="s">
        <x:v>329</x:v>
      </x:c>
      <x:c r="C11" s="13" t="s">
        <x:v>325</x:v>
      </x:c>
      <x:c r="D11" s="13" t="s">
        <x:v>316</x:v>
      </x:c>
      <x:c r="E11" s="13" t="s">
        <x:v>330</x:v>
      </x:c>
      <x:c r="F11" s="13" t="s">
        <x:v>331</x:v>
      </x:c>
      <x:c r="G11" s="1"/>
      <x:c r="H11" s="1"/>
      <x:c r="I11" s="1"/>
    </x:row>
    <x:row r="12" ht="28" hidden="0" customHeight="1">
      <x:c r="A12" s="14" t="s">
        <x:v>332</x:v>
      </x:c>
      <x:c r="B12" s="13" t="s">
        <x:v>333</x:v>
      </x:c>
      <x:c r="C12" s="13" t="s">
        <x:v>325</x:v>
      </x:c>
      <x:c r="D12" s="13" t="s">
        <x:v>334</x:v>
      </x:c>
      <x:c r="E12" s="13" t="s">
        <x:v>335</x:v>
      </x:c>
      <x:c r="F12" s="13" t="s">
        <x:v>336</x:v>
      </x:c>
      <x:c r="G12" s="1"/>
      <x:c r="H12" s="1"/>
      <x:c r="I12" s="1"/>
    </x:row>
    <x:row r="13" ht="28" hidden="0" customHeight="1">
      <x:c r="A13" s="14" t="s">
        <x:v>337</x:v>
      </x:c>
      <x:c r="B13" s="13" t="s">
        <x:v>338</x:v>
      </x:c>
      <x:c r="C13" s="13" t="s">
        <x:v>325</x:v>
      </x:c>
      <x:c r="D13" s="13" t="s">
        <x:v>339</x:v>
      </x:c>
      <x:c r="E13" s="13" t="s">
        <x:v>340</x:v>
      </x:c>
      <x:c r="F13" s="14" t="s">
        <x:v>341</x:v>
      </x:c>
      <x:c r="G13" s="1"/>
      <x:c r="H13" s="1"/>
      <x:c r="I13" s="1"/>
    </x:row>
    <x:row r="14" ht="42" hidden="0" customHeight="1">
      <x:c r="A14" s="13" t="s">
        <x:v>342</x:v>
      </x:c>
      <x:c r="B14" s="13" t="s">
        <x:v>343</x:v>
      </x:c>
      <x:c r="C14" s="13" t="s">
        <x:v>344</x:v>
      </x:c>
      <x:c r="D14" s="13" t="s">
        <x:v>345</x:v>
      </x:c>
      <x:c r="E14" s="13" t="s">
        <x:v>346</x:v>
      </x:c>
      <x:c r="F14" s="13" t="s">
        <x:v>347</x:v>
      </x:c>
      <x:c r="G14" s="1"/>
      <x:c r="H14" s="1"/>
      <x:c r="I14" s="1"/>
    </x:row>
    <x:row r="15" ht="42" hidden="0" customHeight="1">
      <x:c r="A15" s="22" t="s">
        <x:v>348</x:v>
      </x:c>
      <x:c r="B15" s="22" t="s">
        <x:v>349</x:v>
      </x:c>
      <x:c r="C15" s="22" t="s">
        <x:v>350</x:v>
      </x:c>
      <x:c r="D15" s="22" t="s">
        <x:v>345</x:v>
      </x:c>
      <x:c r="E15" s="22" t="s">
        <x:v>351</x:v>
      </x:c>
      <x:c r="F15" s="22" t="s">
        <x:v>352</x:v>
      </x:c>
      <x:c r="G15" s="1"/>
      <x:c r="H15" s="1"/>
      <x:c r="I15" s="1"/>
    </x:row>
    <x:row r="16" ht="16.799999237060547" hidden="0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16.799999237060547" hidden="0">
      <x:c r="A17" s="1"/>
      <x:c r="B17" s="1"/>
      <x:c r="C17" s="1"/>
      <x:c r="D17" s="1"/>
      <x:c r="E17" s="1"/>
      <x:c r="F17" s="1"/>
      <x:c r="G17" s="1"/>
      <x:c r="H17" s="1"/>
      <x:c r="I17" s="1"/>
    </x:row>
    <x:row r="18" ht="22" hidden="0" customHeight="1">
      <x:c r="A18" s="7" t="s">
        <x:v>353</x:v>
      </x:c>
      <x:c r="B18" s="8"/>
      <x:c r="C18" s="8"/>
      <x:c r="D18" s="8"/>
      <x:c r="E18" s="8"/>
      <x:c r="F18" s="8"/>
      <x:c r="G18" s="8"/>
      <x:c r="H18" s="8"/>
      <x:c r="I18" s="9"/>
    </x:row>
    <x:row r="19" ht="31" hidden="0" customHeight="1">
      <x:c r="A19" s="10" t="s">
        <x:v>354</x:v>
      </x:c>
      <x:c r="B19" s="11" t="s">
        <x:v>355</x:v>
      </x:c>
      <x:c r="C19" s="11" t="s">
        <x:v>356</x:v>
      </x:c>
      <x:c r="D19" s="11" t="s">
        <x:v>357</x:v>
      </x:c>
      <x:c r="E19" s="11" t="s">
        <x:v>358</x:v>
      </x:c>
      <x:c r="F19" s="11" t="s">
        <x:v>359</x:v>
      </x:c>
      <x:c r="G19" s="11" t="s">
        <x:v>360</x:v>
      </x:c>
      <x:c r="H19" s="11" t="s">
        <x:v>361</x:v>
      </x:c>
      <x:c r="I19" s="12" t="s">
        <x:v>362</x:v>
      </x:c>
    </x:row>
    <x:row r="20" ht="38" hidden="0" customHeight="1">
      <x:c r="A20" s="23" t="s">
        <x:v>363</x:v>
      </x:c>
      <x:c r="B20" s="1" t="s">
        <x:v>364</x:v>
      </x:c>
      <x:c r="C20" s="13" t="s">
        <x:v>365</x:v>
      </x:c>
      <x:c r="D20" s="40" t="n">
        <x:v>18888</x:v>
      </x:c>
      <x:c r="E20" s="40" t="n">
        <x:v>350</x:v>
      </x:c>
      <x:c r="F20" s="65" t="n">
        <x:f aca="0">E20/D20*1000</x:f>
        <x:v>18.530283778060145</x:v>
      </x:c>
      <x:c r="G20" s="1" t="s">
        <x:v>366</x:v>
      </x:c>
      <x:c r="H20" s="1" t="s">
        <x:v>366</x:v>
      </x:c>
      <x:c r="I20" s="1" t="s">
        <x:v>366</x:v>
      </x:c>
    </x:row>
    <x:row r="21" ht="38" hidden="0" customHeight="1">
      <x:c r="A21" s="23" t="s">
        <x:v>367</x:v>
      </x:c>
      <x:c r="B21" s="1" t="s">
        <x:v>368</x:v>
      </x:c>
      <x:c r="C21" s="13" t="s">
        <x:v>369</x:v>
      </x:c>
      <x:c r="D21" s="40" t="n">
        <x:v>29999</x:v>
      </x:c>
      <x:c r="E21" s="40" t="n">
        <x:v>600</x:v>
      </x:c>
      <x:c r="F21" s="65" t="n">
        <x:f aca="0">E21/D21*1000</x:f>
        <x:v>20.00066668888963</x:v>
      </x:c>
      <x:c r="G21" s="1" t="s">
        <x:v>366</x:v>
      </x:c>
      <x:c r="H21" s="1" t="s">
        <x:v>366</x:v>
      </x:c>
      <x:c r="I21" s="1" t="s">
        <x:v>366</x:v>
      </x:c>
    </x:row>
    <x:row r="22" ht="38" hidden="0" customHeight="1">
      <x:c r="A22" s="23" t="s">
        <x:v>370</x:v>
      </x:c>
      <x:c r="B22" s="1" t="s">
        <x:v>371</x:v>
      </x:c>
      <x:c r="C22" s="13" t="s">
        <x:v>372</x:v>
      </x:c>
      <x:c r="D22" s="40" t="n">
        <x:v>69999</x:v>
      </x:c>
      <x:c r="E22" s="40" t="n">
        <x:v>1750</x:v>
      </x:c>
      <x:c r="F22" s="65" t="n">
        <x:f aca="0">E22/D22*1000</x:f>
        <x:v>25.000357147959257</x:v>
      </x:c>
      <x:c r="G22" s="1" t="s">
        <x:v>366</x:v>
      </x:c>
      <x:c r="H22" s="1" t="s">
        <x:v>366</x:v>
      </x:c>
      <x:c r="I22" s="1" t="s">
        <x:v>366</x:v>
      </x:c>
    </x:row>
    <x:row r="23" ht="38" hidden="0" customHeight="1">
      <x:c r="A23" s="27" t="s">
        <x:v>373</x:v>
      </x:c>
      <x:c r="B23" s="29" t="s">
        <x:v>374</x:v>
      </x:c>
      <x:c r="C23" s="22" t="s">
        <x:v>375</x:v>
      </x:c>
      <x:c r="D23" s="46" t="n">
        <x:v>199999</x:v>
      </x:c>
      <x:c r="E23" s="46" t="n">
        <x:v>6000</x:v>
      </x:c>
      <x:c r="F23" s="66" t="n">
        <x:f aca="0">E23/D23*1000</x:f>
        <x:v>30.000150000750004</x:v>
      </x:c>
      <x:c r="G23" s="29" t="s">
        <x:v>366</x:v>
      </x:c>
      <x:c r="H23" s="29" t="s">
        <x:v>366</x:v>
      </x:c>
      <x:c r="I23" s="29" t="s">
        <x:v>366</x:v>
      </x:c>
    </x:row>
    <x:row r="24" ht="16.799999237060547" hidden="0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16.799999237060547" hidden="0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16.799999237060547" hidden="0">
      <x:c r="A26" s="1"/>
      <x:c r="B26" s="1"/>
      <x:c r="C26" s="1"/>
      <x:c r="D26" s="1"/>
      <x:c r="E26" s="1"/>
      <x:c r="F26" s="1"/>
      <x:c r="G26" s="1"/>
      <x:c r="H26" s="1"/>
      <x:c r="I26" s="1"/>
    </x:row>
    <x:row r="27" ht="22" hidden="0" customHeight="1">
      <x:c r="A27" s="7" t="s">
        <x:v>376</x:v>
      </x:c>
      <x:c r="B27" s="8"/>
      <x:c r="C27" s="8"/>
      <x:c r="D27" s="8"/>
      <x:c r="E27" s="8"/>
      <x:c r="F27" s="8"/>
      <x:c r="G27" s="8"/>
      <x:c r="H27" s="8"/>
      <x:c r="I27" s="9"/>
    </x:row>
    <x:row r="28" ht="31" hidden="0" customHeight="1">
      <x:c r="A28" s="10" t="s">
        <x:v>377</x:v>
      </x:c>
      <x:c r="B28" s="11" t="s">
        <x:v>378</x:v>
      </x:c>
      <x:c r="C28" s="11" t="s">
        <x:v>310</x:v>
      </x:c>
      <x:c r="D28" s="11" t="s">
        <x:v>379</x:v>
      </x:c>
      <x:c r="E28" s="12" t="s">
        <x:v>380</x:v>
      </x:c>
      <x:c r="F28" s="1"/>
      <x:c r="G28" s="1"/>
      <x:c r="H28" s="1"/>
      <x:c r="I28" s="1"/>
    </x:row>
    <x:row r="29" ht="48" hidden="0" customHeight="1">
      <x:c r="A29" s="14" t="s">
        <x:v>381</x:v>
      </x:c>
      <x:c r="B29" s="67" t="n">
        <x:v>19.75</x:v>
      </x:c>
      <x:c r="C29" s="59" t="s">
        <x:v>382</x:v>
      </x:c>
      <x:c r="D29" s="14" t="s">
        <x:v>383</x:v>
      </x:c>
      <x:c r="E29" s="13" t="s">
        <x:v>384</x:v>
      </x:c>
      <x:c r="F29" s="1"/>
      <x:c r="G29" s="1"/>
      <x:c r="H29" s="1"/>
      <x:c r="I29" s="1"/>
    </x:row>
    <x:row r="30" ht="48" hidden="0" customHeight="1">
      <x:c r="A30" s="13" t="s">
        <x:v>385</x:v>
      </x:c>
      <x:c r="B30" s="67" t="n">
        <x:f aca="0">MIN(F20:F24)</x:f>
        <x:v>18.530283778060145</x:v>
      </x:c>
      <x:c r="C30" s="59" t="s">
        <x:v>386</x:v>
      </x:c>
      <x:c r="D30" s="14" t="s">
        <x:v>387</x:v>
      </x:c>
      <x:c r="E30" s="13" t="s">
        <x:v>388</x:v>
      </x:c>
      <x:c r="F30" s="1"/>
      <x:c r="G30" s="1"/>
      <x:c r="H30" s="1"/>
      <x:c r="I30" s="1"/>
    </x:row>
    <x:row r="31" ht="48" hidden="0" customHeight="1">
      <x:c r="A31" s="13" t="s">
        <x:v>389</x:v>
      </x:c>
      <x:c r="B31" s="14" t="s">
        <x:v>390</x:v>
      </x:c>
      <x:c r="C31" s="59" t="s">
        <x:v>391</x:v>
      </x:c>
      <x:c r="D31" s="13" t="s">
        <x:v>392</x:v>
      </x:c>
      <x:c r="E31" s="13" t="s">
        <x:v>393</x:v>
      </x:c>
      <x:c r="F31" s="1"/>
      <x:c r="G31" s="1"/>
      <x:c r="H31" s="1"/>
      <x:c r="I31" s="1"/>
    </x:row>
    <x:row r="32" ht="48" hidden="0" customHeight="1">
      <x:c r="A32" s="13" t="s">
        <x:v>394</x:v>
      </x:c>
      <x:c r="B32" s="13"/>
      <x:c r="C32" s="59" t="s">
        <x:v>395</x:v>
      </x:c>
      <x:c r="D32" s="13" t="s">
        <x:v>396</x:v>
      </x:c>
      <x:c r="E32" s="13" t="s">
        <x:v>388</x:v>
      </x:c>
      <x:c r="F32" s="1"/>
      <x:c r="G32" s="1"/>
      <x:c r="H32" s="1"/>
      <x:c r="I32" s="1"/>
    </x:row>
    <x:row r="33" ht="48" hidden="0" customHeight="1">
      <x:c r="A33" s="13" t="s">
        <x:v>397</x:v>
      </x:c>
      <x:c r="B33" s="13"/>
      <x:c r="C33" s="59" t="s">
        <x:v>395</x:v>
      </x:c>
      <x:c r="D33" s="13" t="s">
        <x:v>398</x:v>
      </x:c>
      <x:c r="E33" s="13" t="s">
        <x:v>399</x:v>
      </x:c>
      <x:c r="F33" s="1"/>
      <x:c r="G33" s="1"/>
      <x:c r="H33" s="1"/>
      <x:c r="I33" s="1"/>
    </x:row>
    <x:row r="34" ht="48" hidden="0" customHeight="1">
      <x:c r="A34" s="22" t="s">
        <x:v>400</x:v>
      </x:c>
      <x:c r="B34" s="22"/>
      <x:c r="C34" s="38" t="s">
        <x:v>401</x:v>
      </x:c>
      <x:c r="D34" s="22" t="s">
        <x:v>402</x:v>
      </x:c>
      <x:c r="E34" s="22" t="s">
        <x:v>403</x:v>
      </x:c>
      <x:c r="F34" s="1"/>
      <x:c r="G34" s="1"/>
      <x:c r="H34" s="1"/>
      <x:c r="I34" s="1"/>
    </x:row>
    <x:row r="35" ht="16.799999237060547" hidden="0">
      <x:c r="A35" s="1"/>
      <x:c r="B35" s="1"/>
      <x:c r="C35" s="1"/>
      <x:c r="D35" s="1"/>
      <x:c r="E35" s="1"/>
      <x:c r="F35" s="1"/>
      <x:c r="G35" s="1"/>
      <x:c r="H35" s="1"/>
      <x:c r="I35" s="1"/>
    </x:row>
    <x:row r="36" ht="16.799999237060547" hidden="0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4" hidden="0" customHeight="1">
      <x:c r="A37" s="68" t="str">
        <x:v>共同成长任务明细（PRD v5.14）</x:v>
      </x:c>
      <x:c r="B37" s="68"/>
      <x:c r="C37" s="68"/>
      <x:c r="D37" s="68"/>
      <x:c r="E37" s="68"/>
      <x:c r="F37" s="68"/>
      <x:c r="G37" s="68"/>
      <x:c r="H37" s="68"/>
      <x:c r="I37" s="68"/>
    </x:row>
    <x:row r="38" ht="30" hidden="0" customHeight="1">
      <x:c r="A38" s="69" t="s">
        <x:v>404</x:v>
      </x:c>
      <x:c r="B38" s="69" t="s">
        <x:v>354</x:v>
      </x:c>
      <x:c r="C38" s="69" t="s">
        <x:v>405</x:v>
      </x:c>
      <x:c r="D38" s="69" t="s">
        <x:v>406</x:v>
      </x:c>
      <x:c r="E38" s="69" t="s">
        <x:v>407</x:v>
      </x:c>
      <x:c r="F38" s="69" t="s">
        <x:v>408</x:v>
      </x:c>
      <x:c r="G38" s="69" t="s">
        <x:v>409</x:v>
      </x:c>
      <x:c r="H38" s="69" t="s">
        <x:v>410</x:v>
      </x:c>
      <x:c r="I38" s="69" t="s">
        <x:v>411</x:v>
      </x:c>
    </x:row>
    <x:row r="39" ht="54" hidden="0" customHeight="1">
      <x:c r="A39" s="69" t="s">
        <x:v>412</x:v>
      </x:c>
      <x:c r="B39" s="70" t="s">
        <x:v>413</x:v>
      </x:c>
      <x:c r="C39" s="69" t="s">
        <x:v>414</x:v>
      </x:c>
      <x:c r="D39" s="69" t="s">
        <x:v>415</x:v>
      </x:c>
      <x:c r="E39" s="70" t="s">
        <x:v>188</x:v>
      </x:c>
      <x:c r="F39" s="69" t="s">
        <x:v>416</x:v>
      </x:c>
      <x:c r="G39" s="70" t="s">
        <x:v>417</x:v>
      </x:c>
      <x:c r="H39" s="69" t="s">
        <x:v>418</x:v>
      </x:c>
      <x:c r="I39" s="70" t="s">
        <x:v>419</x:v>
      </x:c>
    </x:row>
    <x:row r="40" ht="54" hidden="0" customHeight="1">
      <x:c r="A40" s="71" t="s">
        <x:v>412</x:v>
      </x:c>
      <x:c r="B40" s="72" t="s">
        <x:v>420</x:v>
      </x:c>
      <x:c r="C40" s="71" t="s">
        <x:v>421</x:v>
      </x:c>
      <x:c r="D40" s="71" t="s">
        <x:v>422</x:v>
      </x:c>
      <x:c r="E40" s="72" t="s">
        <x:v>188</x:v>
      </x:c>
      <x:c r="F40" s="71" t="s">
        <x:v>423</x:v>
      </x:c>
      <x:c r="G40" s="72" t="s">
        <x:v>417</x:v>
      </x:c>
      <x:c r="H40" s="71" t="s">
        <x:v>418</x:v>
      </x:c>
      <x:c r="I40" s="72" t="s">
        <x:v>424</x:v>
      </x:c>
    </x:row>
    <x:row r="41" ht="54" hidden="0" customHeight="1">
      <x:c r="A41" s="71" t="s">
        <x:v>412</x:v>
      </x:c>
      <x:c r="B41" s="72" t="s">
        <x:v>425</x:v>
      </x:c>
      <x:c r="C41" s="71" t="s">
        <x:v>426</x:v>
      </x:c>
      <x:c r="D41" s="71" t="s">
        <x:v>427</x:v>
      </x:c>
      <x:c r="E41" s="72" t="s">
        <x:v>188</x:v>
      </x:c>
      <x:c r="F41" s="71" t="s">
        <x:v>428</x:v>
      </x:c>
      <x:c r="G41" s="72" t="s">
        <x:v>417</x:v>
      </x:c>
      <x:c r="H41" s="71" t="s">
        <x:v>418</x:v>
      </x:c>
      <x:c r="I41" s="72" t="s">
        <x:v>424</x:v>
      </x:c>
    </x:row>
    <x:row r="42" ht="54" hidden="0" customHeight="1">
      <x:c r="A42" s="71" t="s">
        <x:v>412</x:v>
      </x:c>
      <x:c r="B42" s="72" t="s">
        <x:v>429</x:v>
      </x:c>
      <x:c r="C42" s="71" t="s">
        <x:v>430</x:v>
      </x:c>
      <x:c r="D42" s="71" t="s">
        <x:v>431</x:v>
      </x:c>
      <x:c r="E42" s="71" t="s">
        <x:v>432</x:v>
      </x:c>
      <x:c r="F42" s="71" t="s">
        <x:v>433</x:v>
      </x:c>
      <x:c r="G42" s="72" t="s">
        <x:v>417</x:v>
      </x:c>
      <x:c r="H42" s="71" t="s">
        <x:v>434</x:v>
      </x:c>
      <x:c r="I42" s="72" t="s">
        <x:v>424</x:v>
      </x:c>
    </x:row>
    <x:row r="43" ht="54" hidden="0" customHeight="1">
      <x:c r="A43" s="71" t="s">
        <x:v>435</x:v>
      </x:c>
      <x:c r="B43" s="72" t="s">
        <x:v>436</x:v>
      </x:c>
      <x:c r="C43" s="71" t="s">
        <x:v>437</x:v>
      </x:c>
      <x:c r="D43" s="72" t="s">
        <x:v>438</x:v>
      </x:c>
      <x:c r="E43" s="72" t="s">
        <x:v>188</x:v>
      </x:c>
      <x:c r="F43" s="71" t="s">
        <x:v>439</x:v>
      </x:c>
      <x:c r="G43" s="72" t="s">
        <x:v>440</x:v>
      </x:c>
      <x:c r="H43" s="71" t="s">
        <x:v>418</x:v>
      </x:c>
      <x:c r="I43" s="72" t="s">
        <x:v>424</x:v>
      </x:c>
    </x:row>
    <x:row r="44" ht="54" hidden="0" customHeight="1">
      <x:c r="A44" s="71" t="s">
        <x:v>435</x:v>
      </x:c>
      <x:c r="B44" s="72" t="s">
        <x:v>441</x:v>
      </x:c>
      <x:c r="C44" s="71" t="s">
        <x:v>442</x:v>
      </x:c>
      <x:c r="D44" s="71" t="s">
        <x:v>443</x:v>
      </x:c>
      <x:c r="E44" s="72" t="s">
        <x:v>188</x:v>
      </x:c>
      <x:c r="F44" s="71" t="s">
        <x:v>444</x:v>
      </x:c>
      <x:c r="G44" s="72" t="s">
        <x:v>440</x:v>
      </x:c>
      <x:c r="H44" s="71" t="s">
        <x:v>418</x:v>
      </x:c>
      <x:c r="I44" s="72" t="s">
        <x:v>424</x:v>
      </x:c>
    </x:row>
    <x:row r="45" ht="54" hidden="0" customHeight="1">
      <x:c r="A45" s="71" t="s">
        <x:v>435</x:v>
      </x:c>
      <x:c r="B45" s="72" t="s">
        <x:v>445</x:v>
      </x:c>
      <x:c r="C45" s="71" t="s">
        <x:v>446</x:v>
      </x:c>
      <x:c r="D45" s="72" t="s">
        <x:v>447</x:v>
      </x:c>
      <x:c r="E45" s="72" t="s">
        <x:v>188</x:v>
      </x:c>
      <x:c r="F45" s="71" t="s">
        <x:v>448</x:v>
      </x:c>
      <x:c r="G45" s="72" t="s">
        <x:v>440</x:v>
      </x:c>
      <x:c r="H45" s="71" t="s">
        <x:v>418</x:v>
      </x:c>
      <x:c r="I45" s="72" t="s">
        <x:v>424</x:v>
      </x:c>
    </x:row>
    <x:row r="46" ht="54" hidden="0" customHeight="1">
      <x:c r="A46" s="71" t="s">
        <x:v>435</x:v>
      </x:c>
      <x:c r="B46" s="72" t="s">
        <x:v>449</x:v>
      </x:c>
      <x:c r="C46" s="71" t="s">
        <x:v>450</x:v>
      </x:c>
      <x:c r="D46" s="71" t="s">
        <x:v>451</x:v>
      </x:c>
      <x:c r="E46" s="72" t="s">
        <x:v>452</x:v>
      </x:c>
      <x:c r="F46" s="71" t="s">
        <x:v>453</x:v>
      </x:c>
      <x:c r="G46" s="72" t="s">
        <x:v>440</x:v>
      </x:c>
      <x:c r="H46" s="71" t="s">
        <x:v>454</x:v>
      </x:c>
      <x:c r="I46" s="72" t="s">
        <x:v>424</x:v>
      </x:c>
    </x:row>
    <x:row r="48">
      <x:c r="A48" s="85" t="str">
        <x:v>v2.53 关系回忆与解除同步口径</x:v>
      </x:c>
      <x:c r="B48" s="85" t="str"/>
      <x:c r="C48" s="85" t="str"/>
      <x:c r="D48" s="85" t="str"/>
      <x:c r="E48" s="85" t="str"/>
      <x:c r="F48" s="85" t="str"/>
      <x:c r="G48" s="85" t="str"/>
      <x:c r="H48" s="85" t="str"/>
      <x:c r="I48" s="85" t="str"/>
    </x:row>
    <x:row r="49">
      <x:c r="A49" s="88" t="str">
        <x:v>对象</x:v>
      </x:c>
      <x:c r="B49" s="88" t="str">
        <x:v>页面/入口</x:v>
      </x:c>
      <x:c r="C49" s="88" t="str">
        <x:v>资产分组</x:v>
      </x:c>
      <x:c r="D49" s="88" t="str">
        <x:v>礼物汇总</x:v>
      </x:c>
      <x:c r="E49" s="88" t="str">
        <x:v>纪念展示</x:v>
      </x:c>
      <x:c r="F49" s="88" t="str">
        <x:v>解除方式</x:v>
      </x:c>
      <x:c r="G49" s="88" t="str">
        <x:v>默认强制解除价</x:v>
      </x:c>
      <x:c r="H49" s="88" t="str">
        <x:v>结算/保留</x:v>
      </x:c>
      <x:c r="I49" s="88" t="str">
        <x:v>复用与边界</x:v>
      </x:c>
    </x:row>
    <x:row r="50" ht="72" customHeight="1">
      <x:c r="A50" s="82" t="str">
        <x:v>CP</x:v>
      </x:c>
      <x:c r="B50" s="82" t="str">
        <x:v>关系页底部 → Love Memory</x:v>
      </x:c>
      <x:c r="C50" s="82" t="str">
        <x:v>Rings / Gifts / Memorial Day</x:v>
      </x:c>
      <x:c r="D50" s="82" t="str">
        <x:v>心动花束×2、星河情书×1、BOND×4、普通礼物×18、幸运礼物×6；Gifts=31；Rings=5；总计=36</x:v>
      </x:c>
      <x:c r="E50" s="82" t="str">
        <x:v>只渲染已达成：Form CP、7 Days、1 Month；角标5未解锁</x:v>
      </x:c>
      <x:c r="F50" s="82" t="str">
        <x:v>协议解除 / 强制解除</x:v>
      </x:c>
      <x:c r="G50" s="89" t="n">
        <x:v>99999</x:v>
      </x:c>
      <x:c r="H50" s="82" t="str">
        <x:v>协议待对方确认；1天无响应按拒绝；解除后历史资产与流水按规则保留</x:v>
      </x:c>
      <x:c r="I50" s="82" t="str">
        <x:v>普通/幸运礼物按成功送达基础数量统计；幸运倍数不放大数量</x:v>
      </x:c>
    </x:row>
    <x:row r="51" ht="72" customHeight="1">
      <x:c r="A51" s="82" t="str">
        <x:v>兄弟/闺蜜/挚友</x:v>
      </x:c>
      <x:c r="B51" s="82" t="str">
        <x:v>关系页底部 → Relationship Memory</x:v>
      </x:c>
      <x:c r="C51" s="82" t="str">
        <x:v>Gifts / Relationship Milestones</x:v>
      </x:c>
      <x:c r="D51" s="82" t="str">
        <x:v>BOND、普通礼物、幸运礼物按当前 relationship_id 动态汇总</x:v>
      </x:c>
      <x:c r="E51" s="82" t="str">
        <x:v>只渲染已达成；当前定义关系成立与30天节点；未达成只计入角标</x:v>
      </x:c>
      <x:c r="F51" s="82" t="str">
        <x:v>协议解除 / 强制解除</x:v>
      </x:c>
      <x:c r="G51" s="89" t="n">
        <x:v>59999</x:v>
      </x:c>
      <x:c r="H51" s="82" t="str">
        <x:v>同 CP；称谓、主题、伙伴与资产数据按关系实例读取</x:v>
      </x:c>
      <x:c r="I51" s="82" t="str">
        <x:v>复用同一回忆/解除组件，不复制页面实现</x:v>
      </x:c>
    </x:row>
    <x:row r="52" ht="72" customHeight="1">
      <x:c r="A52" s="82" t="str">
        <x:v>礼物聚合口径</x:v>
      </x:c>
      <x:c r="B52" s="82" t="str">
        <x:v>回忆页礼物豆腐块</x:v>
      </x:c>
      <x:c r="C52" s="82" t="str">
        <x:v>成功送达基础数量</x:v>
      </x:c>
      <x:c r="D52" s="82" t="str">
        <x:v>失败、退款、拒付、撤销不计；幸运中奖/倍数不增加件数</x:v>
      </x:c>
      <x:c r="E52" s="82" t="str">
        <x:v>活动礼物不得默认并入普通礼物</x:v>
      </x:c>
      <x:c r="F52" s="82" t="str">
        <x:v>n.a.</x:v>
      </x:c>
      <x:c r="G52" s="82"/>
      <x:c r="H52" s="82" t="str">
        <x:v>退款/拒付后按原订单冲减对应类别与总数</x:v>
      </x:c>
      <x:c r="I52" s="82" t="str">
        <x:v>活动礼物是否新增独立分类仍待产品明确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7A20"/>
  </x:sheetPr>
  <x:sheetViews>
    <x:sheetView showGridLines="0" workbookViewId="0"/>
  </x:sheetViews>
  <x:sheetFormatPr defaultColWidth="10.74609375" defaultRowHeight="16.799999237060547"/>
  <x:cols>
    <x:col min="1" max="1" width="22.68000030517578" hidden="0" customWidth="1"/>
    <x:col min="2" max="2" width="26.260000228881836" hidden="0" customWidth="1"/>
    <x:col min="3" max="4" width="28.649999618530273" hidden="0" customWidth="1"/>
    <x:col min="5" max="6" width="33.41999816894531" hidden="0" customWidth="1"/>
    <x:col min="7" max="7" width="29.84000015258789" hidden="0" customWidth="1"/>
    <x:col min="8" max="8" width="22" hidden="0" customWidth="1"/>
  </x:cols>
  <x:sheetData>
    <x:row r="1" ht="16.799999237060547" hidden="0">
      <x:c r="A1" s="1"/>
      <x:c r="B1" s="1"/>
      <x:c r="C1" s="1"/>
      <x:c r="D1" s="1"/>
      <x:c r="E1" s="1"/>
      <x:c r="F1" s="1"/>
      <x:c r="G1" s="1"/>
      <x:c r="H1" s="1"/>
    </x:row>
    <x:row r="2" ht="18.549999237060547" hidden="0">
      <x:c r="A2" s="55" t="str">
        <x:v>建立、迁移与后台规则｜v3.9</x:v>
      </x:c>
      <x:c r="B2" s="1"/>
      <x:c r="C2" s="1"/>
      <x:c r="D2" s="1"/>
      <x:c r="E2" s="1"/>
      <x:c r="F2" s="1"/>
      <x:c r="G2" s="1"/>
      <x:c r="H2" s="1"/>
    </x:row>
    <x:row r="3" ht="16.799999237060547" hidden="0">
      <x:c r="A3" s="3" t="str">
        <x:v>CP 建立/Lv1 门槛统一为1,000并注入1,000 CP EXP；亲友建立门槛统一为500；存量关系不按新门槛反推或失效。</x:v>
      </x:c>
      <x:c r="B3" s="1"/>
      <x:c r="C3" s="1"/>
      <x:c r="D3" s="1"/>
      <x:c r="E3" s="1"/>
      <x:c r="F3" s="1"/>
      <x:c r="G3" s="1"/>
      <x:c r="H3" s="1"/>
    </x:row>
    <x:row r="4" ht="16.799999237060547" hidden="0">
      <x:c r="A4" s="4"/>
      <x:c r="B4" s="4"/>
      <x:c r="C4" s="4"/>
      <x:c r="D4" s="4"/>
      <x:c r="E4" s="4"/>
      <x:c r="F4" s="4"/>
      <x:c r="G4" s="4"/>
      <x:c r="H4" s="4"/>
    </x:row>
    <x:row r="5" ht="16.799999237060547" hidden="0">
      <x:c r="A5" s="1"/>
      <x:c r="B5" s="1"/>
      <x:c r="C5" s="1"/>
      <x:c r="D5" s="1"/>
      <x:c r="E5" s="1"/>
      <x:c r="F5" s="1"/>
      <x:c r="G5" s="1"/>
      <x:c r="H5" s="1"/>
    </x:row>
    <x:row r="6" ht="22" hidden="0" customHeight="1">
      <x:c r="A6" s="5" t="s">
        <x:v>455</x:v>
      </x:c>
      <x:c r="B6" s="6"/>
      <x:c r="C6" s="6"/>
      <x:c r="D6" s="6"/>
      <x:c r="E6" s="6"/>
      <x:c r="F6" s="6"/>
      <x:c r="G6" s="6"/>
      <x:c r="H6" s="39"/>
    </x:row>
    <x:row r="7" ht="31" hidden="0" customHeight="1">
      <x:c r="A7" s="10" t="s">
        <x:v>456</x:v>
      </x:c>
      <x:c r="B7" s="11" t="s">
        <x:v>457</x:v>
      </x:c>
      <x:c r="C7" s="11" t="s">
        <x:v>458</x:v>
      </x:c>
      <x:c r="D7" s="11" t="s">
        <x:v>459</x:v>
      </x:c>
      <x:c r="E7" s="11" t="s">
        <x:v>460</x:v>
      </x:c>
      <x:c r="F7" s="12" t="s">
        <x:v>461</x:v>
      </x:c>
      <x:c r="G7" s="1"/>
      <x:c r="H7" s="1"/>
    </x:row>
    <x:row r="8" ht="42" hidden="0" customHeight="1">
      <x:c r="A8" s="13" t="s">
        <x:v>462</x:v>
      </x:c>
      <x:c r="B8" s="13" t="s">
        <x:v>463</x:v>
      </x:c>
      <x:c r="C8" s="13" t="s">
        <x:v>464</x:v>
      </x:c>
      <x:c r="D8" s="13" t="s">
        <x:v>465</x:v>
      </x:c>
      <x:c r="E8" s="13" t="s">
        <x:v>466</x:v>
      </x:c>
      <x:c r="F8" s="13" t="s">
        <x:v>395</x:v>
      </x:c>
      <x:c r="G8" s="1"/>
      <x:c r="H8" s="1"/>
    </x:row>
    <x:row r="9" ht="42" hidden="0" customHeight="1">
      <x:c r="A9" s="13" t="s">
        <x:v>467</x:v>
      </x:c>
      <x:c r="B9" s="14" t="s">
        <x:v>166</x:v>
      </x:c>
      <x:c r="C9" s="13" t="s">
        <x:v>468</x:v>
      </x:c>
      <x:c r="D9" s="13" t="s">
        <x:v>469</x:v>
      </x:c>
      <x:c r="E9" s="13" t="s">
        <x:v>470</x:v>
      </x:c>
      <x:c r="F9" s="13" t="s">
        <x:v>395</x:v>
      </x:c>
      <x:c r="G9" s="1"/>
      <x:c r="H9" s="1"/>
    </x:row>
    <x:row r="10" ht="42" hidden="0" customHeight="1">
      <x:c r="A10" s="13" t="s">
        <x:v>471</x:v>
      </x:c>
      <x:c r="B10" s="13" t="s">
        <x:v>472</x:v>
      </x:c>
      <x:c r="C10" s="13" t="s">
        <x:v>473</x:v>
      </x:c>
      <x:c r="D10" s="13" t="s">
        <x:v>474</x:v>
      </x:c>
      <x:c r="E10" s="13" t="s">
        <x:v>475</x:v>
      </x:c>
      <x:c r="F10" s="13" t="s">
        <x:v>395</x:v>
      </x:c>
      <x:c r="G10" s="1"/>
      <x:c r="H10" s="1"/>
    </x:row>
    <x:row r="11" ht="42" hidden="0" customHeight="1">
      <x:c r="A11" s="13" t="s">
        <x:v>476</x:v>
      </x:c>
      <x:c r="B11" s="13" t="s">
        <x:v>477</x:v>
      </x:c>
      <x:c r="C11" s="13" t="s">
        <x:v>478</x:v>
      </x:c>
      <x:c r="D11" s="13" t="s">
        <x:v>479</x:v>
      </x:c>
      <x:c r="E11" s="13" t="s">
        <x:v>480</x:v>
      </x:c>
      <x:c r="F11" s="13" t="s">
        <x:v>395</x:v>
      </x:c>
      <x:c r="G11" s="1"/>
      <x:c r="H11" s="1"/>
    </x:row>
    <x:row r="12" ht="42" hidden="0" customHeight="1">
      <x:c r="A12" s="13" t="s">
        <x:v>481</x:v>
      </x:c>
      <x:c r="B12" s="13" t="s">
        <x:v>477</x:v>
      </x:c>
      <x:c r="C12" s="13" t="s">
        <x:v>482</x:v>
      </x:c>
      <x:c r="D12" s="13" t="s">
        <x:v>483</x:v>
      </x:c>
      <x:c r="E12" s="13" t="s">
        <x:v>484</x:v>
      </x:c>
      <x:c r="F12" s="13" t="s">
        <x:v>395</x:v>
      </x:c>
      <x:c r="G12" s="1"/>
      <x:c r="H12" s="1"/>
    </x:row>
    <x:row r="13" ht="42" hidden="0" customHeight="1">
      <x:c r="A13" s="13" t="s">
        <x:v>485</x:v>
      </x:c>
      <x:c r="B13" s="13" t="s">
        <x:v>477</x:v>
      </x:c>
      <x:c r="C13" s="13" t="s">
        <x:v>486</x:v>
      </x:c>
      <x:c r="D13" s="13" t="s">
        <x:v>487</x:v>
      </x:c>
      <x:c r="E13" s="13" t="s">
        <x:v>488</x:v>
      </x:c>
      <x:c r="F13" s="13" t="s">
        <x:v>395</x:v>
      </x:c>
      <x:c r="G13" s="1"/>
      <x:c r="H13" s="1"/>
    </x:row>
    <x:row r="14" ht="42" hidden="0" customHeight="1">
      <x:c r="A14" s="13" t="s">
        <x:v>489</x:v>
      </x:c>
      <x:c r="B14" s="14" t="s">
        <x:v>166</x:v>
      </x:c>
      <x:c r="C14" s="13" t="s">
        <x:v>490</x:v>
      </x:c>
      <x:c r="D14" s="13" t="s">
        <x:v>491</x:v>
      </x:c>
      <x:c r="E14" s="13" t="s">
        <x:v>492</x:v>
      </x:c>
      <x:c r="F14" s="13" t="s">
        <x:v>395</x:v>
      </x:c>
      <x:c r="G14" s="1"/>
      <x:c r="H14" s="1"/>
    </x:row>
    <x:row r="15" ht="42" hidden="0" customHeight="1">
      <x:c r="A15" s="13" t="s">
        <x:v>493</x:v>
      </x:c>
      <x:c r="B15" s="13" t="s">
        <x:v>494</x:v>
      </x:c>
      <x:c r="C15" s="13" t="str">
        <x:v>正常衰退跨档进入7天保护；到期未恢复时服务端下调rights_level</x:v>
      </x:c>
      <x:c r="D15" s="13" t="str">
        <x:v>保护期保留原权益；下次冷启动/重新登录卸下超档持续型权益并回退</x:v>
      </x:c>
      <x:c r="E15" s="13" t="str">
        <x:v>重新升级自动恢复且不重复发奖；历史最高等级与永久证书保留</x:v>
      </x:c>
      <x:c r="F15" s="13" t="str">
        <x:v>否</x:v>
      </x:c>
      <x:c r="G15" s="1"/>
      <x:c r="H15" s="1"/>
    </x:row>
    <x:row r="16" ht="42" hidden="0" customHeight="1">
      <x:c r="A16" s="21" t="s">
        <x:v>495</x:v>
      </x:c>
      <x:c r="B16" s="21" t="s">
        <x:v>166</x:v>
      </x:c>
      <x:c r="C16" s="22" t="s">
        <x:v>496</x:v>
      </x:c>
      <x:c r="D16" s="22" t="s">
        <x:v>497</x:v>
      </x:c>
      <x:c r="E16" s="22" t="s">
        <x:v>498</x:v>
      </x:c>
      <x:c r="F16" s="22" t="s">
        <x:v>395</x:v>
      </x:c>
      <x:c r="G16" s="1"/>
      <x:c r="H16" s="1"/>
    </x:row>
    <x:row r="17" ht="16.799999237060547" hidden="0">
      <x:c r="A17" s="1"/>
      <x:c r="B17" s="1"/>
      <x:c r="C17" s="1"/>
      <x:c r="D17" s="1"/>
      <x:c r="E17" s="1"/>
      <x:c r="F17" s="1"/>
      <x:c r="G17" s="1"/>
      <x:c r="H17" s="1"/>
    </x:row>
    <x:row r="18" ht="22" hidden="0" customHeight="1">
      <x:c r="A18" s="73" t="str">
        <x:v>建立与等级口径（已裁决）</x:v>
      </x:c>
      <x:c r="B18" s="74"/>
      <x:c r="C18" s="74"/>
      <x:c r="D18" s="74"/>
      <x:c r="E18" s="74"/>
      <x:c r="F18" s="74"/>
      <x:c r="G18" s="74"/>
      <x:c r="H18" s="75"/>
    </x:row>
    <x:row r="19" ht="31" hidden="0" customHeight="1">
      <x:c r="A19" s="10" t="s">
        <x:v>377</x:v>
      </x:c>
      <x:c r="B19" s="11" t="s">
        <x:v>499</x:v>
      </x:c>
      <x:c r="C19" s="11" t="s">
        <x:v>500</x:v>
      </x:c>
      <x:c r="D19" s="11" t="str">
        <x:v>当前PRD v5.14</x:v>
      </x:c>
      <x:c r="E19" s="11" t="s">
        <x:v>501</x:v>
      </x:c>
      <x:c r="F19" s="11" t="s">
        <x:v>502</x:v>
      </x:c>
      <x:c r="G19" s="12" t="s">
        <x:v>503</x:v>
      </x:c>
      <x:c r="H19" s="1"/>
    </x:row>
    <x:row r="20" ht="54" hidden="0" customHeight="1">
      <x:c r="A20" s="90" t="s">
        <x:v>504</x:v>
      </x:c>
      <x:c r="B20" s="90" t="s">
        <x:v>505</x:v>
      </x:c>
      <x:c r="C20" s="90" t="s">
        <x:v>506</x:v>
      </x:c>
      <x:c r="D20" s="90" t="str">
        <x:v>1,000亲密值</x:v>
      </x:c>
      <x:c r="E20" s="90" t="s">
        <x:v>507</x:v>
      </x:c>
      <x:c r="F20" s="91" t="str">
        <x:v>已完成客户端、PRD、表格与服务端配置统一</x:v>
      </x:c>
      <x:c r="G20" s="91" t="str">
        <x:v>按999/1,000边界验收</x:v>
      </x:c>
      <x:c r="H20" s="1"/>
    </x:row>
    <x:row r="21" ht="54" hidden="0" customHeight="1">
      <x:c r="A21" s="92" t="s">
        <x:v>508</x:v>
      </x:c>
      <x:c r="B21" s="92" t="s">
        <x:v>509</x:v>
      </x:c>
      <x:c r="C21" s="92" t="s">
        <x:v>510</x:v>
      </x:c>
      <x:c r="D21" s="93" t="s">
        <x:v>14</x:v>
      </x:c>
      <x:c r="E21" s="93" t="s">
        <x:v>14</x:v>
      </x:c>
      <x:c r="F21" s="92" t="s">
        <x:v>511</x:v>
      </x:c>
      <x:c r="G21" s="92" t="s">
        <x:v>512</x:v>
      </x:c>
      <x:c r="H21" s="1"/>
    </x:row>
    <x:row r="22" ht="54" hidden="0" customHeight="1">
      <x:c r="A22" s="94" t="s">
        <x:v>513</x:v>
      </x:c>
      <x:c r="B22" s="94" t="s">
        <x:v>514</x:v>
      </x:c>
      <x:c r="C22" s="94" t="s">
        <x:v>515</x:v>
      </x:c>
      <x:c r="D22" s="95" t="s">
        <x:v>516</x:v>
      </x:c>
      <x:c r="E22" s="95" t="s">
        <x:v>516</x:v>
      </x:c>
      <x:c r="F22" s="94" t="s">
        <x:v>517</x:v>
      </x:c>
      <x:c r="G22" s="94" t="s">
        <x:v>518</x:v>
      </x:c>
      <x:c r="H22" s="1"/>
    </x:row>
    <x:row r="23" ht="16.799999237060547" hidden="0">
      <x:c r="A23" s="92" t="str">
        <x:v>亲友建立门槛</x:v>
      </x:c>
      <x:c r="B23" s="92" t="str">
        <x:v>原PRD 1,500；原型旧值2,000</x:v>
      </x:c>
      <x:c r="C23" s="92" t="str">
        <x:v>500好友亲密值</x:v>
      </x:c>
      <x:c r="D23" s="92" t="str">
        <x:v>500亲密值</x:v>
      </x:c>
      <x:c r="E23" s="92" t="str">
        <x:v>兄弟/闺蜜/挚友统一500</x:v>
      </x:c>
      <x:c r="F23" s="92" t="str">
        <x:v>存量有效关系低于500不失效</x:v>
      </x:c>
      <x:c r="G23" s="92" t="str">
        <x:v>按499/500边界验收</x:v>
      </x:c>
      <x:c r="H23" s="1"/>
    </x:row>
    <x:row r="24" ht="16.799999237060547" hidden="0">
      <x:c r="A24" s="1"/>
      <x:c r="B24" s="1"/>
      <x:c r="C24" s="1"/>
      <x:c r="D24" s="1"/>
      <x:c r="E24" s="1"/>
      <x:c r="F24" s="1"/>
      <x:c r="G24" s="1"/>
      <x:c r="H24" s="1"/>
    </x:row>
    <x:row r="25" ht="22" hidden="0" customHeight="1">
      <x:c r="A25" s="7" t="s">
        <x:v>519</x:v>
      </x:c>
      <x:c r="B25" s="8"/>
      <x:c r="C25" s="8"/>
      <x:c r="D25" s="8"/>
      <x:c r="E25" s="8"/>
      <x:c r="F25" s="8"/>
      <x:c r="G25" s="8"/>
      <x:c r="H25" s="9"/>
    </x:row>
    <x:row r="26" ht="31" hidden="0" customHeight="1">
      <x:c r="A26" s="10" t="s">
        <x:v>520</x:v>
      </x:c>
      <x:c r="B26" s="11" t="s">
        <x:v>521</x:v>
      </x:c>
      <x:c r="C26" s="11" t="s">
        <x:v>113</x:v>
      </x:c>
      <x:c r="D26" s="11" t="s">
        <x:v>522</x:v>
      </x:c>
      <x:c r="E26" s="11" t="s">
        <x:v>523</x:v>
      </x:c>
      <x:c r="F26" s="12" t="s">
        <x:v>524</x:v>
      </x:c>
      <x:c r="G26" s="1"/>
      <x:c r="H26" s="1"/>
    </x:row>
    <x:row r="27" ht="38" hidden="0" customHeight="1">
      <x:c r="A27" s="14" t="str">
        <x:v>cp_candidate_friend_intimacy</x:v>
      </x:c>
      <x:c r="B27" s="13" t="str">
        <x:v>建立CP前好友亲密值</x:v>
      </x:c>
      <x:c r="C27" s="13" t="str">
        <x:v>服务端</x:v>
      </x:c>
      <x:c r="D27" s="13" t="str">
        <x:v>显示资格与差值</x:v>
      </x:c>
      <x:c r="E27" s="13" t="str">
        <x:v>门槛统一为1,000</x:v>
      </x:c>
      <x:c r="F27" s="14" t="str">
        <x:v>999不可申请，1,000可申请</x:v>
      </x:c>
      <x:c r="G27" s="1"/>
      <x:c r="H27" s="1"/>
    </x:row>
    <x:row r="28" ht="38" hidden="0" customHeight="1">
      <x:c r="A28" s="14" t="s">
        <x:v>525</x:v>
      </x:c>
      <x:c r="B28" s="13" t="s">
        <x:v>526</x:v>
      </x:c>
      <x:c r="C28" s="13" t="s">
        <x:v>527</x:v>
      </x:c>
      <x:c r="D28" s="13" t="s">
        <x:v>528</x:v>
      </x:c>
      <x:c r="E28" s="13" t="s">
        <x:v>529</x:v>
      </x:c>
      <x:c r="F28" s="13" t="s">
        <x:v>530</x:v>
      </x:c>
      <x:c r="G28" s="1"/>
      <x:c r="H28" s="1"/>
    </x:row>
    <x:row r="29" ht="38" hidden="0" customHeight="1">
      <x:c r="A29" s="14" t="s">
        <x:v>531</x:v>
      </x:c>
      <x:c r="B29" s="13" t="s">
        <x:v>532</x:v>
      </x:c>
      <x:c r="C29" s="13" t="s">
        <x:v>533</x:v>
      </x:c>
      <x:c r="D29" s="13" t="s">
        <x:v>534</x:v>
      </x:c>
      <x:c r="E29" s="13" t="s">
        <x:v>535</x:v>
      </x:c>
      <x:c r="F29" s="13" t="s">
        <x:v>536</x:v>
      </x:c>
      <x:c r="G29" s="1"/>
      <x:c r="H29" s="1"/>
    </x:row>
    <x:row r="30" ht="38" hidden="0" customHeight="1">
      <x:c r="A30" s="14" t="s">
        <x:v>537</x:v>
      </x:c>
      <x:c r="B30" s="14" t="s">
        <x:v>14</x:v>
      </x:c>
      <x:c r="C30" s="13" t="s">
        <x:v>538</x:v>
      </x:c>
      <x:c r="D30" s="13" t="s">
        <x:v>539</x:v>
      </x:c>
      <x:c r="E30" s="13" t="s">
        <x:v>540</x:v>
      </x:c>
      <x:c r="F30" s="13" t="s">
        <x:v>541</x:v>
      </x:c>
      <x:c r="G30" s="1"/>
      <x:c r="H30" s="1"/>
    </x:row>
    <x:row r="31" ht="38" hidden="0" customHeight="1">
      <x:c r="A31" s="14" t="s">
        <x:v>542</x:v>
      </x:c>
      <x:c r="B31" s="14" t="s">
        <x:v>543</x:v>
      </x:c>
      <x:c r="C31" s="13" t="s">
        <x:v>544</x:v>
      </x:c>
      <x:c r="D31" s="13" t="s">
        <x:v>545</x:v>
      </x:c>
      <x:c r="E31" s="13" t="s">
        <x:v>546</x:v>
      </x:c>
      <x:c r="F31" s="14" t="s">
        <x:v>547</x:v>
      </x:c>
      <x:c r="G31" s="1"/>
      <x:c r="H31" s="1"/>
    </x:row>
    <x:row r="32" ht="38" hidden="0" customHeight="1">
      <x:c r="A32" s="14" t="s">
        <x:v>548</x:v>
      </x:c>
      <x:c r="B32" s="13" t="s">
        <x:v>549</x:v>
      </x:c>
      <x:c r="C32" s="13" t="s">
        <x:v>550</x:v>
      </x:c>
      <x:c r="D32" s="13" t="s">
        <x:v>551</x:v>
      </x:c>
      <x:c r="E32" s="13" t="s">
        <x:v>552</x:v>
      </x:c>
      <x:c r="F32" s="13" t="s">
        <x:v>553</x:v>
      </x:c>
      <x:c r="G32" s="1"/>
      <x:c r="H32" s="1"/>
    </x:row>
    <x:row r="33" ht="38" hidden="0" customHeight="1">
      <x:c r="A33" s="14" t="s">
        <x:v>554</x:v>
      </x:c>
      <x:c r="B33" s="13" t="s">
        <x:v>555</x:v>
      </x:c>
      <x:c r="C33" s="13" t="s">
        <x:v>556</x:v>
      </x:c>
      <x:c r="D33" s="13" t="s">
        <x:v>557</x:v>
      </x:c>
      <x:c r="E33" s="13" t="s">
        <x:v>558</x:v>
      </x:c>
      <x:c r="F33" s="13" t="s">
        <x:v>559</x:v>
      </x:c>
      <x:c r="G33" s="1"/>
      <x:c r="H33" s="1"/>
    </x:row>
    <x:row r="34" ht="38" hidden="0" customHeight="1">
      <x:c r="A34" s="14" t="s">
        <x:v>560</x:v>
      </x:c>
      <x:c r="B34" s="13" t="s">
        <x:v>561</x:v>
      </x:c>
      <x:c r="C34" s="13" t="s">
        <x:v>562</x:v>
      </x:c>
      <x:c r="D34" s="13" t="s">
        <x:v>563</x:v>
      </x:c>
      <x:c r="E34" s="13" t="s">
        <x:v>564</x:v>
      </x:c>
      <x:c r="F34" s="13" t="s">
        <x:v>565</x:v>
      </x:c>
      <x:c r="G34" s="1"/>
      <x:c r="H34" s="1"/>
    </x:row>
    <x:row r="35" ht="38" hidden="0" customHeight="1">
      <x:c r="A35" s="14" t="s">
        <x:v>566</x:v>
      </x:c>
      <x:c r="B35" s="14" t="s">
        <x:v>567</x:v>
      </x:c>
      <x:c r="C35" s="13" t="s">
        <x:v>568</x:v>
      </x:c>
      <x:c r="D35" s="14" t="s">
        <x:v>569</x:v>
      </x:c>
      <x:c r="E35" s="13" t="s">
        <x:v>570</x:v>
      </x:c>
      <x:c r="F35" s="13" t="s">
        <x:v>571</x:v>
      </x:c>
      <x:c r="G35" s="1"/>
      <x:c r="H35" s="1"/>
    </x:row>
    <x:row r="36" ht="38" hidden="0" customHeight="1">
      <x:c r="A36" s="22" t="s">
        <x:v>572</x:v>
      </x:c>
      <x:c r="B36" s="22" t="s">
        <x:v>573</x:v>
      </x:c>
      <x:c r="C36" s="22" t="s">
        <x:v>574</x:v>
      </x:c>
      <x:c r="D36" s="22" t="s">
        <x:v>551</x:v>
      </x:c>
      <x:c r="E36" s="22" t="s">
        <x:v>575</x:v>
      </x:c>
      <x:c r="F36" s="22" t="s">
        <x:v>576</x:v>
      </x:c>
      <x:c r="G36" s="1"/>
      <x:c r="H36" s="1"/>
    </x:row>
    <x:row r="37" ht="16.799999237060547" hidden="0">
      <x:c r="A37" s="92" t="str">
        <x:v>friend_relationship_threshold</x:v>
      </x:c>
      <x:c r="B37" s="92" t="str">
        <x:v>亲友关系建立门槛</x:v>
      </x:c>
      <x:c r="C37" s="92" t="str">
        <x:v>服务端配置</x:v>
      </x:c>
      <x:c r="D37" s="92" t="str">
        <x:v>显示资格与差值</x:v>
      </x:c>
      <x:c r="E37" s="92" t="str">
        <x:v>兄弟/闺蜜/挚友统一500</x:v>
      </x:c>
      <x:c r="F37" s="92" t="str">
        <x:v>499不可邀请，500可邀请</x:v>
      </x:c>
      <x:c r="G37" s="1"/>
      <x:c r="H37" s="1"/>
    </x:row>
    <x:row r="38" ht="22" hidden="0" customHeight="1">
      <x:c r="A38" s="7" t="s">
        <x:v>577</x:v>
      </x:c>
      <x:c r="B38" s="8"/>
      <x:c r="C38" s="8"/>
      <x:c r="D38" s="8"/>
      <x:c r="E38" s="8"/>
      <x:c r="F38" s="8"/>
      <x:c r="G38" s="8"/>
      <x:c r="H38" s="9"/>
    </x:row>
    <x:row r="39" ht="31" hidden="0" customHeight="1">
      <x:c r="A39" s="10" t="s">
        <x:v>229</x:v>
      </x:c>
      <x:c r="B39" s="11" t="s">
        <x:v>578</x:v>
      </x:c>
      <x:c r="C39" s="11" t="s">
        <x:v>579</x:v>
      </x:c>
      <x:c r="D39" s="11" t="s">
        <x:v>580</x:v>
      </x:c>
      <x:c r="E39" s="11" t="s">
        <x:v>581</x:v>
      </x:c>
      <x:c r="F39" s="12" t="s">
        <x:v>76</x:v>
      </x:c>
      <x:c r="G39" s="1"/>
      <x:c r="H39" s="1"/>
    </x:row>
    <x:row r="40" ht="40" hidden="0" customHeight="1">
      <x:c r="A40" s="13" t="s">
        <x:v>582</x:v>
      </x:c>
      <x:c r="B40" s="13" t="s">
        <x:v>583</x:v>
      </x:c>
      <x:c r="C40" s="13" t="s">
        <x:v>584</x:v>
      </x:c>
      <x:c r="D40" s="13" t="s">
        <x:v>585</x:v>
      </x:c>
      <x:c r="E40" s="13" t="s">
        <x:v>586</x:v>
      </x:c>
      <x:c r="F40" s="25" t="s">
        <x:v>587</x:v>
      </x:c>
      <x:c r="G40" s="1"/>
      <x:c r="H40" s="1"/>
    </x:row>
    <x:row r="41" ht="40" hidden="0" customHeight="1">
      <x:c r="A41" s="13" t="s">
        <x:v>588</x:v>
      </x:c>
      <x:c r="B41" s="13" t="s">
        <x:v>589</x:v>
      </x:c>
      <x:c r="C41" s="13" t="s">
        <x:v>590</x:v>
      </x:c>
      <x:c r="D41" s="13" t="s">
        <x:v>591</x:v>
      </x:c>
      <x:c r="E41" s="13" t="s">
        <x:v>592</x:v>
      </x:c>
      <x:c r="F41" s="25" t="s">
        <x:v>587</x:v>
      </x:c>
      <x:c r="G41" s="1"/>
      <x:c r="H41" s="1"/>
    </x:row>
    <x:row r="42" ht="40" hidden="0" customHeight="1">
      <x:c r="A42" s="13" t="s">
        <x:v>593</x:v>
      </x:c>
      <x:c r="B42" s="13" t="s">
        <x:v>594</x:v>
      </x:c>
      <x:c r="C42" s="13" t="s">
        <x:v>595</x:v>
      </x:c>
      <x:c r="D42" s="13" t="s">
        <x:v>596</x:v>
      </x:c>
      <x:c r="E42" s="13" t="s">
        <x:v>533</x:v>
      </x:c>
      <x:c r="F42" s="25" t="s">
        <x:v>587</x:v>
      </x:c>
      <x:c r="G42" s="1"/>
      <x:c r="H42" s="1"/>
    </x:row>
    <x:row r="43" ht="40" hidden="0" customHeight="1">
      <x:c r="A43" s="22" t="s">
        <x:v>597</x:v>
      </x:c>
      <x:c r="B43" s="22" t="s">
        <x:v>598</x:v>
      </x:c>
      <x:c r="C43" s="22" t="s">
        <x:v>599</x:v>
      </x:c>
      <x:c r="D43" s="22" t="s">
        <x:v>600</x:v>
      </x:c>
      <x:c r="E43" s="22" t="s">
        <x:v>601</x:v>
      </x:c>
      <x:c r="F43" s="26" t="s">
        <x:v>92</x:v>
      </x:c>
      <x:c r="G43" s="1"/>
      <x:c r="H43" s="1"/>
    </x:row>
    <x:row r="45">
      <x:c r="A45" s="85" t="str">
        <x:v>关系回忆与解除状态同步（v2.54）</x:v>
      </x:c>
      <x:c r="B45" s="85" t="str"/>
      <x:c r="C45" s="85" t="str"/>
      <x:c r="D45" s="85" t="str"/>
      <x:c r="E45" s="85" t="str"/>
      <x:c r="F45" s="85" t="str"/>
      <x:c r="G45" s="85" t="str"/>
      <x:c r="H45" s="85" t="str"/>
    </x:row>
    <x:row r="46">
      <x:c r="A46" s="88" t="str">
        <x:v>阶段</x:v>
      </x:c>
      <x:c r="B46" s="88" t="str">
        <x:v>适用关系</x:v>
      </x:c>
      <x:c r="C46" s="88" t="str">
        <x:v>条件/动作</x:v>
      </x:c>
      <x:c r="D46" s="88" t="str">
        <x:v>状态结果</x:v>
      </x:c>
      <x:c r="E46" s="88" t="str">
        <x:v>价格/时限</x:v>
      </x:c>
      <x:c r="F46" s="88" t="str">
        <x:v>资产与历史</x:v>
      </x:c>
      <x:c r="G46" s="88" t="str">
        <x:v>异常恢复</x:v>
      </x:c>
      <x:c r="H46" s="88" t="str">
        <x:v>审计/幂等</x:v>
      </x:c>
    </x:row>
    <x:row r="47" ht="64" customHeight="1">
      <x:c r="A47" s="82" t="str">
        <x:v>协议解除</x:v>
      </x:c>
      <x:c r="B47" s="82" t="str">
        <x:v>CP/兄弟/闺蜜/挚友</x:v>
      </x:c>
      <x:c r="C47" s="82" t="str">
        <x:v>一方发起，另一方确认</x:v>
      </x:c>
      <x:c r="D47" s="82" t="str">
        <x:v>active → termination_pending → terminated / active</x:v>
      </x:c>
      <x:c r="E47" s="82" t="str">
        <x:v>对方1天内同意；拒绝或无响应均维持关系</x:v>
      </x:c>
      <x:c r="F47" s="82" t="str">
        <x:v>确认成功前不隐藏当前关系与资产</x:v>
      </x:c>
      <x:c r="G47" s="82" t="str">
        <x:v>超时按拒绝结束申请，可重新发起</x:v>
      </x:c>
      <x:c r="H47" s="82" t="str">
        <x:v>termination_request_id 幂等；记录双方动作</x:v>
      </x:c>
    </x:row>
    <x:row r="48" ht="64" customHeight="1">
      <x:c r="A48" s="82" t="str">
        <x:v>强制解除</x:v>
      </x:c>
      <x:c r="B48" s="82" t="str">
        <x:v>CP</x:v>
      </x:c>
      <x:c r="C48" s="82" t="str">
        <x:v>中央二次确认后服务端复核关系、价格、余额和风控</x:v>
      </x:c>
      <x:c r="D48" s="82" t="str">
        <x:v>active → terminating → terminated / failed</x:v>
      </x:c>
      <x:c r="E48" s="82" t="str">
        <x:v>默认99,999金币，服务端配置下发</x:v>
      </x:c>
      <x:c r="F48" s="82" t="str">
        <x:v>成功后持续型权益失效；荣誉认证证书永久保留；合法历史流水、戒指、礼物和纪念按规则查询</x:v>
      </x:c>
      <x:c r="G48" s="82" t="str">
        <x:v>余额不足/价格变化/关系变化均不扣款；刷新后重试</x:v>
      </x:c>
      <x:c r="H48" s="82" t="str">
        <x:v>钱包订单与解除请求双幂等</x:v>
      </x:c>
    </x:row>
    <x:row r="49" ht="64" customHeight="1">
      <x:c r="A49" s="82" t="str">
        <x:v>强制解除</x:v>
      </x:c>
      <x:c r="B49" s="82" t="str">
        <x:v>兄弟/闺蜜/挚友</x:v>
      </x:c>
      <x:c r="C49" s="82" t="str">
        <x:v>流程与CP一致，按关系类型展示称谓和主题</x:v>
      </x:c>
      <x:c r="D49" s="82" t="str">
        <x:v>active → terminating → terminated / failed</x:v>
      </x:c>
      <x:c r="E49" s="82" t="str">
        <x:v>默认59,999金币，服务端配置下发</x:v>
      </x:c>
      <x:c r="F49" s="82" t="str">
        <x:v>同CP，不清空其他 relationship_id 的资产</x:v>
      </x:c>
      <x:c r="G49" s="82" t="str">
        <x:v>同CP</x:v>
      </x:c>
      <x:c r="H49" s="82" t="str">
        <x:v>同CP</x:v>
      </x:c>
    </x:row>
    <x:row r="50" ht="64" customHeight="1">
      <x:c r="A50" s="82" t="str">
        <x:v>关系回忆</x:v>
      </x:c>
      <x:c r="B50" s="82" t="str">
        <x:v>CP/兄弟/闺蜜/挚友</x:v>
      </x:c>
      <x:c r="C50" s="82" t="str">
        <x:v>进入页面时拉取已达成纪念与分类礼物计数</x:v>
      </x:c>
      <x:c r="D50" s="82" t="str">
        <x:v>只展示 achieved；locked 仅汇总为角标</x:v>
      </x:c>
      <x:c r="E50" s="82" t="str">
        <x:v>无</x:v>
      </x:c>
      <x:c r="F50" s="82" t="str">
        <x:v>按 relationship_id 聚合；退款/拒付/撤销冲减原类别</x:v>
      </x:c>
      <x:c r="G50" s="82" t="str">
        <x:v>加载失败提供重试；空数据使用真实空态</x:v>
      </x:c>
      <x:c r="H50" s="82" t="str">
        <x:v>记录查询版本与数据时间</x:v>
      </x:c>
    </x:row>
    <x:row r="52" ht="28" customHeight="1">
      <x:c r="A52" s="96" t="str">
        <x:v>权益降档状态（v3.8）</x:v>
      </x:c>
      <x:c r="B52" s="96"/>
      <x:c r="C52" s="96"/>
      <x:c r="D52" s="96"/>
      <x:c r="E52" s="96"/>
      <x:c r="F52" s="96"/>
      <x:c r="G52" s="96"/>
      <x:c r="H52" s="96"/>
    </x:row>
    <x:row r="53" ht="40" customHeight="1">
      <x:c r="A53" s="96" t="str">
        <x:v>状态</x:v>
      </x:c>
      <x:c r="B53" s="96" t="str">
        <x:v>服务端字段</x:v>
      </x:c>
      <x:c r="C53" s="96" t="str">
        <x:v>触发/动作</x:v>
      </x:c>
      <x:c r="D53" s="96" t="str">
        <x:v>客户端结果</x:v>
      </x:c>
      <x:c r="E53" s="96" t="str">
        <x:v>资源回退</x:v>
      </x:c>
      <x:c r="F53" s="96" t="str">
        <x:v>奖励处理</x:v>
      </x:c>
      <x:c r="G53" s="96" t="str">
        <x:v>异常恢复</x:v>
      </x:c>
      <x:c r="H53" s="96" t="str">
        <x:v>验收</x:v>
      </x:c>
    </x:row>
    <x:row r="54" ht="62" customHeight="1">
      <x:c r="A54" s="96" t="str">
        <x:v>normal</x:v>
      </x:c>
      <x:c r="B54" s="96" t="str">
        <x:v>rights_level / effective_rights_level</x:v>
      </x:c>
      <x:c r="C54" s="96" t="str">
        <x:v>等级与权益档一致</x:v>
      </x:c>
      <x:c r="D54" s="96" t="str">
        <x:v>正常展示当前档持续型权益</x:v>
      </x:c>
      <x:c r="E54" s="96" t="str">
        <x:v>按当前档资源</x:v>
      </x:c>
      <x:c r="F54" s="96" t="str">
        <x:v>无重复发奖</x:v>
      </x:c>
      <x:c r="G54" s="96" t="str">
        <x:v>资源失败用静态/默认资源</x:v>
      </x:c>
      <x:c r="H54" s="96" t="str">
        <x:v>服务端与客户端一致</x:v>
      </x:c>
    </x:row>
    <x:row r="55" ht="62" customHeight="1">
      <x:c r="A55" s="96" t="str">
        <x:v>grace</x:v>
      </x:c>
      <x:c r="B55" s="96" t="str">
        <x:v>level_grace_until</x:v>
      </x:c>
      <x:c r="C55" s="96" t="str">
        <x:v>正常衰退跨档，进入7天保护</x:v>
      </x:c>
      <x:c r="D55" s="96" t="str">
        <x:v>保留原档全部权益并展示恢复差值/截止时间</x:v>
      </x:c>
      <x:c r="E55" s="96" t="str">
        <x:v>不切换资源</x:v>
      </x:c>
      <x:c r="F55" s="96" t="str">
        <x:v>不追回、不补发</x:v>
      </x:c>
      <x:c r="G55" s="96" t="str">
        <x:v>恢复至原门槛进入recovered</x:v>
      </x:c>
      <x:c r="H55" s="96" t="str">
        <x:v>保护期内原权益可用</x:v>
      </x:c>
    </x:row>
    <x:row r="56" ht="62" customHeight="1">
      <x:c r="A56" s="96" t="str">
        <x:v>downgraded_pending_refresh</x:v>
      </x:c>
      <x:c r="B56" s="96" t="str">
        <x:v>rights_level / rights_refresh_pending</x:v>
      </x:c>
      <x:c r="C56" s="96" t="str">
        <x:v>保护到期仍未恢复，服务端下调权益档</x:v>
      </x:c>
      <x:c r="D56" s="96" t="str">
        <x:v>当前会话不强制热切；提示下次进入App应用</x:v>
      </x:c>
      <x:c r="E56" s="96" t="str">
        <x:v>暂保留会话内资源</x:v>
      </x:c>
      <x:c r="F56" s="96" t="str">
        <x:v>永久证书不受影响</x:v>
      </x:c>
      <x:c r="G56" s="96" t="str">
        <x:v>下次冷启动/重新登录拉取版本</x:v>
      </x:c>
      <x:c r="H56" s="96" t="str">
        <x:v>不得本地维持第二套rights_level</x:v>
      </x:c>
    </x:row>
    <x:row r="57" ht="62" customHeight="1">
      <x:c r="A57" s="96" t="str">
        <x:v>downgraded_applied</x:v>
      </x:c>
      <x:c r="B57" s="96" t="str">
        <x:v>effective_rights_level / rights_state_version</x:v>
      </x:c>
      <x:c r="C57" s="96" t="str">
        <x:v>下次冷启动或重新登录</x:v>
      </x:c>
      <x:c r="D57" s="96" t="str">
        <x:v>卸下超档持续型权益</x:v>
      </x:c>
      <x:c r="E57" s="96" t="str">
        <x:v>当前档同类型最高可用资源；无则默认</x:v>
      </x:c>
      <x:c r="F57" s="96" t="str">
        <x:v>资产不销毁</x:v>
      </x:c>
      <x:c r="G57" s="96" t="str">
        <x:v>静态降级图或默认资源兜底</x:v>
      </x:c>
      <x:c r="H57" s="96" t="str">
        <x:v>所有超档装扮完成回退</x:v>
      </x:c>
    </x:row>
    <x:row r="58" ht="62" customHeight="1">
      <x:c r="A58" s="96" t="str">
        <x:v>restored</x:v>
      </x:c>
      <x:c r="B58" s="96" t="str">
        <x:v>rights_level / rights_state_version</x:v>
      </x:c>
      <x:c r="C58" s="96" t="str">
        <x:v>重新升级达到权益档</x:v>
      </x:c>
      <x:c r="D58" s="96" t="str">
        <x:v>自动恢复对应资源使用资格</x:v>
      </x:c>
      <x:c r="E58" s="96" t="str">
        <x:v>按新rights_level加载</x:v>
      </x:c>
      <x:c r="F58" s="96" t="str">
        <x:v>不重复发放资产或通知</x:v>
      </x:c>
      <x:c r="G58" s="96" t="str">
        <x:v>加载失败按降级策略</x:v>
      </x:c>
      <x:c r="H58" s="96" t="str">
        <x:v>恢复后无需重新领取</x:v>
      </x:c>
    </x:row>
    <x:row r="59" ht="62" customHeight="1">
      <x:c r="A59" s="96" t="str">
        <x:v>permanent_certificate</x:v>
      </x:c>
      <x:c r="B59" s="96" t="str">
        <x:v>permanent_reward_codes / certificate_id</x:v>
      </x:c>
      <x:c r="C59" s="96" t="str">
        <x:v>首次达到G5</x:v>
      </x:c>
      <x:c r="D59" s="96" t="str">
        <x:v>个人荣誉/历史关系长期可查</x:v>
      </x:c>
      <x:c r="E59" s="96" t="str">
        <x:v>不参与持续型资源回退</x:v>
      </x:c>
      <x:c r="F59" s="96" t="str">
        <x:v>首次幂等发放，后续不重复</x:v>
      </x:c>
      <x:c r="G59" s="96" t="str">
        <x:v>掉档或解除关系不删除</x:v>
      </x:c>
      <x:c r="H59" s="96" t="str">
        <x:v>按原relationship_id可追溯</x:v>
      </x:c>
    </x:row>
  </x:sheetData>
  <x:mergeCells>
    <x:mergeCell ref="A52:H5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ColWidth="10.74609375" defaultRowHeight="16.799999237060547"/>
  <x:cols>
    <x:col min="1" max="1" width="14.329999923706055" hidden="0" customWidth="1"/>
    <x:col min="2" max="2" width="21.479999542236328" hidden="0" customWidth="1"/>
    <x:col min="3" max="3" width="25.06999969482422" hidden="0" customWidth="1"/>
    <x:col min="4" max="4" width="19.100000381469727" hidden="0" customWidth="1"/>
    <x:col min="5" max="5" width="14.329999923706055" hidden="0" customWidth="1"/>
    <x:col min="6" max="6" width="15.510000228881836" hidden="0" customWidth="1"/>
    <x:col min="7" max="7" width="22.68000030517578" hidden="0" customWidth="1"/>
    <x:col min="8" max="8" width="45.349998474121094" hidden="0" customWidth="1"/>
  </x:cols>
  <x:sheetData>
    <x:row r="1" ht="16.799999237060547" hidden="0">
      <x:c r="A1" s="1"/>
      <x:c r="B1" s="1"/>
      <x:c r="C1" s="1"/>
      <x:c r="D1" s="1"/>
      <x:c r="E1" s="1"/>
      <x:c r="F1" s="1"/>
      <x:c r="G1" s="1"/>
      <x:c r="H1" s="1"/>
    </x:row>
    <x:row r="2" ht="18.549999237060547" hidden="0">
      <x:c r="A2" s="55" t="s">
        <x:v>602</x:v>
      </x:c>
      <x:c r="B2" s="1"/>
      <x:c r="C2" s="1"/>
      <x:c r="D2" s="1"/>
      <x:c r="E2" s="1"/>
      <x:c r="F2" s="1"/>
      <x:c r="G2" s="1"/>
      <x:c r="H2" s="1"/>
    </x:row>
    <x:row r="3" ht="16.799999237060547" hidden="0">
      <x:c r="A3" s="3" t="s">
        <x:v>603</x:v>
      </x:c>
      <x:c r="B3" s="1"/>
      <x:c r="C3" s="1"/>
      <x:c r="D3" s="1"/>
      <x:c r="E3" s="1"/>
      <x:c r="F3" s="1"/>
      <x:c r="G3" s="1"/>
      <x:c r="H3" s="1"/>
    </x:row>
    <x:row r="4" ht="16.799999237060547" hidden="0">
      <x:c r="A4" s="4"/>
      <x:c r="B4" s="4"/>
      <x:c r="C4" s="4"/>
      <x:c r="D4" s="4"/>
      <x:c r="E4" s="4"/>
      <x:c r="F4" s="4"/>
      <x:c r="G4" s="4"/>
      <x:c r="H4" s="4"/>
    </x:row>
    <x:row r="5" ht="16.799999237060547" hidden="0">
      <x:c r="A5" s="1"/>
      <x:c r="B5" s="1"/>
      <x:c r="C5" s="1"/>
      <x:c r="D5" s="1"/>
      <x:c r="E5" s="1"/>
      <x:c r="F5" s="1"/>
      <x:c r="G5" s="1"/>
      <x:c r="H5" s="1"/>
    </x:row>
    <x:row r="6" ht="31" hidden="0" customHeight="1">
      <x:c r="A6" s="10" t="s">
        <x:v>604</x:v>
      </x:c>
      <x:c r="B6" s="11" t="s">
        <x:v>605</x:v>
      </x:c>
      <x:c r="C6" s="11" t="s">
        <x:v>606</x:v>
      </x:c>
      <x:c r="D6" s="11" t="s">
        <x:v>607</x:v>
      </x:c>
      <x:c r="E6" s="11" t="s">
        <x:v>608</x:v>
      </x:c>
      <x:c r="F6" s="11" t="s">
        <x:v>8</x:v>
      </x:c>
      <x:c r="G6" s="11" t="s">
        <x:v>609</x:v>
      </x:c>
      <x:c r="H6" s="12" t="s">
        <x:v>610</x:v>
      </x:c>
    </x:row>
    <x:row r="7" ht="19" hidden="0" customHeight="1">
      <x:c r="A7" s="1" t="n">
        <x:v>1</x:v>
      </x:c>
      <x:c r="B7" s="23" t="s">
        <x:v>611</x:v>
      </x:c>
      <x:c r="C7" s="24" t="n">
        <x:v>15705862</x:v>
      </x:c>
      <x:c r="D7" s="1" t="s">
        <x:v>395</x:v>
      </x:c>
      <x:c r="E7" s="78" t="n">
        <x:f aca="0">IF(C7&lt;等级门槛!$D$14,1,MATCH(C7,等级门槛!$D$14:$D$113,1))</x:f>
        <x:v>97</x:v>
      </x:c>
      <x:c r="F7" s="79" t="n">
        <x:f aca="0">MIN(5,ROUNDUP(E7/20,0))</x:f>
        <x:v>5</x:v>
      </x:c>
      <x:c r="G7" s="24" t="n">
        <x:f aca="0">IF(E7=100,"已达Lv100",INDEX(等级门槛!$D$14:$D$113,E7+1))</x:f>
        <x:v>16073100</x:v>
      </x:c>
      <x:c r="H7" s="23" t="str">
        <x:f aca="0">IF(D7="否","特殊样本，仅迁移展示；不参与档位与分布统计",IF(C7=0,"有效存量CP；CP累计字段为0，需核验迁移",IF(C7&lt;1000,"有效存量CP；低于新门槛，统一映射Lv1","")))</x:f>
        <x:v>特殊样本，仅迁移展示；不参与档位与分布统计</x:v>
      </x:c>
    </x:row>
    <x:row r="8" ht="19" hidden="0" customHeight="1">
      <x:c r="A8" s="1" t="n">
        <x:v>2</x:v>
      </x:c>
      <x:c r="B8" s="23" t="s">
        <x:v>612</x:v>
      </x:c>
      <x:c r="C8" s="24" t="n">
        <x:v>3550012</x:v>
      </x:c>
      <x:c r="D8" s="1" t="s">
        <x:v>613</x:v>
      </x:c>
      <x:c r="E8" s="78" t="n">
        <x:f aca="0">IF(C8&lt;等级门槛!$D$14,1,MATCH(C8,等级门槛!$D$14:$D$113,1))</x:f>
        <x:v>79</x:v>
      </x:c>
      <x:c r="F8" s="79" t="n">
        <x:f aca="0">MIN(5,ROUNDUP(E8/20,0))</x:f>
        <x:v>4</x:v>
      </x:c>
      <x:c r="G8" s="24" t="n">
        <x:f aca="0">IF(E8=100,"已达Lv100",INDEX(等级门槛!$D$14:$D$113,E8+1))</x:f>
        <x:v>3697400</x:v>
      </x:c>
      <x:c r="H8" s="23" t="str">
        <x:f aca="0">IF(D8="否","特殊样本，仅迁移展示；不参与档位与分布统计",IF(C8=0,"有效存量CP；CP累计字段为0，需核验迁移",IF(C8&lt;1000,"有效存量CP；低于新门槛，统一映射Lv1","")))</x:f>
      </x:c>
    </x:row>
    <x:row r="9" ht="19" hidden="0" customHeight="1">
      <x:c r="A9" s="1" t="n">
        <x:v>3</x:v>
      </x:c>
      <x:c r="B9" s="23" t="s">
        <x:v>614</x:v>
      </x:c>
      <x:c r="C9" s="24" t="n">
        <x:v>1604701</x:v>
      </x:c>
      <x:c r="D9" s="1" t="s">
        <x:v>613</x:v>
      </x:c>
      <x:c r="E9" s="78" t="n">
        <x:f aca="0">IF(C9&lt;等级门槛!$D$14,1,MATCH(C9,等级门槛!$D$14:$D$113,1))</x:f>
        <x:v>69</x:v>
      </x:c>
      <x:c r="F9" s="79" t="n">
        <x:f aca="0">MIN(5,ROUNDUP(E9/20,0))</x:f>
        <x:v>4</x:v>
      </x:c>
      <x:c r="G9" s="24" t="n">
        <x:f aca="0">IF(E9=100,"已达Lv100",INDEX(等级门槛!$D$14:$D$113,E9+1))</x:f>
        <x:v>1632400</x:v>
      </x:c>
      <x:c r="H9" s="23" t="str">
        <x:f aca="0">IF(D9="否","特殊样本，仅迁移展示；不参与档位与分布统计",IF(C9=0,"有效存量CP；CP累计字段为0，需核验迁移",IF(C9&lt;1000,"有效存量CP；低于新门槛，统一映射Lv1","")))</x:f>
      </x:c>
    </x:row>
    <x:row r="10" ht="19" hidden="0" customHeight="1">
      <x:c r="A10" s="1" t="n">
        <x:v>4</x:v>
      </x:c>
      <x:c r="B10" s="23" t="s">
        <x:v>615</x:v>
      </x:c>
      <x:c r="C10" s="24" t="n">
        <x:v>1566560</x:v>
      </x:c>
      <x:c r="D10" s="1" t="s">
        <x:v>613</x:v>
      </x:c>
      <x:c r="E10" s="78" t="n">
        <x:f aca="0">IF(C10&lt;等级门槛!$D$14,1,MATCH(C10,等级门槛!$D$14:$D$113,1))</x:f>
        <x:v>69</x:v>
      </x:c>
      <x:c r="F10" s="79" t="n">
        <x:f aca="0">MIN(5,ROUNDUP(E10/20,0))</x:f>
        <x:v>4</x:v>
      </x:c>
      <x:c r="G10" s="24" t="n">
        <x:f aca="0">IF(E10=100,"已达Lv100",INDEX(等级门槛!$D$14:$D$113,E10+1))</x:f>
        <x:v>1632400</x:v>
      </x:c>
      <x:c r="H10" s="23" t="str">
        <x:f aca="0">IF(D10="否","特殊样本，仅迁移展示；不参与档位与分布统计",IF(C10=0,"有效存量CP；CP累计字段为0，需核验迁移",IF(C10&lt;1000,"有效存量CP；低于新门槛，统一映射Lv1","")))</x:f>
      </x:c>
    </x:row>
    <x:row r="11" ht="19" hidden="0" customHeight="1">
      <x:c r="A11" s="1" t="n">
        <x:v>5</x:v>
      </x:c>
      <x:c r="B11" s="23" t="s">
        <x:v>616</x:v>
      </x:c>
      <x:c r="C11" s="24" t="n">
        <x:v>1564565</x:v>
      </x:c>
      <x:c r="D11" s="1" t="s">
        <x:v>613</x:v>
      </x:c>
      <x:c r="E11" s="78" t="n">
        <x:f aca="0">IF(C11&lt;等级门槛!$D$14,1,MATCH(C11,等级门槛!$D$14:$D$113,1))</x:f>
        <x:v>69</x:v>
      </x:c>
      <x:c r="F11" s="79" t="n">
        <x:f aca="0">MIN(5,ROUNDUP(E11/20,0))</x:f>
        <x:v>4</x:v>
      </x:c>
      <x:c r="G11" s="24" t="n">
        <x:f aca="0">IF(E11=100,"已达Lv100",INDEX(等级门槛!$D$14:$D$113,E11+1))</x:f>
        <x:v>1632400</x:v>
      </x:c>
      <x:c r="H11" s="23" t="str">
        <x:f aca="0">IF(D11="否","特殊样本，仅迁移展示；不参与档位与分布统计",IF(C11=0,"有效存量CP；CP累计字段为0，需核验迁移",IF(C11&lt;1000,"有效存量CP；低于新门槛，统一映射Lv1","")))</x:f>
      </x:c>
    </x:row>
    <x:row r="12" ht="19" hidden="0" customHeight="1">
      <x:c r="A12" s="1" t="n">
        <x:v>6</x:v>
      </x:c>
      <x:c r="B12" s="23" t="s">
        <x:v>617</x:v>
      </x:c>
      <x:c r="C12" s="24" t="n">
        <x:v>1211329</x:v>
      </x:c>
      <x:c r="D12" s="1" t="s">
        <x:v>613</x:v>
      </x:c>
      <x:c r="E12" s="78" t="n">
        <x:f aca="0">IF(C12&lt;等级门槛!$D$14,1,MATCH(C12,等级门槛!$D$14:$D$113,1))</x:f>
        <x:v>66</x:v>
      </x:c>
      <x:c r="F12" s="79" t="n">
        <x:f aca="0">MIN(5,ROUNDUP(E12/20,0))</x:f>
        <x:v>4</x:v>
      </x:c>
      <x:c r="G12" s="24" t="n">
        <x:f aca="0">IF(E12=100,"已达Lv100",INDEX(等级门槛!$D$14:$D$113,E12+1))</x:f>
        <x:v>1276900</x:v>
      </x:c>
      <x:c r="H12" s="23" t="str">
        <x:f aca="0">IF(D12="否","特殊样本，仅迁移展示；不参与档位与分布统计",IF(C12=0,"有效存量CP；CP累计字段为0，需核验迁移",IF(C12&lt;1000,"有效存量CP；低于新门槛，统一映射Lv1","")))</x:f>
      </x:c>
    </x:row>
    <x:row r="13" ht="19" hidden="0" customHeight="1">
      <x:c r="A13" s="1" t="n">
        <x:v>7</x:v>
      </x:c>
      <x:c r="B13" s="23" t="s">
        <x:v>618</x:v>
      </x:c>
      <x:c r="C13" s="24" t="n">
        <x:v>908557</x:v>
      </x:c>
      <x:c r="D13" s="1" t="s">
        <x:v>613</x:v>
      </x:c>
      <x:c r="E13" s="78" t="n">
        <x:f aca="0">IF(C13&lt;等级门槛!$D$14,1,MATCH(C13,等级门槛!$D$14:$D$113,1))</x:f>
        <x:v>62</x:v>
      </x:c>
      <x:c r="F13" s="79" t="n">
        <x:f aca="0">MIN(5,ROUNDUP(E13/20,0))</x:f>
        <x:v>4</x:v>
      </x:c>
      <x:c r="G13" s="24" t="n">
        <x:f aca="0">IF(E13=100,"已达Lv100",INDEX(等级门槛!$D$14:$D$113,E13+1))</x:f>
        <x:v>920000</x:v>
      </x:c>
      <x:c r="H13" s="23" t="str">
        <x:f aca="0">IF(D13="否","特殊样本，仅迁移展示；不参与档位与分布统计",IF(C13=0,"有效存量CP；CP累计字段为0，需核验迁移",IF(C13&lt;1000,"有效存量CP；低于新门槛，统一映射Lv1","")))</x:f>
      </x:c>
    </x:row>
    <x:row r="14" ht="19" hidden="0" customHeight="1">
      <x:c r="A14" s="1" t="n">
        <x:v>8</x:v>
      </x:c>
      <x:c r="B14" s="23" t="s">
        <x:v>619</x:v>
      </x:c>
      <x:c r="C14" s="24" t="n">
        <x:v>777642</x:v>
      </x:c>
      <x:c r="D14" s="1" t="s">
        <x:v>613</x:v>
      </x:c>
      <x:c r="E14" s="78" t="n">
        <x:f aca="0">IF(C14&lt;等级门槛!$D$14,1,MATCH(C14,等级门槛!$D$14:$D$113,1))</x:f>
        <x:v>60</x:v>
      </x:c>
      <x:c r="F14" s="79" t="n">
        <x:f aca="0">MIN(5,ROUNDUP(E14/20,0))</x:f>
        <x:v>3</x:v>
      </x:c>
      <x:c r="G14" s="24" t="n">
        <x:f aca="0">IF(E14=100,"已达Lv100",INDEX(等级门槛!$D$14:$D$113,E14+1))</x:f>
        <x:v>780700</x:v>
      </x:c>
      <x:c r="H14" s="23" t="str">
        <x:f aca="0">IF(D14="否","特殊样本，仅迁移展示；不参与档位与分布统计",IF(C14=0,"有效存量CP；CP累计字段为0，需核验迁移",IF(C14&lt;1000,"有效存量CP；低于新门槛，统一映射Lv1","")))</x:f>
      </x:c>
    </x:row>
    <x:row r="15" ht="19" hidden="0" customHeight="1">
      <x:c r="A15" s="1" t="n">
        <x:v>9</x:v>
      </x:c>
      <x:c r="B15" s="23" t="s">
        <x:v>620</x:v>
      </x:c>
      <x:c r="C15" s="24" t="n">
        <x:v>748304</x:v>
      </x:c>
      <x:c r="D15" s="1" t="s">
        <x:v>613</x:v>
      </x:c>
      <x:c r="E15" s="78" t="n">
        <x:f aca="0">IF(C15&lt;等级门槛!$D$14,1,MATCH(C15,等级门槛!$D$14:$D$113,1))</x:f>
        <x:v>60</x:v>
      </x:c>
      <x:c r="F15" s="79" t="n">
        <x:f aca="0">MIN(5,ROUNDUP(E15/20,0))</x:f>
        <x:v>3</x:v>
      </x:c>
      <x:c r="G15" s="24" t="n">
        <x:f aca="0">IF(E15=100,"已达Lv100",INDEX(等级门槛!$D$14:$D$113,E15+1))</x:f>
        <x:v>780700</x:v>
      </x:c>
      <x:c r="H15" s="23" t="str">
        <x:f aca="0">IF(D15="否","特殊样本，仅迁移展示；不参与档位与分布统计",IF(C15=0,"有效存量CP；CP累计字段为0，需核验迁移",IF(C15&lt;1000,"有效存量CP；低于新门槛，统一映射Lv1","")))</x:f>
      </x:c>
    </x:row>
    <x:row r="16" ht="19" hidden="0" customHeight="1">
      <x:c r="A16" s="1" t="n">
        <x:v>10</x:v>
      </x:c>
      <x:c r="B16" s="23" t="s">
        <x:v>621</x:v>
      </x:c>
      <x:c r="C16" s="24" t="n">
        <x:v>684244</x:v>
      </x:c>
      <x:c r="D16" s="1" t="s">
        <x:v>613</x:v>
      </x:c>
      <x:c r="E16" s="78" t="n">
        <x:f aca="0">IF(C16&lt;等级门槛!$D$14,1,MATCH(C16,等级门槛!$D$14:$D$113,1))</x:f>
        <x:v>59</x:v>
      </x:c>
      <x:c r="F16" s="79" t="n">
        <x:f aca="0">MIN(5,ROUNDUP(E16/20,0))</x:f>
        <x:v>3</x:v>
      </x:c>
      <x:c r="G16" s="24" t="n">
        <x:f aca="0">IF(E16=100,"已达Lv100",INDEX(等级门槛!$D$14:$D$113,E16+1))</x:f>
        <x:v>719100</x:v>
      </x:c>
      <x:c r="H16" s="23" t="str">
        <x:f aca="0">IF(D16="否","特殊样本，仅迁移展示；不参与档位与分布统计",IF(C16=0,"有效存量CP；CP累计字段为0，需核验迁移",IF(C16&lt;1000,"有效存量CP；低于新门槛，统一映射Lv1","")))</x:f>
      </x:c>
    </x:row>
    <x:row r="17" ht="19" hidden="0" customHeight="1">
      <x:c r="A17" s="1" t="n">
        <x:v>11</x:v>
      </x:c>
      <x:c r="B17" s="23" t="s">
        <x:v>622</x:v>
      </x:c>
      <x:c r="C17" s="24" t="n">
        <x:v>596025</x:v>
      </x:c>
      <x:c r="D17" s="1" t="s">
        <x:v>613</x:v>
      </x:c>
      <x:c r="E17" s="78" t="n">
        <x:f aca="0">IF(C17&lt;等级门槛!$D$14,1,MATCH(C17,等级门槛!$D$14:$D$113,1))</x:f>
        <x:v>57</x:v>
      </x:c>
      <x:c r="F17" s="79" t="n">
        <x:f aca="0">MIN(5,ROUNDUP(E17/20,0))</x:f>
        <x:v>3</x:v>
      </x:c>
      <x:c r="G17" s="24" t="n">
        <x:f aca="0">IF(E17=100,"已达Lv100",INDEX(等级门槛!$D$14:$D$113,E17+1))</x:f>
        <x:v>610100</x:v>
      </x:c>
      <x:c r="H17" s="23" t="str">
        <x:f aca="0">IF(D17="否","特殊样本，仅迁移展示；不参与档位与分布统计",IF(C17=0,"有效存量CP；CP累计字段为0，需核验迁移",IF(C17&lt;1000,"有效存量CP；低于新门槛，统一映射Lv1","")))</x:f>
      </x:c>
    </x:row>
    <x:row r="18" ht="19" hidden="0" customHeight="1">
      <x:c r="A18" s="1" t="n">
        <x:v>12</x:v>
      </x:c>
      <x:c r="B18" s="23" t="s">
        <x:v>623</x:v>
      </x:c>
      <x:c r="C18" s="24" t="n">
        <x:v>480693</x:v>
      </x:c>
      <x:c r="D18" s="1" t="s">
        <x:v>613</x:v>
      </x:c>
      <x:c r="E18" s="78" t="n">
        <x:f aca="0">IF(C18&lt;等级门槛!$D$14,1,MATCH(C18,等级门槛!$D$14:$D$113,1))</x:f>
        <x:v>55</x:v>
      </x:c>
      <x:c r="F18" s="79" t="n">
        <x:f aca="0">MIN(5,ROUNDUP(E18/20,0))</x:f>
        <x:v>3</x:v>
      </x:c>
      <x:c r="G18" s="24" t="n">
        <x:f aca="0">IF(E18=100,"已达Lv100",INDEX(等级门槛!$D$14:$D$113,E18+1))</x:f>
        <x:v>517500</x:v>
      </x:c>
      <x:c r="H18" s="23" t="str">
        <x:f aca="0">IF(D18="否","特殊样本，仅迁移展示；不参与档位与分布统计",IF(C18=0,"有效存量CP；CP累计字段为0，需核验迁移",IF(C18&lt;1000,"有效存量CP；低于新门槛，统一映射Lv1","")))</x:f>
      </x:c>
    </x:row>
    <x:row r="19" ht="19" hidden="0" customHeight="1">
      <x:c r="A19" s="1" t="n">
        <x:v>13</x:v>
      </x:c>
      <x:c r="B19" s="23" t="s">
        <x:v>624</x:v>
      </x:c>
      <x:c r="C19" s="24" t="n">
        <x:v>462373</x:v>
      </x:c>
      <x:c r="D19" s="1" t="s">
        <x:v>613</x:v>
      </x:c>
      <x:c r="E19" s="78" t="n">
        <x:f aca="0">IF(C19&lt;等级门槛!$D$14,1,MATCH(C19,等级门槛!$D$14:$D$113,1))</x:f>
        <x:v>54</x:v>
      </x:c>
      <x:c r="F19" s="79" t="n">
        <x:f aca="0">MIN(5,ROUNDUP(E19/20,0))</x:f>
        <x:v>3</x:v>
      </x:c>
      <x:c r="G19" s="24" t="n">
        <x:f aca="0">IF(E19=100,"已达Lv100",INDEX(等级门槛!$D$14:$D$113,E19+1))</x:f>
        <x:v>476600</x:v>
      </x:c>
      <x:c r="H19" s="23" t="str">
        <x:f aca="0">IF(D19="否","特殊样本，仅迁移展示；不参与档位与分布统计",IF(C19=0,"有效存量CP；CP累计字段为0，需核验迁移",IF(C19&lt;1000,"有效存量CP；低于新门槛，统一映射Lv1","")))</x:f>
      </x:c>
    </x:row>
    <x:row r="20" ht="19" hidden="0" customHeight="1">
      <x:c r="A20" s="1" t="n">
        <x:v>14</x:v>
      </x:c>
      <x:c r="B20" s="23" t="s">
        <x:v>625</x:v>
      </x:c>
      <x:c r="C20" s="24" t="n">
        <x:v>409659</x:v>
      </x:c>
      <x:c r="D20" s="1" t="s">
        <x:v>613</x:v>
      </x:c>
      <x:c r="E20" s="78" t="n">
        <x:f aca="0">IF(C20&lt;等级门槛!$D$14,1,MATCH(C20,等级门槛!$D$14:$D$113,1))</x:f>
        <x:v>53</x:v>
      </x:c>
      <x:c r="F20" s="79" t="n">
        <x:f aca="0">MIN(5,ROUNDUP(E20/20,0))</x:f>
        <x:v>3</x:v>
      </x:c>
      <x:c r="G20" s="24" t="n">
        <x:f aca="0">IF(E20=100,"已达Lv100",INDEX(等级门槛!$D$14:$D$113,E20+1))</x:f>
        <x:v>438900</x:v>
      </x:c>
      <x:c r="H20" s="23" t="str">
        <x:f aca="0">IF(D20="否","特殊样本，仅迁移展示；不参与档位与分布统计",IF(C20=0,"有效存量CP；CP累计字段为0，需核验迁移",IF(C20&lt;1000,"有效存量CP；低于新门槛，统一映射Lv1","")))</x:f>
      </x:c>
    </x:row>
    <x:row r="21" ht="19" hidden="0" customHeight="1">
      <x:c r="A21" s="1" t="n">
        <x:v>15</x:v>
      </x:c>
      <x:c r="B21" s="23" t="s">
        <x:v>626</x:v>
      </x:c>
      <x:c r="C21" s="24" t="n">
        <x:v>406393</x:v>
      </x:c>
      <x:c r="D21" s="1" t="s">
        <x:v>613</x:v>
      </x:c>
      <x:c r="E21" s="78" t="n">
        <x:f aca="0">IF(C21&lt;等级门槛!$D$14,1,MATCH(C21,等级门槛!$D$14:$D$113,1))</x:f>
        <x:v>53</x:v>
      </x:c>
      <x:c r="F21" s="79" t="n">
        <x:f aca="0">MIN(5,ROUNDUP(E21/20,0))</x:f>
        <x:v>3</x:v>
      </x:c>
      <x:c r="G21" s="24" t="n">
        <x:f aca="0">IF(E21=100,"已达Lv100",INDEX(等级门槛!$D$14:$D$113,E21+1))</x:f>
        <x:v>438900</x:v>
      </x:c>
      <x:c r="H21" s="23" t="str">
        <x:f aca="0">IF(D21="否","特殊样本，仅迁移展示；不参与档位与分布统计",IF(C21=0,"有效存量CP；CP累计字段为0，需核验迁移",IF(C21&lt;1000,"有效存量CP；低于新门槛，统一映射Lv1","")))</x:f>
      </x:c>
    </x:row>
    <x:row r="22" ht="19" hidden="0" customHeight="1">
      <x:c r="A22" s="1" t="n">
        <x:v>16</x:v>
      </x:c>
      <x:c r="B22" s="23" t="s">
        <x:v>627</x:v>
      </x:c>
      <x:c r="C22" s="24" t="n">
        <x:v>383740</x:v>
      </x:c>
      <x:c r="D22" s="1" t="s">
        <x:v>613</x:v>
      </x:c>
      <x:c r="E22" s="78" t="n">
        <x:f aca="0">IF(C22&lt;等级门槛!$D$14,1,MATCH(C22,等级门槛!$D$14:$D$113,1))</x:f>
        <x:v>52</x:v>
      </x:c>
      <x:c r="F22" s="79" t="n">
        <x:f aca="0">MIN(5,ROUNDUP(E22/20,0))</x:f>
        <x:v>3</x:v>
      </x:c>
      <x:c r="G22" s="24" t="n">
        <x:f aca="0">IF(E22=100,"已达Lv100",INDEX(等级门槛!$D$14:$D$113,E22+1))</x:f>
        <x:v>404100</x:v>
      </x:c>
      <x:c r="H22" s="23" t="str">
        <x:f aca="0">IF(D22="否","特殊样本，仅迁移展示；不参与档位与分布统计",IF(C22=0,"有效存量CP；CP累计字段为0，需核验迁移",IF(C22&lt;1000,"有效存量CP；低于新门槛，统一映射Lv1","")))</x:f>
      </x:c>
    </x:row>
    <x:row r="23" ht="19" hidden="0" customHeight="1">
      <x:c r="A23" s="1" t="n">
        <x:v>17</x:v>
      </x:c>
      <x:c r="B23" s="23" t="s">
        <x:v>628</x:v>
      </x:c>
      <x:c r="C23" s="24" t="n">
        <x:v>339585</x:v>
      </x:c>
      <x:c r="D23" s="1" t="s">
        <x:v>613</x:v>
      </x:c>
      <x:c r="E23" s="78" t="n">
        <x:f aca="0">IF(C23&lt;等级门槛!$D$14,1,MATCH(C23,等级门槛!$D$14:$D$113,1))</x:f>
        <x:v>50</x:v>
      </x:c>
      <x:c r="F23" s="79" t="n">
        <x:f aca="0">MIN(5,ROUNDUP(E23/20,0))</x:f>
        <x:v>3</x:v>
      </x:c>
      <x:c r="G23" s="24" t="n">
        <x:f aca="0">IF(E23=100,"已达Lv100",INDEX(等级门槛!$D$14:$D$113,E23+1))</x:f>
        <x:v>342500</x:v>
      </x:c>
      <x:c r="H23" s="23" t="str">
        <x:f aca="0">IF(D23="否","特殊样本，仅迁移展示；不参与档位与分布统计",IF(C23=0,"有效存量CP；CP累计字段为0，需核验迁移",IF(C23&lt;1000,"有效存量CP；低于新门槛，统一映射Lv1","")))</x:f>
      </x:c>
    </x:row>
    <x:row r="24" ht="19" hidden="0" customHeight="1">
      <x:c r="A24" s="1" t="n">
        <x:v>18</x:v>
      </x:c>
      <x:c r="B24" s="23" t="s">
        <x:v>629</x:v>
      </x:c>
      <x:c r="C24" s="24" t="n">
        <x:v>335818</x:v>
      </x:c>
      <x:c r="D24" s="1" t="s">
        <x:v>613</x:v>
      </x:c>
      <x:c r="E24" s="78" t="n">
        <x:f aca="0">IF(C24&lt;等级门槛!$D$14,1,MATCH(C24,等级门槛!$D$14:$D$113,1))</x:f>
        <x:v>50</x:v>
      </x:c>
      <x:c r="F24" s="79" t="n">
        <x:f aca="0">MIN(5,ROUNDUP(E24/20,0))</x:f>
        <x:v>3</x:v>
      </x:c>
      <x:c r="G24" s="24" t="n">
        <x:f aca="0">IF(E24=100,"已达Lv100",INDEX(等级门槛!$D$14:$D$113,E24+1))</x:f>
        <x:v>342500</x:v>
      </x:c>
      <x:c r="H24" s="23" t="str">
        <x:f aca="0">IF(D24="否","特殊样本，仅迁移展示；不参与档位与分布统计",IF(C24=0,"有效存量CP；CP累计字段为0，需核验迁移",IF(C24&lt;1000,"有效存量CP；低于新门槛，统一映射Lv1","")))</x:f>
      </x:c>
    </x:row>
    <x:row r="25" ht="19" hidden="0" customHeight="1">
      <x:c r="A25" s="1" t="n">
        <x:v>19</x:v>
      </x:c>
      <x:c r="B25" s="23" t="s">
        <x:v>630</x:v>
      </x:c>
      <x:c r="C25" s="24" t="n">
        <x:v>310190</x:v>
      </x:c>
      <x:c r="D25" s="1" t="s">
        <x:v>613</x:v>
      </x:c>
      <x:c r="E25" s="78" t="n">
        <x:f aca="0">IF(C25&lt;等级门槛!$D$14,1,MATCH(C25,等级门槛!$D$14:$D$113,1))</x:f>
        <x:v>49</x:v>
      </x:c>
      <x:c r="F25" s="79" t="n">
        <x:f aca="0">MIN(5,ROUNDUP(E25/20,0))</x:f>
        <x:v>3</x:v>
      </x:c>
      <x:c r="G25" s="24" t="n">
        <x:f aca="0">IF(E25=100,"已达Lv100",INDEX(等级门槛!$D$14:$D$113,E25+1))</x:f>
        <x:v>315300</x:v>
      </x:c>
      <x:c r="H25" s="23" t="str">
        <x:f aca="0">IF(D25="否","特殊样本，仅迁移展示；不参与档位与分布统计",IF(C25=0,"有效存量CP；CP累计字段为0，需核验迁移",IF(C25&lt;1000,"有效存量CP；低于新门槛，统一映射Lv1","")))</x:f>
      </x:c>
    </x:row>
    <x:row r="26" ht="19" hidden="0" customHeight="1">
      <x:c r="A26" s="1" t="n">
        <x:v>20</x:v>
      </x:c>
      <x:c r="B26" s="23" t="s">
        <x:v>631</x:v>
      </x:c>
      <x:c r="C26" s="24" t="n">
        <x:v>293216</x:v>
      </x:c>
      <x:c r="D26" s="1" t="s">
        <x:v>613</x:v>
      </x:c>
      <x:c r="E26" s="78" t="n">
        <x:f aca="0">IF(C26&lt;等级门槛!$D$14,1,MATCH(C26,等级门槛!$D$14:$D$113,1))</x:f>
        <x:v>49</x:v>
      </x:c>
      <x:c r="F26" s="79" t="n">
        <x:f aca="0">MIN(5,ROUNDUP(E26/20,0))</x:f>
        <x:v>3</x:v>
      </x:c>
      <x:c r="G26" s="24" t="n">
        <x:f aca="0">IF(E26=100,"已达Lv100",INDEX(等级门槛!$D$14:$D$113,E26+1))</x:f>
        <x:v>315300</x:v>
      </x:c>
      <x:c r="H26" s="23" t="str">
        <x:f aca="0">IF(D26="否","特殊样本，仅迁移展示；不参与档位与分布统计",IF(C26=0,"有效存量CP；CP累计字段为0，需核验迁移",IF(C26&lt;1000,"有效存量CP；低于新门槛，统一映射Lv1","")))</x:f>
      </x:c>
    </x:row>
    <x:row r="27" ht="19" hidden="0" customHeight="1">
      <x:c r="A27" s="1" t="n">
        <x:v>21</x:v>
      </x:c>
      <x:c r="B27" s="23" t="s">
        <x:v>632</x:v>
      </x:c>
      <x:c r="C27" s="24" t="n">
        <x:v>291871</x:v>
      </x:c>
      <x:c r="D27" s="1" t="s">
        <x:v>613</x:v>
      </x:c>
      <x:c r="E27" s="78" t="n">
        <x:f aca="0">IF(C27&lt;等级门槛!$D$14,1,MATCH(C27,等级门槛!$D$14:$D$113,1))</x:f>
        <x:v>49</x:v>
      </x:c>
      <x:c r="F27" s="79" t="n">
        <x:f aca="0">MIN(5,ROUNDUP(E27/20,0))</x:f>
        <x:v>3</x:v>
      </x:c>
      <x:c r="G27" s="24" t="n">
        <x:f aca="0">IF(E27=100,"已达Lv100",INDEX(等级门槛!$D$14:$D$113,E27+1))</x:f>
        <x:v>315300</x:v>
      </x:c>
      <x:c r="H27" s="23" t="str">
        <x:f aca="0">IF(D27="否","特殊样本，仅迁移展示；不参与档位与分布统计",IF(C27=0,"有效存量CP；CP累计字段为0，需核验迁移",IF(C27&lt;1000,"有效存量CP；低于新门槛，统一映射Lv1","")))</x:f>
      </x:c>
    </x:row>
    <x:row r="28" ht="19" hidden="0" customHeight="1">
      <x:c r="A28" s="1" t="n">
        <x:v>22</x:v>
      </x:c>
      <x:c r="B28" s="23" t="s">
        <x:v>633</x:v>
      </x:c>
      <x:c r="C28" s="24" t="n">
        <x:v>289441</x:v>
      </x:c>
      <x:c r="D28" s="1" t="s">
        <x:v>613</x:v>
      </x:c>
      <x:c r="E28" s="78" t="n">
        <x:f aca="0">IF(C28&lt;等级门槛!$D$14,1,MATCH(C28,等级门槛!$D$14:$D$113,1))</x:f>
        <x:v>48</x:v>
      </x:c>
      <x:c r="F28" s="79" t="n">
        <x:f aca="0">MIN(5,ROUNDUP(E28/20,0))</x:f>
        <x:v>3</x:v>
      </x:c>
      <x:c r="G28" s="24" t="n">
        <x:f aca="0">IF(E28=100,"已达Lv100",INDEX(等级门槛!$D$14:$D$113,E28+1))</x:f>
        <x:v>290200</x:v>
      </x:c>
      <x:c r="H28" s="23" t="str">
        <x:f aca="0">IF(D28="否","特殊样本，仅迁移展示；不参与档位与分布统计",IF(C28=0,"有效存量CP；CP累计字段为0，需核验迁移",IF(C28&lt;1000,"有效存量CP；低于新门槛，统一映射Lv1","")))</x:f>
      </x:c>
    </x:row>
    <x:row r="29" ht="19" hidden="0" customHeight="1">
      <x:c r="A29" s="1" t="n">
        <x:v>23</x:v>
      </x:c>
      <x:c r="B29" s="23" t="s">
        <x:v>634</x:v>
      </x:c>
      <x:c r="C29" s="24" t="n">
        <x:v>276208</x:v>
      </x:c>
      <x:c r="D29" s="1" t="s">
        <x:v>613</x:v>
      </x:c>
      <x:c r="E29" s="78" t="n">
        <x:f aca="0">IF(C29&lt;等级门槛!$D$14,1,MATCH(C29,等级门槛!$D$14:$D$113,1))</x:f>
        <x:v>48</x:v>
      </x:c>
      <x:c r="F29" s="79" t="n">
        <x:f aca="0">MIN(5,ROUNDUP(E29/20,0))</x:f>
        <x:v>3</x:v>
      </x:c>
      <x:c r="G29" s="24" t="n">
        <x:f aca="0">IF(E29=100,"已达Lv100",INDEX(等级门槛!$D$14:$D$113,E29+1))</x:f>
        <x:v>290200</x:v>
      </x:c>
      <x:c r="H29" s="23" t="str">
        <x:f aca="0">IF(D29="否","特殊样本，仅迁移展示；不参与档位与分布统计",IF(C29=0,"有效存量CP；CP累计字段为0，需核验迁移",IF(C29&lt;1000,"有效存量CP；低于新门槛，统一映射Lv1","")))</x:f>
      </x:c>
    </x:row>
    <x:row r="30" ht="19" hidden="0" customHeight="1">
      <x:c r="A30" s="1" t="n">
        <x:v>24</x:v>
      </x:c>
      <x:c r="B30" s="23" t="s">
        <x:v>635</x:v>
      </x:c>
      <x:c r="C30" s="24" t="n">
        <x:v>269237</x:v>
      </x:c>
      <x:c r="D30" s="1" t="s">
        <x:v>613</x:v>
      </x:c>
      <x:c r="E30" s="78" t="n">
        <x:f aca="0">IF(C30&lt;等级门槛!$D$14,1,MATCH(C30,等级门槛!$D$14:$D$113,1))</x:f>
        <x:v>48</x:v>
      </x:c>
      <x:c r="F30" s="79" t="n">
        <x:f aca="0">MIN(5,ROUNDUP(E30/20,0))</x:f>
        <x:v>3</x:v>
      </x:c>
      <x:c r="G30" s="24" t="n">
        <x:f aca="0">IF(E30=100,"已达Lv100",INDEX(等级门槛!$D$14:$D$113,E30+1))</x:f>
        <x:v>290200</x:v>
      </x:c>
      <x:c r="H30" s="23" t="str">
        <x:f aca="0">IF(D30="否","特殊样本，仅迁移展示；不参与档位与分布统计",IF(C30=0,"有效存量CP；CP累计字段为0，需核验迁移",IF(C30&lt;1000,"有效存量CP；低于新门槛，统一映射Lv1","")))</x:f>
      </x:c>
    </x:row>
    <x:row r="31" ht="19" hidden="0" customHeight="1">
      <x:c r="A31" s="1" t="n">
        <x:v>25</x:v>
      </x:c>
      <x:c r="B31" s="23" t="s">
        <x:v>636</x:v>
      </x:c>
      <x:c r="C31" s="24" t="n">
        <x:v>262833</x:v>
      </x:c>
      <x:c r="D31" s="1" t="s">
        <x:v>613</x:v>
      </x:c>
      <x:c r="E31" s="78" t="n">
        <x:f aca="0">IF(C31&lt;等级门槛!$D$14,1,MATCH(C31,等级门槛!$D$14:$D$113,1))</x:f>
        <x:v>47</x:v>
      </x:c>
      <x:c r="F31" s="79" t="n">
        <x:f aca="0">MIN(5,ROUNDUP(E31/20,0))</x:f>
        <x:v>3</x:v>
      </x:c>
      <x:c r="G31" s="24" t="n">
        <x:f aca="0">IF(E31=100,"已达Lv100",INDEX(等级门槛!$D$14:$D$113,E31+1))</x:f>
        <x:v>267100</x:v>
      </x:c>
      <x:c r="H31" s="23" t="str">
        <x:f aca="0">IF(D31="否","特殊样本，仅迁移展示；不参与档位与分布统计",IF(C31=0,"有效存量CP；CP累计字段为0，需核验迁移",IF(C31&lt;1000,"有效存量CP；低于新门槛，统一映射Lv1","")))</x:f>
      </x:c>
    </x:row>
    <x:row r="32" ht="19" hidden="0" customHeight="1">
      <x:c r="A32" s="1" t="n">
        <x:v>26</x:v>
      </x:c>
      <x:c r="B32" s="23" t="s">
        <x:v>637</x:v>
      </x:c>
      <x:c r="C32" s="24" t="n">
        <x:v>246943</x:v>
      </x:c>
      <x:c r="D32" s="1" t="s">
        <x:v>613</x:v>
      </x:c>
      <x:c r="E32" s="78" t="n">
        <x:f aca="0">IF(C32&lt;等级门槛!$D$14,1,MATCH(C32,等级门槛!$D$14:$D$113,1))</x:f>
        <x:v>47</x:v>
      </x:c>
      <x:c r="F32" s="79" t="n">
        <x:f aca="0">MIN(5,ROUNDUP(E32/20,0))</x:f>
        <x:v>3</x:v>
      </x:c>
      <x:c r="G32" s="24" t="n">
        <x:f aca="0">IF(E32=100,"已达Lv100",INDEX(等级门槛!$D$14:$D$113,E32+1))</x:f>
        <x:v>267100</x:v>
      </x:c>
      <x:c r="H32" s="23" t="str">
        <x:f aca="0">IF(D32="否","特殊样本，仅迁移展示；不参与档位与分布统计",IF(C32=0,"有效存量CP；CP累计字段为0，需核验迁移",IF(C32&lt;1000,"有效存量CP；低于新门槛，统一映射Lv1","")))</x:f>
      </x:c>
    </x:row>
    <x:row r="33" ht="19" hidden="0" customHeight="1">
      <x:c r="A33" s="1" t="n">
        <x:v>27</x:v>
      </x:c>
      <x:c r="B33" s="23" t="s">
        <x:v>638</x:v>
      </x:c>
      <x:c r="C33" s="24" t="n">
        <x:v>235250</x:v>
      </x:c>
      <x:c r="D33" s="1" t="s">
        <x:v>613</x:v>
      </x:c>
      <x:c r="E33" s="78" t="n">
        <x:f aca="0">IF(C33&lt;等级门槛!$D$14,1,MATCH(C33,等级门槛!$D$14:$D$113,1))</x:f>
        <x:v>46</x:v>
      </x:c>
      <x:c r="F33" s="79" t="n">
        <x:f aca="0">MIN(5,ROUNDUP(E33/20,0))</x:f>
        <x:v>3</x:v>
      </x:c>
      <x:c r="G33" s="24" t="n">
        <x:f aca="0">IF(E33=100,"已达Lv100",INDEX(等级门槛!$D$14:$D$113,E33+1))</x:f>
        <x:v>245800</x:v>
      </x:c>
      <x:c r="H33" s="23" t="str">
        <x:f aca="0">IF(D33="否","特殊样本，仅迁移展示；不参与档位与分布统计",IF(C33=0,"有效存量CP；CP累计字段为0，需核验迁移",IF(C33&lt;1000,"有效存量CP；低于新门槛，统一映射Lv1","")))</x:f>
      </x:c>
    </x:row>
    <x:row r="34" ht="19" hidden="0" customHeight="1">
      <x:c r="A34" s="1" t="n">
        <x:v>28</x:v>
      </x:c>
      <x:c r="B34" s="23" t="s">
        <x:v>639</x:v>
      </x:c>
      <x:c r="C34" s="24" t="n">
        <x:v>228365</x:v>
      </x:c>
      <x:c r="D34" s="1" t="s">
        <x:v>613</x:v>
      </x:c>
      <x:c r="E34" s="78" t="n">
        <x:f aca="0">IF(C34&lt;等级门槛!$D$14,1,MATCH(C34,等级门槛!$D$14:$D$113,1))</x:f>
        <x:v>46</x:v>
      </x:c>
      <x:c r="F34" s="79" t="n">
        <x:f aca="0">MIN(5,ROUNDUP(E34/20,0))</x:f>
        <x:v>3</x:v>
      </x:c>
      <x:c r="G34" s="24" t="n">
        <x:f aca="0">IF(E34=100,"已达Lv100",INDEX(等级门槛!$D$14:$D$113,E34+1))</x:f>
        <x:v>245800</x:v>
      </x:c>
      <x:c r="H34" s="23" t="str">
        <x:f aca="0">IF(D34="否","特殊样本，仅迁移展示；不参与档位与分布统计",IF(C34=0,"有效存量CP；CP累计字段为0，需核验迁移",IF(C34&lt;1000,"有效存量CP；低于新门槛，统一映射Lv1","")))</x:f>
      </x:c>
    </x:row>
    <x:row r="35" ht="19" hidden="0" customHeight="1">
      <x:c r="A35" s="1" t="n">
        <x:v>29</x:v>
      </x:c>
      <x:c r="B35" s="23" t="s">
        <x:v>640</x:v>
      </x:c>
      <x:c r="C35" s="24" t="n">
        <x:v>224748</x:v>
      </x:c>
      <x:c r="D35" s="1" t="s">
        <x:v>613</x:v>
      </x:c>
      <x:c r="E35" s="78" t="n">
        <x:f aca="0">IF(C35&lt;等级门槛!$D$14,1,MATCH(C35,等级门槛!$D$14:$D$113,1))</x:f>
        <x:v>45</x:v>
      </x:c>
      <x:c r="F35" s="79" t="n">
        <x:f aca="0">MIN(5,ROUNDUP(E35/20,0))</x:f>
        <x:v>3</x:v>
      </x:c>
      <x:c r="G35" s="24" t="n">
        <x:f aca="0">IF(E35=100,"已达Lv100",INDEX(等级门槛!$D$14:$D$113,E35+1))</x:f>
        <x:v>226200</x:v>
      </x:c>
      <x:c r="H35" s="23" t="str">
        <x:f aca="0">IF(D35="否","特殊样本，仅迁移展示；不参与档位与分布统计",IF(C35=0,"有效存量CP；CP累计字段为0，需核验迁移",IF(C35&lt;1000,"有效存量CP；低于新门槛，统一映射Lv1","")))</x:f>
      </x:c>
    </x:row>
    <x:row r="36" ht="19" hidden="0" customHeight="1">
      <x:c r="A36" s="1" t="n">
        <x:v>30</x:v>
      </x:c>
      <x:c r="B36" s="23" t="s">
        <x:v>641</x:v>
      </x:c>
      <x:c r="C36" s="24" t="n">
        <x:v>221788</x:v>
      </x:c>
      <x:c r="D36" s="1" t="s">
        <x:v>613</x:v>
      </x:c>
      <x:c r="E36" s="78" t="n">
        <x:f aca="0">IF(C36&lt;等级门槛!$D$14,1,MATCH(C36,等级门槛!$D$14:$D$113,1))</x:f>
        <x:v>45</x:v>
      </x:c>
      <x:c r="F36" s="79" t="n">
        <x:f aca="0">MIN(5,ROUNDUP(E36/20,0))</x:f>
        <x:v>3</x:v>
      </x:c>
      <x:c r="G36" s="24" t="n">
        <x:f aca="0">IF(E36=100,"已达Lv100",INDEX(等级门槛!$D$14:$D$113,E36+1))</x:f>
        <x:v>226200</x:v>
      </x:c>
      <x:c r="H36" s="23" t="str">
        <x:f aca="0">IF(D36="否","特殊样本，仅迁移展示；不参与档位与分布统计",IF(C36=0,"有效存量CP；CP累计字段为0，需核验迁移",IF(C36&lt;1000,"有效存量CP；低于新门槛，统一映射Lv1","")))</x:f>
      </x:c>
    </x:row>
    <x:row r="37" ht="19" hidden="0" customHeight="1">
      <x:c r="A37" s="1" t="n">
        <x:v>31</x:v>
      </x:c>
      <x:c r="B37" s="23" t="s">
        <x:v>642</x:v>
      </x:c>
      <x:c r="C37" s="24" t="n">
        <x:v>213939</x:v>
      </x:c>
      <x:c r="D37" s="1" t="s">
        <x:v>613</x:v>
      </x:c>
      <x:c r="E37" s="78" t="n">
        <x:f aca="0">IF(C37&lt;等级门槛!$D$14,1,MATCH(C37,等级门槛!$D$14:$D$113,1))</x:f>
        <x:v>45</x:v>
      </x:c>
      <x:c r="F37" s="79" t="n">
        <x:f aca="0">MIN(5,ROUNDUP(E37/20,0))</x:f>
        <x:v>3</x:v>
      </x:c>
      <x:c r="G37" s="24" t="n">
        <x:f aca="0">IF(E37=100,"已达Lv100",INDEX(等级门槛!$D$14:$D$113,E37+1))</x:f>
        <x:v>226200</x:v>
      </x:c>
      <x:c r="H37" s="23" t="str">
        <x:f aca="0">IF(D37="否","特殊样本，仅迁移展示；不参与档位与分布统计",IF(C37=0,"有效存量CP；CP累计字段为0，需核验迁移",IF(C37&lt;1000,"有效存量CP；低于新门槛，统一映射Lv1","")))</x:f>
      </x:c>
    </x:row>
    <x:row r="38" ht="19" hidden="0" customHeight="1">
      <x:c r="A38" s="1" t="n">
        <x:v>32</x:v>
      </x:c>
      <x:c r="B38" s="23" t="s">
        <x:v>643</x:v>
      </x:c>
      <x:c r="C38" s="24" t="n">
        <x:v>200470</x:v>
      </x:c>
      <x:c r="D38" s="1" t="s">
        <x:v>613</x:v>
      </x:c>
      <x:c r="E38" s="78" t="n">
        <x:f aca="0">IF(C38&lt;等级门槛!$D$14,1,MATCH(C38,等级门槛!$D$14:$D$113,1))</x:f>
        <x:v>44</x:v>
      </x:c>
      <x:c r="F38" s="79" t="n">
        <x:f aca="0">MIN(5,ROUNDUP(E38/20,0))</x:f>
        <x:v>3</x:v>
      </x:c>
      <x:c r="G38" s="24" t="n">
        <x:f aca="0">IF(E38=100,"已达Lv100",INDEX(等级门槛!$D$14:$D$113,E38+1))</x:f>
        <x:v>208100</x:v>
      </x:c>
      <x:c r="H38" s="23" t="str">
        <x:f aca="0">IF(D38="否","特殊样本，仅迁移展示；不参与档位与分布统计",IF(C38=0,"有效存量CP；CP累计字段为0，需核验迁移",IF(C38&lt;1000,"有效存量CP；低于新门槛，统一映射Lv1","")))</x:f>
      </x:c>
    </x:row>
    <x:row r="39" ht="19" hidden="0" customHeight="1">
      <x:c r="A39" s="1" t="n">
        <x:v>33</x:v>
      </x:c>
      <x:c r="B39" s="23" t="s">
        <x:v>644</x:v>
      </x:c>
      <x:c r="C39" s="24" t="n">
        <x:v>193346</x:v>
      </x:c>
      <x:c r="D39" s="1" t="s">
        <x:v>613</x:v>
      </x:c>
      <x:c r="E39" s="78" t="n">
        <x:f aca="0">IF(C39&lt;等级门槛!$D$14,1,MATCH(C39,等级门槛!$D$14:$D$113,1))</x:f>
        <x:v>44</x:v>
      </x:c>
      <x:c r="F39" s="79" t="n">
        <x:f aca="0">MIN(5,ROUNDUP(E39/20,0))</x:f>
        <x:v>3</x:v>
      </x:c>
      <x:c r="G39" s="24" t="n">
        <x:f aca="0">IF(E39=100,"已达Lv100",INDEX(等级门槛!$D$14:$D$113,E39+1))</x:f>
        <x:v>208100</x:v>
      </x:c>
      <x:c r="H39" s="23" t="str">
        <x:f aca="0">IF(D39="否","特殊样本，仅迁移展示；不参与档位与分布统计",IF(C39=0,"有效存量CP；CP累计字段为0，需核验迁移",IF(C39&lt;1000,"有效存量CP；低于新门槛，统一映射Lv1","")))</x:f>
      </x:c>
    </x:row>
    <x:row r="40" ht="19" hidden="0" customHeight="1">
      <x:c r="A40" s="1" t="n">
        <x:v>34</x:v>
      </x:c>
      <x:c r="B40" s="23" t="s">
        <x:v>645</x:v>
      </x:c>
      <x:c r="C40" s="24" t="n">
        <x:v>185839</x:v>
      </x:c>
      <x:c r="D40" s="1" t="s">
        <x:v>613</x:v>
      </x:c>
      <x:c r="E40" s="78" t="n">
        <x:f aca="0">IF(C40&lt;等级门槛!$D$14,1,MATCH(C40,等级门槛!$D$14:$D$113,1))</x:f>
        <x:v>43</x:v>
      </x:c>
      <x:c r="F40" s="79" t="n">
        <x:f aca="0">MIN(5,ROUNDUP(E40/20,0))</x:f>
        <x:v>3</x:v>
      </x:c>
      <x:c r="G40" s="24" t="n">
        <x:f aca="0">IF(E40=100,"已达Lv100",INDEX(等级门槛!$D$14:$D$113,E40+1))</x:f>
        <x:v>191400</x:v>
      </x:c>
      <x:c r="H40" s="23" t="str">
        <x:f aca="0">IF(D40="否","特殊样本，仅迁移展示；不参与档位与分布统计",IF(C40=0,"有效存量CP；CP累计字段为0，需核验迁移",IF(C40&lt;1000,"有效存量CP；低于新门槛，统一映射Lv1","")))</x:f>
      </x:c>
    </x:row>
    <x:row r="41" ht="19" hidden="0" customHeight="1">
      <x:c r="A41" s="1" t="n">
        <x:v>35</x:v>
      </x:c>
      <x:c r="B41" s="23" t="s">
        <x:v>646</x:v>
      </x:c>
      <x:c r="C41" s="24" t="n">
        <x:v>151342</x:v>
      </x:c>
      <x:c r="D41" s="1" t="s">
        <x:v>613</x:v>
      </x:c>
      <x:c r="E41" s="78" t="n">
        <x:f aca="0">IF(C41&lt;等级门槛!$D$14,1,MATCH(C41,等级门槛!$D$14:$D$113,1))</x:f>
        <x:v>41</x:v>
      </x:c>
      <x:c r="F41" s="79" t="n">
        <x:f aca="0">MIN(5,ROUNDUP(E41/20,0))</x:f>
        <x:v>3</x:v>
      </x:c>
      <x:c r="G41" s="24" t="n">
        <x:f aca="0">IF(E41=100,"已达Lv100",INDEX(等级门槛!$D$14:$D$113,E41+1))</x:f>
        <x:v>161800</x:v>
      </x:c>
      <x:c r="H41" s="23" t="str">
        <x:f aca="0">IF(D41="否","特殊样本，仅迁移展示；不参与档位与分布统计",IF(C41=0,"有效存量CP；CP累计字段为0，需核验迁移",IF(C41&lt;1000,"有效存量CP；低于新门槛，统一映射Lv1","")))</x:f>
      </x:c>
    </x:row>
    <x:row r="42" ht="19" hidden="0" customHeight="1">
      <x:c r="A42" s="1" t="n">
        <x:v>36</x:v>
      </x:c>
      <x:c r="B42" s="23" t="s">
        <x:v>647</x:v>
      </x:c>
      <x:c r="C42" s="24" t="n">
        <x:v>144955</x:v>
      </x:c>
      <x:c r="D42" s="1" t="s">
        <x:v>613</x:v>
      </x:c>
      <x:c r="E42" s="78" t="n">
        <x:f aca="0">IF(C42&lt;等级门槛!$D$14,1,MATCH(C42,等级门槛!$D$14:$D$113,1))</x:f>
        <x:v>40</x:v>
      </x:c>
      <x:c r="F42" s="79" t="n">
        <x:f aca="0">MIN(5,ROUNDUP(E42/20,0))</x:f>
        <x:v>2</x:v>
      </x:c>
      <x:c r="G42" s="24" t="n">
        <x:f aca="0">IF(E42=100,"已达Lv100",INDEX(等级门槛!$D$14:$D$113,E42+1))</x:f>
        <x:v>148700</x:v>
      </x:c>
      <x:c r="H42" s="23" t="str">
        <x:f aca="0">IF(D42="否","特殊样本，仅迁移展示；不参与档位与分布统计",IF(C42=0,"有效存量CP；CP累计字段为0，需核验迁移",IF(C42&lt;1000,"有效存量CP；低于新门槛，统一映射Lv1","")))</x:f>
      </x:c>
    </x:row>
    <x:row r="43" ht="19" hidden="0" customHeight="1">
      <x:c r="A43" s="1" t="n">
        <x:v>37</x:v>
      </x:c>
      <x:c r="B43" s="23" t="s">
        <x:v>648</x:v>
      </x:c>
      <x:c r="C43" s="24" t="n">
        <x:v>137973</x:v>
      </x:c>
      <x:c r="D43" s="1" t="s">
        <x:v>613</x:v>
      </x:c>
      <x:c r="E43" s="78" t="n">
        <x:f aca="0">IF(C43&lt;等级门槛!$D$14,1,MATCH(C43,等级门槛!$D$14:$D$113,1))</x:f>
        <x:v>40</x:v>
      </x:c>
      <x:c r="F43" s="79" t="n">
        <x:f aca="0">MIN(5,ROUNDUP(E43/20,0))</x:f>
        <x:v>2</x:v>
      </x:c>
      <x:c r="G43" s="24" t="n">
        <x:f aca="0">IF(E43=100,"已达Lv100",INDEX(等级门槛!$D$14:$D$113,E43+1))</x:f>
        <x:v>148700</x:v>
      </x:c>
      <x:c r="H43" s="23" t="str">
        <x:f aca="0">IF(D43="否","特殊样本，仅迁移展示；不参与档位与分布统计",IF(C43=0,"有效存量CP；CP累计字段为0，需核验迁移",IF(C43&lt;1000,"有效存量CP；低于新门槛，统一映射Lv1","")))</x:f>
      </x:c>
    </x:row>
    <x:row r="44" ht="19" hidden="0" customHeight="1">
      <x:c r="A44" s="1" t="n">
        <x:v>38</x:v>
      </x:c>
      <x:c r="B44" s="23" t="s">
        <x:v>649</x:v>
      </x:c>
      <x:c r="C44" s="24" t="n">
        <x:v>131154</x:v>
      </x:c>
      <x:c r="D44" s="1" t="s">
        <x:v>613</x:v>
      </x:c>
      <x:c r="E44" s="78" t="n">
        <x:f aca="0">IF(C44&lt;等级门槛!$D$14,1,MATCH(C44,等级门槛!$D$14:$D$113,1))</x:f>
        <x:v>39</x:v>
      </x:c>
      <x:c r="F44" s="79" t="n">
        <x:f aca="0">MIN(5,ROUNDUP(E44/20,0))</x:f>
        <x:v>2</x:v>
      </x:c>
      <x:c r="G44" s="24" t="n">
        <x:f aca="0">IF(E44=100,"已达Lv100",INDEX(等级门槛!$D$14:$D$113,E44+1))</x:f>
        <x:v>136700</x:v>
      </x:c>
      <x:c r="H44" s="23" t="str">
        <x:f aca="0">IF(D44="否","特殊样本，仅迁移展示；不参与档位与分布统计",IF(C44=0,"有效存量CP；CP累计字段为0，需核验迁移",IF(C44&lt;1000,"有效存量CP；低于新门槛，统一映射Lv1","")))</x:f>
      </x:c>
    </x:row>
    <x:row r="45" ht="19" hidden="0" customHeight="1">
      <x:c r="A45" s="1" t="n">
        <x:v>39</x:v>
      </x:c>
      <x:c r="B45" s="23" t="s">
        <x:v>650</x:v>
      </x:c>
      <x:c r="C45" s="24" t="n">
        <x:v>121113</x:v>
      </x:c>
      <x:c r="D45" s="1" t="s">
        <x:v>613</x:v>
      </x:c>
      <x:c r="E45" s="78" t="n">
        <x:f aca="0">IF(C45&lt;等级门槛!$D$14,1,MATCH(C45,等级门槛!$D$14:$D$113,1))</x:f>
        <x:v>38</x:v>
      </x:c>
      <x:c r="F45" s="79" t="n">
        <x:f aca="0">MIN(5,ROUNDUP(E45/20,0))</x:f>
        <x:v>2</x:v>
      </x:c>
      <x:c r="G45" s="24" t="n">
        <x:f aca="0">IF(E45=100,"已达Lv100",INDEX(等级门槛!$D$14:$D$113,E45+1))</x:f>
        <x:v>125600</x:v>
      </x:c>
      <x:c r="H45" s="23" t="str">
        <x:f aca="0">IF(D45="否","特殊样本，仅迁移展示；不参与档位与分布统计",IF(C45=0,"有效存量CP；CP累计字段为0，需核验迁移",IF(C45&lt;1000,"有效存量CP；低于新门槛，统一映射Lv1","")))</x:f>
      </x:c>
    </x:row>
    <x:row r="46" ht="19" hidden="0" customHeight="1">
      <x:c r="A46" s="1" t="n">
        <x:v>40</x:v>
      </x:c>
      <x:c r="B46" s="23" t="s">
        <x:v>651</x:v>
      </x:c>
      <x:c r="C46" s="24" t="n">
        <x:v>119874</x:v>
      </x:c>
      <x:c r="D46" s="1" t="s">
        <x:v>613</x:v>
      </x:c>
      <x:c r="E46" s="78" t="n">
        <x:f aca="0">IF(C46&lt;等级门槛!$D$14,1,MATCH(C46,等级门槛!$D$14:$D$113,1))</x:f>
        <x:v>38</x:v>
      </x:c>
      <x:c r="F46" s="79" t="n">
        <x:f aca="0">MIN(5,ROUNDUP(E46/20,0))</x:f>
        <x:v>2</x:v>
      </x:c>
      <x:c r="G46" s="24" t="n">
        <x:f aca="0">IF(E46=100,"已达Lv100",INDEX(等级门槛!$D$14:$D$113,E46+1))</x:f>
        <x:v>125600</x:v>
      </x:c>
      <x:c r="H46" s="23" t="str">
        <x:f aca="0">IF(D46="否","特殊样本，仅迁移展示；不参与档位与分布统计",IF(C46=0,"有效存量CP；CP累计字段为0，需核验迁移",IF(C46&lt;1000,"有效存量CP；低于新门槛，统一映射Lv1","")))</x:f>
      </x:c>
    </x:row>
    <x:row r="47" ht="19" hidden="0" customHeight="1">
      <x:c r="A47" s="1" t="n">
        <x:v>41</x:v>
      </x:c>
      <x:c r="B47" s="23" t="s">
        <x:v>652</x:v>
      </x:c>
      <x:c r="C47" s="24" t="n">
        <x:v>117553</x:v>
      </x:c>
      <x:c r="D47" s="1" t="s">
        <x:v>613</x:v>
      </x:c>
      <x:c r="E47" s="78" t="n">
        <x:f aca="0">IF(C47&lt;等级门槛!$D$14,1,MATCH(C47,等级门槛!$D$14:$D$113,1))</x:f>
        <x:v>38</x:v>
      </x:c>
      <x:c r="F47" s="79" t="n">
        <x:f aca="0">MIN(5,ROUNDUP(E47/20,0))</x:f>
        <x:v>2</x:v>
      </x:c>
      <x:c r="G47" s="24" t="n">
        <x:f aca="0">IF(E47=100,"已达Lv100",INDEX(等级门槛!$D$14:$D$113,E47+1))</x:f>
        <x:v>125600</x:v>
      </x:c>
      <x:c r="H47" s="23" t="str">
        <x:f aca="0">IF(D47="否","特殊样本，仅迁移展示；不参与档位与分布统计",IF(C47=0,"有效存量CP；CP累计字段为0，需核验迁移",IF(C47&lt;1000,"有效存量CP；低于新门槛，统一映射Lv1","")))</x:f>
      </x:c>
    </x:row>
    <x:row r="48" ht="19" hidden="0" customHeight="1">
      <x:c r="A48" s="1" t="n">
        <x:v>42</x:v>
      </x:c>
      <x:c r="B48" s="23" t="s">
        <x:v>653</x:v>
      </x:c>
      <x:c r="C48" s="24" t="n">
        <x:v>117213</x:v>
      </x:c>
      <x:c r="D48" s="1" t="s">
        <x:v>613</x:v>
      </x:c>
      <x:c r="E48" s="78" t="n">
        <x:f aca="0">IF(C48&lt;等级门槛!$D$14,1,MATCH(C48,等级门槛!$D$14:$D$113,1))</x:f>
        <x:v>38</x:v>
      </x:c>
      <x:c r="F48" s="79" t="n">
        <x:f aca="0">MIN(5,ROUNDUP(E48/20,0))</x:f>
        <x:v>2</x:v>
      </x:c>
      <x:c r="G48" s="24" t="n">
        <x:f aca="0">IF(E48=100,"已达Lv100",INDEX(等级门槛!$D$14:$D$113,E48+1))</x:f>
        <x:v>125600</x:v>
      </x:c>
      <x:c r="H48" s="23" t="str">
        <x:f aca="0">IF(D48="否","特殊样本，仅迁移展示；不参与档位与分布统计",IF(C48=0,"有效存量CP；CP累计字段为0，需核验迁移",IF(C48&lt;1000,"有效存量CP；低于新门槛，统一映射Lv1","")))</x:f>
      </x:c>
    </x:row>
    <x:row r="49" ht="19" hidden="0" customHeight="1">
      <x:c r="A49" s="1" t="n">
        <x:v>43</x:v>
      </x:c>
      <x:c r="B49" s="23" t="s">
        <x:v>654</x:v>
      </x:c>
      <x:c r="C49" s="24" t="n">
        <x:v>116416</x:v>
      </x:c>
      <x:c r="D49" s="1" t="s">
        <x:v>613</x:v>
      </x:c>
      <x:c r="E49" s="78" t="n">
        <x:f aca="0">IF(C49&lt;等级门槛!$D$14,1,MATCH(C49,等级门槛!$D$14:$D$113,1))</x:f>
        <x:v>38</x:v>
      </x:c>
      <x:c r="F49" s="79" t="n">
        <x:f aca="0">MIN(5,ROUNDUP(E49/20,0))</x:f>
        <x:v>2</x:v>
      </x:c>
      <x:c r="G49" s="24" t="n">
        <x:f aca="0">IF(E49=100,"已达Lv100",INDEX(等级门槛!$D$14:$D$113,E49+1))</x:f>
        <x:v>125600</x:v>
      </x:c>
      <x:c r="H49" s="23" t="str">
        <x:f aca="0">IF(D49="否","特殊样本，仅迁移展示；不参与档位与分布统计",IF(C49=0,"有效存量CP；CP累计字段为0，需核验迁移",IF(C49&lt;1000,"有效存量CP；低于新门槛，统一映射Lv1","")))</x:f>
      </x:c>
    </x:row>
    <x:row r="50" ht="19" hidden="0" customHeight="1">
      <x:c r="A50" s="1" t="n">
        <x:v>44</x:v>
      </x:c>
      <x:c r="B50" s="23" t="s">
        <x:v>655</x:v>
      </x:c>
      <x:c r="C50" s="24" t="n">
        <x:v>110123</x:v>
      </x:c>
      <x:c r="D50" s="1" t="s">
        <x:v>613</x:v>
      </x:c>
      <x:c r="E50" s="78" t="n">
        <x:f aca="0">IF(C50&lt;等级门槛!$D$14,1,MATCH(C50,等级门槛!$D$14:$D$113,1))</x:f>
        <x:v>37</x:v>
      </x:c>
      <x:c r="F50" s="79" t="n">
        <x:f aca="0">MIN(5,ROUNDUP(E50/20,0))</x:f>
        <x:v>2</x:v>
      </x:c>
      <x:c r="G50" s="24" t="n">
        <x:f aca="0">IF(E50=100,"已达Lv100",INDEX(等级门槛!$D$14:$D$113,E50+1))</x:f>
        <x:v>115400</x:v>
      </x:c>
      <x:c r="H50" s="23" t="str">
        <x:f aca="0">IF(D50="否","特殊样本，仅迁移展示；不参与档位与分布统计",IF(C50=0,"有效存量CP；CP累计字段为0，需核验迁移",IF(C50&lt;1000,"有效存量CP；低于新门槛，统一映射Lv1","")))</x:f>
      </x:c>
    </x:row>
    <x:row r="51" ht="19" hidden="0" customHeight="1">
      <x:c r="A51" s="1" t="n">
        <x:v>45</x:v>
      </x:c>
      <x:c r="B51" s="23" t="s">
        <x:v>656</x:v>
      </x:c>
      <x:c r="C51" s="24" t="n">
        <x:v>109844</x:v>
      </x:c>
      <x:c r="D51" s="1" t="s">
        <x:v>613</x:v>
      </x:c>
      <x:c r="E51" s="78" t="n">
        <x:f aca="0">IF(C51&lt;等级门槛!$D$14,1,MATCH(C51,等级门槛!$D$14:$D$113,1))</x:f>
        <x:v>37</x:v>
      </x:c>
      <x:c r="F51" s="79" t="n">
        <x:f aca="0">MIN(5,ROUNDUP(E51/20,0))</x:f>
        <x:v>2</x:v>
      </x:c>
      <x:c r="G51" s="24" t="n">
        <x:f aca="0">IF(E51=100,"已达Lv100",INDEX(等级门槛!$D$14:$D$113,E51+1))</x:f>
        <x:v>115400</x:v>
      </x:c>
      <x:c r="H51" s="23" t="str">
        <x:f aca="0">IF(D51="否","特殊样本，仅迁移展示；不参与档位与分布统计",IF(C51=0,"有效存量CP；CP累计字段为0，需核验迁移",IF(C51&lt;1000,"有效存量CP；低于新门槛，统一映射Lv1","")))</x:f>
      </x:c>
    </x:row>
    <x:row r="52" ht="19" hidden="0" customHeight="1">
      <x:c r="A52" s="1" t="n">
        <x:v>46</x:v>
      </x:c>
      <x:c r="B52" s="23" t="s">
        <x:v>657</x:v>
      </x:c>
      <x:c r="C52" s="24" t="n">
        <x:v>108677</x:v>
      </x:c>
      <x:c r="D52" s="1" t="s">
        <x:v>613</x:v>
      </x:c>
      <x:c r="E52" s="78" t="n">
        <x:f aca="0">IF(C52&lt;等级门槛!$D$14,1,MATCH(C52,等级门槛!$D$14:$D$113,1))</x:f>
        <x:v>37</x:v>
      </x:c>
      <x:c r="F52" s="79" t="n">
        <x:f aca="0">MIN(5,ROUNDUP(E52/20,0))</x:f>
        <x:v>2</x:v>
      </x:c>
      <x:c r="G52" s="24" t="n">
        <x:f aca="0">IF(E52=100,"已达Lv100",INDEX(等级门槛!$D$14:$D$113,E52+1))</x:f>
        <x:v>115400</x:v>
      </x:c>
      <x:c r="H52" s="23" t="str">
        <x:f aca="0">IF(D52="否","特殊样本，仅迁移展示；不参与档位与分布统计",IF(C52=0,"有效存量CP；CP累计字段为0，需核验迁移",IF(C52&lt;1000,"有效存量CP；低于新门槛，统一映射Lv1","")))</x:f>
      </x:c>
    </x:row>
    <x:row r="53" ht="19" hidden="0" customHeight="1">
      <x:c r="A53" s="1" t="n">
        <x:v>47</x:v>
      </x:c>
      <x:c r="B53" s="23" t="s">
        <x:v>658</x:v>
      </x:c>
      <x:c r="C53" s="24" t="n">
        <x:v>108427</x:v>
      </x:c>
      <x:c r="D53" s="1" t="s">
        <x:v>613</x:v>
      </x:c>
      <x:c r="E53" s="78" t="n">
        <x:f aca="0">IF(C53&lt;等级门槛!$D$14,1,MATCH(C53,等级门槛!$D$14:$D$113,1))</x:f>
        <x:v>37</x:v>
      </x:c>
      <x:c r="F53" s="79" t="n">
        <x:f aca="0">MIN(5,ROUNDUP(E53/20,0))</x:f>
        <x:v>2</x:v>
      </x:c>
      <x:c r="G53" s="24" t="n">
        <x:f aca="0">IF(E53=100,"已达Lv100",INDEX(等级门槛!$D$14:$D$113,E53+1))</x:f>
        <x:v>115400</x:v>
      </x:c>
      <x:c r="H53" s="23" t="str">
        <x:f aca="0">IF(D53="否","特殊样本，仅迁移展示；不参与档位与分布统计",IF(C53=0,"有效存量CP；CP累计字段为0，需核验迁移",IF(C53&lt;1000,"有效存量CP；低于新门槛，统一映射Lv1","")))</x:f>
      </x:c>
    </x:row>
    <x:row r="54" ht="19" hidden="0" customHeight="1">
      <x:c r="A54" s="1" t="n">
        <x:v>48</x:v>
      </x:c>
      <x:c r="B54" s="23" t="s">
        <x:v>659</x:v>
      </x:c>
      <x:c r="C54" s="24" t="n">
        <x:v>105471</x:v>
      </x:c>
      <x:c r="D54" s="1" t="s">
        <x:v>613</x:v>
      </x:c>
      <x:c r="E54" s="78" t="n">
        <x:f aca="0">IF(C54&lt;等级门槛!$D$14,1,MATCH(C54,等级门槛!$D$14:$D$113,1))</x:f>
        <x:v>36</x:v>
      </x:c>
      <x:c r="F54" s="79" t="n">
        <x:f aca="0">MIN(5,ROUNDUP(E54/20,0))</x:f>
        <x:v>2</x:v>
      </x:c>
      <x:c r="G54" s="24" t="n">
        <x:f aca="0">IF(E54=100,"已达Lv100",INDEX(等级门槛!$D$14:$D$113,E54+1))</x:f>
        <x:v>106000</x:v>
      </x:c>
      <x:c r="H54" s="23" t="str">
        <x:f aca="0">IF(D54="否","特殊样本，仅迁移展示；不参与档位与分布统计",IF(C54=0,"有效存量CP；CP累计字段为0，需核验迁移",IF(C54&lt;1000,"有效存量CP；低于新门槛，统一映射Lv1","")))</x:f>
      </x:c>
    </x:row>
    <x:row r="55" ht="19" hidden="0" customHeight="1">
      <x:c r="A55" s="1" t="n">
        <x:v>49</x:v>
      </x:c>
      <x:c r="B55" s="23" t="s">
        <x:v>660</x:v>
      </x:c>
      <x:c r="C55" s="24" t="n">
        <x:v>98527</x:v>
      </x:c>
      <x:c r="D55" s="1" t="s">
        <x:v>613</x:v>
      </x:c>
      <x:c r="E55" s="78" t="n">
        <x:f aca="0">IF(C55&lt;等级门槛!$D$14,1,MATCH(C55,等级门槛!$D$14:$D$113,1))</x:f>
        <x:v>36</x:v>
      </x:c>
      <x:c r="F55" s="79" t="n">
        <x:f aca="0">MIN(5,ROUNDUP(E55/20,0))</x:f>
        <x:v>2</x:v>
      </x:c>
      <x:c r="G55" s="24" t="n">
        <x:f aca="0">IF(E55=100,"已达Lv100",INDEX(等级门槛!$D$14:$D$113,E55+1))</x:f>
        <x:v>106000</x:v>
      </x:c>
      <x:c r="H55" s="23" t="str">
        <x:f aca="0">IF(D55="否","特殊样本，仅迁移展示；不参与档位与分布统计",IF(C55=0,"有效存量CP；CP累计字段为0，需核验迁移",IF(C55&lt;1000,"有效存量CP；低于新门槛，统一映射Lv1","")))</x:f>
      </x:c>
    </x:row>
    <x:row r="56" ht="19" hidden="0" customHeight="1">
      <x:c r="A56" s="1" t="n">
        <x:v>50</x:v>
      </x:c>
      <x:c r="B56" s="23" t="s">
        <x:v>661</x:v>
      </x:c>
      <x:c r="C56" s="24" t="n">
        <x:v>97831</x:v>
      </x:c>
      <x:c r="D56" s="1" t="s">
        <x:v>613</x:v>
      </x:c>
      <x:c r="E56" s="78" t="n">
        <x:f aca="0">IF(C56&lt;等级门槛!$D$14,1,MATCH(C56,等级门槛!$D$14:$D$113,1))</x:f>
        <x:v>36</x:v>
      </x:c>
      <x:c r="F56" s="79" t="n">
        <x:f aca="0">MIN(5,ROUNDUP(E56/20,0))</x:f>
        <x:v>2</x:v>
      </x:c>
      <x:c r="G56" s="24" t="n">
        <x:f aca="0">IF(E56=100,"已达Lv100",INDEX(等级门槛!$D$14:$D$113,E56+1))</x:f>
        <x:v>106000</x:v>
      </x:c>
      <x:c r="H56" s="23" t="str">
        <x:f aca="0">IF(D56="否","特殊样本，仅迁移展示；不参与档位与分布统计",IF(C56=0,"有效存量CP；CP累计字段为0，需核验迁移",IF(C56&lt;1000,"有效存量CP；低于新门槛，统一映射Lv1","")))</x:f>
      </x:c>
    </x:row>
    <x:row r="57" ht="19" hidden="0" customHeight="1">
      <x:c r="A57" s="1" t="n">
        <x:v>51</x:v>
      </x:c>
      <x:c r="B57" s="23" t="s">
        <x:v>662</x:v>
      </x:c>
      <x:c r="C57" s="24" t="n">
        <x:v>91781</x:v>
      </x:c>
      <x:c r="D57" s="1" t="s">
        <x:v>613</x:v>
      </x:c>
      <x:c r="E57" s="78" t="n">
        <x:f aca="0">IF(C57&lt;等级门槛!$D$14,1,MATCH(C57,等级门槛!$D$14:$D$113,1))</x:f>
        <x:v>35</x:v>
      </x:c>
      <x:c r="F57" s="79" t="n">
        <x:f aca="0">MIN(5,ROUNDUP(E57/20,0))</x:f>
        <x:v>2</x:v>
      </x:c>
      <x:c r="G57" s="24" t="n">
        <x:f aca="0">IF(E57=100,"已达Lv100",INDEX(等级门槛!$D$14:$D$113,E57+1))</x:f>
        <x:v>97300</x:v>
      </x:c>
      <x:c r="H57" s="23" t="str">
        <x:f aca="0">IF(D57="否","特殊样本，仅迁移展示；不参与档位与分布统计",IF(C57=0,"有效存量CP；CP累计字段为0，需核验迁移",IF(C57&lt;1000,"有效存量CP；低于新门槛，统一映射Lv1","")))</x:f>
      </x:c>
    </x:row>
    <x:row r="58" ht="19" hidden="0" customHeight="1">
      <x:c r="A58" s="1" t="n">
        <x:v>52</x:v>
      </x:c>
      <x:c r="B58" s="23" t="s">
        <x:v>663</x:v>
      </x:c>
      <x:c r="C58" s="24" t="n">
        <x:v>91605</x:v>
      </x:c>
      <x:c r="D58" s="1" t="s">
        <x:v>613</x:v>
      </x:c>
      <x:c r="E58" s="78" t="n">
        <x:f aca="0">IF(C58&lt;等级门槛!$D$14,1,MATCH(C58,等级门槛!$D$14:$D$113,1))</x:f>
        <x:v>35</x:v>
      </x:c>
      <x:c r="F58" s="79" t="n">
        <x:f aca="0">MIN(5,ROUNDUP(E58/20,0))</x:f>
        <x:v>2</x:v>
      </x:c>
      <x:c r="G58" s="24" t="n">
        <x:f aca="0">IF(E58=100,"已达Lv100",INDEX(等级门槛!$D$14:$D$113,E58+1))</x:f>
        <x:v>97300</x:v>
      </x:c>
      <x:c r="H58" s="23" t="str">
        <x:f aca="0">IF(D58="否","特殊样本，仅迁移展示；不参与档位与分布统计",IF(C58=0,"有效存量CP；CP累计字段为0，需核验迁移",IF(C58&lt;1000,"有效存量CP；低于新门槛，统一映射Lv1","")))</x:f>
      </x:c>
    </x:row>
    <x:row r="59" ht="19" hidden="0" customHeight="1">
      <x:c r="A59" s="1" t="n">
        <x:v>53</x:v>
      </x:c>
      <x:c r="B59" s="23" t="s">
        <x:v>664</x:v>
      </x:c>
      <x:c r="C59" s="24" t="n">
        <x:v>90946</x:v>
      </x:c>
      <x:c r="D59" s="1" t="s">
        <x:v>613</x:v>
      </x:c>
      <x:c r="E59" s="78" t="n">
        <x:f aca="0">IF(C59&lt;等级门槛!$D$14,1,MATCH(C59,等级门槛!$D$14:$D$113,1))</x:f>
        <x:v>35</x:v>
      </x:c>
      <x:c r="F59" s="79" t="n">
        <x:f aca="0">MIN(5,ROUNDUP(E59/20,0))</x:f>
        <x:v>2</x:v>
      </x:c>
      <x:c r="G59" s="24" t="n">
        <x:f aca="0">IF(E59=100,"已达Lv100",INDEX(等级门槛!$D$14:$D$113,E59+1))</x:f>
        <x:v>97300</x:v>
      </x:c>
      <x:c r="H59" s="23" t="str">
        <x:f aca="0">IF(D59="否","特殊样本，仅迁移展示；不参与档位与分布统计",IF(C59=0,"有效存量CP；CP累计字段为0，需核验迁移",IF(C59&lt;1000,"有效存量CP；低于新门槛，统一映射Lv1","")))</x:f>
      </x:c>
    </x:row>
    <x:row r="60" ht="19" hidden="0" customHeight="1">
      <x:c r="A60" s="1" t="n">
        <x:v>54</x:v>
      </x:c>
      <x:c r="B60" s="23" t="s">
        <x:v>665</x:v>
      </x:c>
      <x:c r="C60" s="24" t="n">
        <x:v>90760</x:v>
      </x:c>
      <x:c r="D60" s="1" t="s">
        <x:v>613</x:v>
      </x:c>
      <x:c r="E60" s="78" t="n">
        <x:f aca="0">IF(C60&lt;等级门槛!$D$14,1,MATCH(C60,等级门槛!$D$14:$D$113,1))</x:f>
        <x:v>35</x:v>
      </x:c>
      <x:c r="F60" s="79" t="n">
        <x:f aca="0">MIN(5,ROUNDUP(E60/20,0))</x:f>
        <x:v>2</x:v>
      </x:c>
      <x:c r="G60" s="24" t="n">
        <x:f aca="0">IF(E60=100,"已达Lv100",INDEX(等级门槛!$D$14:$D$113,E60+1))</x:f>
        <x:v>97300</x:v>
      </x:c>
      <x:c r="H60" s="23" t="str">
        <x:f aca="0">IF(D60="否","特殊样本，仅迁移展示；不参与档位与分布统计",IF(C60=0,"有效存量CP；CP累计字段为0，需核验迁移",IF(C60&lt;1000,"有效存量CP；低于新门槛，统一映射Lv1","")))</x:f>
      </x:c>
    </x:row>
    <x:row r="61" ht="19" hidden="0" customHeight="1">
      <x:c r="A61" s="1" t="n">
        <x:v>55</x:v>
      </x:c>
      <x:c r="B61" s="23" t="s">
        <x:v>666</x:v>
      </x:c>
      <x:c r="C61" s="24" t="n">
        <x:v>88418</x:v>
      </x:c>
      <x:c r="D61" s="1" t="s">
        <x:v>613</x:v>
      </x:c>
      <x:c r="E61" s="78" t="n">
        <x:f aca="0">IF(C61&lt;等级门槛!$D$14,1,MATCH(C61,等级门槛!$D$14:$D$113,1))</x:f>
        <x:v>34</x:v>
      </x:c>
      <x:c r="F61" s="79" t="n">
        <x:f aca="0">MIN(5,ROUNDUP(E61/20,0))</x:f>
        <x:v>2</x:v>
      </x:c>
      <x:c r="G61" s="24" t="n">
        <x:f aca="0">IF(E61=100,"已达Lv100",INDEX(等级门槛!$D$14:$D$113,E61+1))</x:f>
        <x:v>89300</x:v>
      </x:c>
      <x:c r="H61" s="23" t="str">
        <x:f aca="0">IF(D61="否","特殊样本，仅迁移展示；不参与档位与分布统计",IF(C61=0,"有效存量CP；CP累计字段为0，需核验迁移",IF(C61&lt;1000,"有效存量CP；低于新门槛，统一映射Lv1","")))</x:f>
      </x:c>
    </x:row>
    <x:row r="62" ht="19" hidden="0" customHeight="1">
      <x:c r="A62" s="1" t="n">
        <x:v>56</x:v>
      </x:c>
      <x:c r="B62" s="23" t="s">
        <x:v>667</x:v>
      </x:c>
      <x:c r="C62" s="24" t="n">
        <x:v>83632</x:v>
      </x:c>
      <x:c r="D62" s="1" t="s">
        <x:v>613</x:v>
      </x:c>
      <x:c r="E62" s="78" t="n">
        <x:f aca="0">IF(C62&lt;等级门槛!$D$14,1,MATCH(C62,等级门槛!$D$14:$D$113,1))</x:f>
        <x:v>34</x:v>
      </x:c>
      <x:c r="F62" s="79" t="n">
        <x:f aca="0">MIN(5,ROUNDUP(E62/20,0))</x:f>
        <x:v>2</x:v>
      </x:c>
      <x:c r="G62" s="24" t="n">
        <x:f aca="0">IF(E62=100,"已达Lv100",INDEX(等级门槛!$D$14:$D$113,E62+1))</x:f>
        <x:v>89300</x:v>
      </x:c>
      <x:c r="H62" s="23" t="str">
        <x:f aca="0">IF(D62="否","特殊样本，仅迁移展示；不参与档位与分布统计",IF(C62=0,"有效存量CP；CP累计字段为0，需核验迁移",IF(C62&lt;1000,"有效存量CP；低于新门槛，统一映射Lv1","")))</x:f>
      </x:c>
    </x:row>
    <x:row r="63" ht="19" hidden="0" customHeight="1">
      <x:c r="A63" s="1" t="n">
        <x:v>57</x:v>
      </x:c>
      <x:c r="B63" s="23" t="s">
        <x:v>668</x:v>
      </x:c>
      <x:c r="C63" s="24" t="n">
        <x:v>78012</x:v>
      </x:c>
      <x:c r="D63" s="1" t="s">
        <x:v>613</x:v>
      </x:c>
      <x:c r="E63" s="78" t="n">
        <x:f aca="0">IF(C63&lt;等级门槛!$D$14,1,MATCH(C63,等级门槛!$D$14:$D$113,1))</x:f>
        <x:v>33</x:v>
      </x:c>
      <x:c r="F63" s="79" t="n">
        <x:f aca="0">MIN(5,ROUNDUP(E63/20,0))</x:f>
        <x:v>2</x:v>
      </x:c>
      <x:c r="G63" s="24" t="n">
        <x:f aca="0">IF(E63=100,"已达Lv100",INDEX(等级门槛!$D$14:$D$113,E63+1))</x:f>
        <x:v>81900</x:v>
      </x:c>
      <x:c r="H63" s="23" t="str">
        <x:f aca="0">IF(D63="否","特殊样本，仅迁移展示；不参与档位与分布统计",IF(C63=0,"有效存量CP；CP累计字段为0，需核验迁移",IF(C63&lt;1000,"有效存量CP；低于新门槛，统一映射Lv1","")))</x:f>
      </x:c>
    </x:row>
    <x:row r="64" ht="19" hidden="0" customHeight="1">
      <x:c r="A64" s="1" t="n">
        <x:v>58</x:v>
      </x:c>
      <x:c r="B64" s="23" t="s">
        <x:v>669</x:v>
      </x:c>
      <x:c r="C64" s="24" t="n">
        <x:v>77511</x:v>
      </x:c>
      <x:c r="D64" s="1" t="s">
        <x:v>613</x:v>
      </x:c>
      <x:c r="E64" s="78" t="n">
        <x:f aca="0">IF(C64&lt;等级门槛!$D$14,1,MATCH(C64,等级门槛!$D$14:$D$113,1))</x:f>
        <x:v>33</x:v>
      </x:c>
      <x:c r="F64" s="79" t="n">
        <x:f aca="0">MIN(5,ROUNDUP(E64/20,0))</x:f>
        <x:v>2</x:v>
      </x:c>
      <x:c r="G64" s="24" t="n">
        <x:f aca="0">IF(E64=100,"已达Lv100",INDEX(等级门槛!$D$14:$D$113,E64+1))</x:f>
        <x:v>81900</x:v>
      </x:c>
      <x:c r="H64" s="23" t="str">
        <x:f aca="0">IF(D64="否","特殊样本，仅迁移展示；不参与档位与分布统计",IF(C64=0,"有效存量CP；CP累计字段为0，需核验迁移",IF(C64&lt;1000,"有效存量CP；低于新门槛，统一映射Lv1","")))</x:f>
      </x:c>
    </x:row>
    <x:row r="65" ht="19" hidden="0" customHeight="1">
      <x:c r="A65" s="1" t="n">
        <x:v>59</x:v>
      </x:c>
      <x:c r="B65" s="23" t="s">
        <x:v>670</x:v>
      </x:c>
      <x:c r="C65" s="24" t="n">
        <x:v>76683</x:v>
      </x:c>
      <x:c r="D65" s="1" t="s">
        <x:v>613</x:v>
      </x:c>
      <x:c r="E65" s="78" t="n">
        <x:f aca="0">IF(C65&lt;等级门槛!$D$14,1,MATCH(C65,等级门槛!$D$14:$D$113,1))</x:f>
        <x:v>33</x:v>
      </x:c>
      <x:c r="F65" s="79" t="n">
        <x:f aca="0">MIN(5,ROUNDUP(E65/20,0))</x:f>
        <x:v>2</x:v>
      </x:c>
      <x:c r="G65" s="24" t="n">
        <x:f aca="0">IF(E65=100,"已达Lv100",INDEX(等级门槛!$D$14:$D$113,E65+1))</x:f>
        <x:v>81900</x:v>
      </x:c>
      <x:c r="H65" s="23" t="str">
        <x:f aca="0">IF(D65="否","特殊样本，仅迁移展示；不参与档位与分布统计",IF(C65=0,"有效存量CP；CP累计字段为0，需核验迁移",IF(C65&lt;1000,"有效存量CP；低于新门槛，统一映射Lv1","")))</x:f>
      </x:c>
    </x:row>
    <x:row r="66" ht="19" hidden="0" customHeight="1">
      <x:c r="A66" s="1" t="n">
        <x:v>60</x:v>
      </x:c>
      <x:c r="B66" s="23" t="s">
        <x:v>671</x:v>
      </x:c>
      <x:c r="C66" s="24" t="n">
        <x:v>75753</x:v>
      </x:c>
      <x:c r="D66" s="1" t="s">
        <x:v>613</x:v>
      </x:c>
      <x:c r="E66" s="78" t="n">
        <x:f aca="0">IF(C66&lt;等级门槛!$D$14,1,MATCH(C66,等级门槛!$D$14:$D$113,1))</x:f>
        <x:v>33</x:v>
      </x:c>
      <x:c r="F66" s="79" t="n">
        <x:f aca="0">MIN(5,ROUNDUP(E66/20,0))</x:f>
        <x:v>2</x:v>
      </x:c>
      <x:c r="G66" s="24" t="n">
        <x:f aca="0">IF(E66=100,"已达Lv100",INDEX(等级门槛!$D$14:$D$113,E66+1))</x:f>
        <x:v>81900</x:v>
      </x:c>
      <x:c r="H66" s="23" t="str">
        <x:f aca="0">IF(D66="否","特殊样本，仅迁移展示；不参与档位与分布统计",IF(C66=0,"有效存量CP；CP累计字段为0，需核验迁移",IF(C66&lt;1000,"有效存量CP；低于新门槛，统一映射Lv1","")))</x:f>
      </x:c>
    </x:row>
    <x:row r="67" ht="19" hidden="0" customHeight="1">
      <x:c r="A67" s="1" t="n">
        <x:v>61</x:v>
      </x:c>
      <x:c r="B67" s="23" t="s">
        <x:v>672</x:v>
      </x:c>
      <x:c r="C67" s="24" t="n">
        <x:v>75541</x:v>
      </x:c>
      <x:c r="D67" s="1" t="s">
        <x:v>613</x:v>
      </x:c>
      <x:c r="E67" s="78" t="n">
        <x:f aca="0">IF(C67&lt;等级门槛!$D$14,1,MATCH(C67,等级门槛!$D$14:$D$113,1))</x:f>
        <x:v>33</x:v>
      </x:c>
      <x:c r="F67" s="79" t="n">
        <x:f aca="0">MIN(5,ROUNDUP(E67/20,0))</x:f>
        <x:v>2</x:v>
      </x:c>
      <x:c r="G67" s="24" t="n">
        <x:f aca="0">IF(E67=100,"已达Lv100",INDEX(等级门槛!$D$14:$D$113,E67+1))</x:f>
        <x:v>81900</x:v>
      </x:c>
      <x:c r="H67" s="23" t="str">
        <x:f aca="0">IF(D67="否","特殊样本，仅迁移展示；不参与档位与分布统计",IF(C67=0,"有效存量CP；CP累计字段为0，需核验迁移",IF(C67&lt;1000,"有效存量CP；低于新门槛，统一映射Lv1","")))</x:f>
      </x:c>
    </x:row>
    <x:row r="68" ht="19" hidden="0" customHeight="1">
      <x:c r="A68" s="1" t="n">
        <x:v>62</x:v>
      </x:c>
      <x:c r="B68" s="23" t="s">
        <x:v>673</x:v>
      </x:c>
      <x:c r="C68" s="24" t="n">
        <x:v>75389</x:v>
      </x:c>
      <x:c r="D68" s="1" t="s">
        <x:v>613</x:v>
      </x:c>
      <x:c r="E68" s="78" t="n">
        <x:f aca="0">IF(C68&lt;等级门槛!$D$14,1,MATCH(C68,等级门槛!$D$14:$D$113,1))</x:f>
        <x:v>33</x:v>
      </x:c>
      <x:c r="F68" s="79" t="n">
        <x:f aca="0">MIN(5,ROUNDUP(E68/20,0))</x:f>
        <x:v>2</x:v>
      </x:c>
      <x:c r="G68" s="24" t="n">
        <x:f aca="0">IF(E68=100,"已达Lv100",INDEX(等级门槛!$D$14:$D$113,E68+1))</x:f>
        <x:v>81900</x:v>
      </x:c>
      <x:c r="H68" s="23" t="str">
        <x:f aca="0">IF(D68="否","特殊样本，仅迁移展示；不参与档位与分布统计",IF(C68=0,"有效存量CP；CP累计字段为0，需核验迁移",IF(C68&lt;1000,"有效存量CP；低于新门槛，统一映射Lv1","")))</x:f>
      </x:c>
    </x:row>
    <x:row r="69" ht="19" hidden="0" customHeight="1">
      <x:c r="A69" s="1" t="n">
        <x:v>63</x:v>
      </x:c>
      <x:c r="B69" s="23" t="s">
        <x:v>674</x:v>
      </x:c>
      <x:c r="C69" s="24" t="n">
        <x:v>75370</x:v>
      </x:c>
      <x:c r="D69" s="1" t="s">
        <x:v>613</x:v>
      </x:c>
      <x:c r="E69" s="78" t="n">
        <x:f aca="0">IF(C69&lt;等级门槛!$D$14,1,MATCH(C69,等级门槛!$D$14:$D$113,1))</x:f>
        <x:v>33</x:v>
      </x:c>
      <x:c r="F69" s="79" t="n">
        <x:f aca="0">MIN(5,ROUNDUP(E69/20,0))</x:f>
        <x:v>2</x:v>
      </x:c>
      <x:c r="G69" s="24" t="n">
        <x:f aca="0">IF(E69=100,"已达Lv100",INDEX(等级门槛!$D$14:$D$113,E69+1))</x:f>
        <x:v>81900</x:v>
      </x:c>
      <x:c r="H69" s="23" t="str">
        <x:f aca="0">IF(D69="否","特殊样本，仅迁移展示；不参与档位与分布统计",IF(C69=0,"有效存量CP；CP累计字段为0，需核验迁移",IF(C69&lt;1000,"有效存量CP；低于新门槛，统一映射Lv1","")))</x:f>
      </x:c>
    </x:row>
    <x:row r="70" ht="19" hidden="0" customHeight="1">
      <x:c r="A70" s="1" t="n">
        <x:v>64</x:v>
      </x:c>
      <x:c r="B70" s="23" t="s">
        <x:v>675</x:v>
      </x:c>
      <x:c r="C70" s="24" t="n">
        <x:v>71208</x:v>
      </x:c>
      <x:c r="D70" s="1" t="s">
        <x:v>613</x:v>
      </x:c>
      <x:c r="E70" s="78" t="n">
        <x:f aca="0">IF(C70&lt;等级门槛!$D$14,1,MATCH(C70,等级门槛!$D$14:$D$113,1))</x:f>
        <x:v>32</x:v>
      </x:c>
      <x:c r="F70" s="79" t="n">
        <x:f aca="0">MIN(5,ROUNDUP(E70/20,0))</x:f>
        <x:v>2</x:v>
      </x:c>
      <x:c r="G70" s="24" t="n">
        <x:f aca="0">IF(E70=100,"已达Lv100",INDEX(等级门槛!$D$14:$D$113,E70+1))</x:f>
        <x:v>75100</x:v>
      </x:c>
      <x:c r="H70" s="23" t="str">
        <x:f aca="0">IF(D70="否","特殊样本，仅迁移展示；不参与档位与分布统计",IF(C70=0,"有效存量CP；CP累计字段为0，需核验迁移",IF(C70&lt;1000,"有效存量CP；低于新门槛，统一映射Lv1","")))</x:f>
      </x:c>
    </x:row>
    <x:row r="71" ht="19" hidden="0" customHeight="1">
      <x:c r="A71" s="1" t="n">
        <x:v>65</x:v>
      </x:c>
      <x:c r="B71" s="23" t="s">
        <x:v>676</x:v>
      </x:c>
      <x:c r="C71" s="24" t="n">
        <x:v>70530</x:v>
      </x:c>
      <x:c r="D71" s="1" t="s">
        <x:v>613</x:v>
      </x:c>
      <x:c r="E71" s="78" t="n">
        <x:f aca="0">IF(C71&lt;等级门槛!$D$14,1,MATCH(C71,等级门槛!$D$14:$D$113,1))</x:f>
        <x:v>32</x:v>
      </x:c>
      <x:c r="F71" s="79" t="n">
        <x:f aca="0">MIN(5,ROUNDUP(E71/20,0))</x:f>
        <x:v>2</x:v>
      </x:c>
      <x:c r="G71" s="24" t="n">
        <x:f aca="0">IF(E71=100,"已达Lv100",INDEX(等级门槛!$D$14:$D$113,E71+1))</x:f>
        <x:v>75100</x:v>
      </x:c>
      <x:c r="H71" s="23" t="str">
        <x:f aca="0">IF(D71="否","特殊样本，仅迁移展示；不参与档位与分布统计",IF(C71=0,"有效存量CP；CP累计字段为0，需核验迁移",IF(C71&lt;1000,"有效存量CP；低于新门槛，统一映射Lv1","")))</x:f>
      </x:c>
    </x:row>
    <x:row r="72" ht="19" hidden="0" customHeight="1">
      <x:c r="A72" s="1" t="n">
        <x:v>66</x:v>
      </x:c>
      <x:c r="B72" s="23" t="s">
        <x:v>677</x:v>
      </x:c>
      <x:c r="C72" s="24" t="n">
        <x:v>65961</x:v>
      </x:c>
      <x:c r="D72" s="1" t="s">
        <x:v>613</x:v>
      </x:c>
      <x:c r="E72" s="78" t="n">
        <x:f aca="0">IF(C72&lt;等级门槛!$D$14,1,MATCH(C72,等级门槛!$D$14:$D$113,1))</x:f>
        <x:v>31</x:v>
      </x:c>
      <x:c r="F72" s="79" t="n">
        <x:f aca="0">MIN(5,ROUNDUP(E72/20,0))</x:f>
        <x:v>2</x:v>
      </x:c>
      <x:c r="G72" s="24" t="n">
        <x:f aca="0">IF(E72=100,"已达Lv100",INDEX(等级门槛!$D$14:$D$113,E72+1))</x:f>
        <x:v>68800</x:v>
      </x:c>
      <x:c r="H72" s="23" t="str">
        <x:f aca="0">IF(D72="否","特殊样本，仅迁移展示；不参与档位与分布统计",IF(C72=0,"有效存量CP；CP累计字段为0，需核验迁移",IF(C72&lt;1000,"有效存量CP；低于新门槛，统一映射Lv1","")))</x:f>
      </x:c>
    </x:row>
    <x:row r="73" ht="19" hidden="0" customHeight="1">
      <x:c r="A73" s="1" t="n">
        <x:v>67</x:v>
      </x:c>
      <x:c r="B73" s="23" t="s">
        <x:v>678</x:v>
      </x:c>
      <x:c r="C73" s="24" t="n">
        <x:v>63152</x:v>
      </x:c>
      <x:c r="D73" s="1" t="s">
        <x:v>613</x:v>
      </x:c>
      <x:c r="E73" s="78" t="n">
        <x:f aca="0">IF(C73&lt;等级门槛!$D$14,1,MATCH(C73,等级门槛!$D$14:$D$113,1))</x:f>
        <x:v>31</x:v>
      </x:c>
      <x:c r="F73" s="79" t="n">
        <x:f aca="0">MIN(5,ROUNDUP(E73/20,0))</x:f>
        <x:v>2</x:v>
      </x:c>
      <x:c r="G73" s="24" t="n">
        <x:f aca="0">IF(E73=100,"已达Lv100",INDEX(等级门槛!$D$14:$D$113,E73+1))</x:f>
        <x:v>68800</x:v>
      </x:c>
      <x:c r="H73" s="23" t="str">
        <x:f aca="0">IF(D73="否","特殊样本，仅迁移展示；不参与档位与分布统计",IF(C73=0,"有效存量CP；CP累计字段为0，需核验迁移",IF(C73&lt;1000,"有效存量CP；低于新门槛，统一映射Lv1","")))</x:f>
      </x:c>
    </x:row>
    <x:row r="74" ht="19" hidden="0" customHeight="1">
      <x:c r="A74" s="1" t="n">
        <x:v>68</x:v>
      </x:c>
      <x:c r="B74" s="23" t="s">
        <x:v>679</x:v>
      </x:c>
      <x:c r="C74" s="24" t="n">
        <x:v>62708</x:v>
      </x:c>
      <x:c r="D74" s="1" t="s">
        <x:v>613</x:v>
      </x:c>
      <x:c r="E74" s="78" t="n">
        <x:f aca="0">IF(C74&lt;等级门槛!$D$14,1,MATCH(C74,等级门槛!$D$14:$D$113,1))</x:f>
        <x:v>30</x:v>
      </x:c>
      <x:c r="F74" s="79" t="n">
        <x:f aca="0">MIN(5,ROUNDUP(E74/20,0))</x:f>
        <x:v>2</x:v>
      </x:c>
      <x:c r="G74" s="24" t="n">
        <x:f aca="0">IF(E74=100,"已达Lv100",INDEX(等级门槛!$D$14:$D$113,E74+1))</x:f>
        <x:v>63000</x:v>
      </x:c>
      <x:c r="H74" s="23" t="str">
        <x:f aca="0">IF(D74="否","特殊样本，仅迁移展示；不参与档位与分布统计",IF(C74=0,"有效存量CP；CP累计字段为0，需核验迁移",IF(C74&lt;1000,"有效存量CP；低于新门槛，统一映射Lv1","")))</x:f>
      </x:c>
    </x:row>
    <x:row r="75" ht="19" hidden="0" customHeight="1">
      <x:c r="A75" s="1" t="n">
        <x:v>69</x:v>
      </x:c>
      <x:c r="B75" s="23" t="s">
        <x:v>680</x:v>
      </x:c>
      <x:c r="C75" s="24" t="n">
        <x:v>62612</x:v>
      </x:c>
      <x:c r="D75" s="1" t="s">
        <x:v>613</x:v>
      </x:c>
      <x:c r="E75" s="78" t="n">
        <x:f aca="0">IF(C75&lt;等级门槛!$D$14,1,MATCH(C75,等级门槛!$D$14:$D$113,1))</x:f>
        <x:v>30</x:v>
      </x:c>
      <x:c r="F75" s="79" t="n">
        <x:f aca="0">MIN(5,ROUNDUP(E75/20,0))</x:f>
        <x:v>2</x:v>
      </x:c>
      <x:c r="G75" s="24" t="n">
        <x:f aca="0">IF(E75=100,"已达Lv100",INDEX(等级门槛!$D$14:$D$113,E75+1))</x:f>
        <x:v>63000</x:v>
      </x:c>
      <x:c r="H75" s="23" t="str">
        <x:f aca="0">IF(D75="否","特殊样本，仅迁移展示；不参与档位与分布统计",IF(C75=0,"有效存量CP；CP累计字段为0，需核验迁移",IF(C75&lt;1000,"有效存量CP；低于新门槛，统一映射Lv1","")))</x:f>
      </x:c>
    </x:row>
    <x:row r="76" ht="19" hidden="0" customHeight="1">
      <x:c r="A76" s="1" t="n">
        <x:v>70</x:v>
      </x:c>
      <x:c r="B76" s="23" t="s">
        <x:v>681</x:v>
      </x:c>
      <x:c r="C76" s="24" t="n">
        <x:v>61538</x:v>
      </x:c>
      <x:c r="D76" s="1" t="s">
        <x:v>613</x:v>
      </x:c>
      <x:c r="E76" s="78" t="n">
        <x:f aca="0">IF(C76&lt;等级门槛!$D$14,1,MATCH(C76,等级门槛!$D$14:$D$113,1))</x:f>
        <x:v>30</x:v>
      </x:c>
      <x:c r="F76" s="79" t="n">
        <x:f aca="0">MIN(5,ROUNDUP(E76/20,0))</x:f>
        <x:v>2</x:v>
      </x:c>
      <x:c r="G76" s="24" t="n">
        <x:f aca="0">IF(E76=100,"已达Lv100",INDEX(等级门槛!$D$14:$D$113,E76+1))</x:f>
        <x:v>63000</x:v>
      </x:c>
      <x:c r="H76" s="23" t="str">
        <x:f aca="0">IF(D76="否","特殊样本，仅迁移展示；不参与档位与分布统计",IF(C76=0,"有效存量CP；CP累计字段为0，需核验迁移",IF(C76&lt;1000,"有效存量CP；低于新门槛，统一映射Lv1","")))</x:f>
      </x:c>
    </x:row>
    <x:row r="77" ht="19" hidden="0" customHeight="1">
      <x:c r="A77" s="1" t="n">
        <x:v>71</x:v>
      </x:c>
      <x:c r="B77" s="23" t="s">
        <x:v>682</x:v>
      </x:c>
      <x:c r="C77" s="24" t="n">
        <x:v>55198</x:v>
      </x:c>
      <x:c r="D77" s="1" t="s">
        <x:v>613</x:v>
      </x:c>
      <x:c r="E77" s="78" t="n">
        <x:f aca="0">IF(C77&lt;等级门槛!$D$14,1,MATCH(C77,等级门槛!$D$14:$D$113,1))</x:f>
        <x:v>29</x:v>
      </x:c>
      <x:c r="F77" s="79" t="n">
        <x:f aca="0">MIN(5,ROUNDUP(E77/20,0))</x:f>
        <x:v>2</x:v>
      </x:c>
      <x:c r="G77" s="24" t="n">
        <x:f aca="0">IF(E77=100,"已达Lv100",INDEX(等级门槛!$D$14:$D$113,E77+1))</x:f>
        <x:v>57700</x:v>
      </x:c>
      <x:c r="H77" s="23" t="str">
        <x:f aca="0">IF(D77="否","特殊样本，仅迁移展示；不参与档位与分布统计",IF(C77=0,"有效存量CP；CP累计字段为0，需核验迁移",IF(C77&lt;1000,"有效存量CP；低于新门槛，统一映射Lv1","")))</x:f>
      </x:c>
    </x:row>
    <x:row r="78" ht="19" hidden="0" customHeight="1">
      <x:c r="A78" s="1" t="n">
        <x:v>72</x:v>
      </x:c>
      <x:c r="B78" s="23" t="s">
        <x:v>683</x:v>
      </x:c>
      <x:c r="C78" s="24" t="n">
        <x:v>53982</x:v>
      </x:c>
      <x:c r="D78" s="1" t="s">
        <x:v>613</x:v>
      </x:c>
      <x:c r="E78" s="78" t="n">
        <x:f aca="0">IF(C78&lt;等级门槛!$D$14,1,MATCH(C78,等级门槛!$D$14:$D$113,1))</x:f>
        <x:v>29</x:v>
      </x:c>
      <x:c r="F78" s="79" t="n">
        <x:f aca="0">MIN(5,ROUNDUP(E78/20,0))</x:f>
        <x:v>2</x:v>
      </x:c>
      <x:c r="G78" s="24" t="n">
        <x:f aca="0">IF(E78=100,"已达Lv100",INDEX(等级门槛!$D$14:$D$113,E78+1))</x:f>
        <x:v>57700</x:v>
      </x:c>
      <x:c r="H78" s="23" t="str">
        <x:f aca="0">IF(D78="否","特殊样本，仅迁移展示；不参与档位与分布统计",IF(C78=0,"有效存量CP；CP累计字段为0，需核验迁移",IF(C78&lt;1000,"有效存量CP；低于新门槛，统一映射Lv1","")))</x:f>
      </x:c>
    </x:row>
    <x:row r="79" ht="19" hidden="0" customHeight="1">
      <x:c r="A79" s="1" t="n">
        <x:v>73</x:v>
      </x:c>
      <x:c r="B79" s="23" t="s">
        <x:v>684</x:v>
      </x:c>
      <x:c r="C79" s="24" t="n">
        <x:v>53797</x:v>
      </x:c>
      <x:c r="D79" s="1" t="s">
        <x:v>613</x:v>
      </x:c>
      <x:c r="E79" s="78" t="n">
        <x:f aca="0">IF(C79&lt;等级门槛!$D$14,1,MATCH(C79,等级门槛!$D$14:$D$113,1))</x:f>
        <x:v>29</x:v>
      </x:c>
      <x:c r="F79" s="79" t="n">
        <x:f aca="0">MIN(5,ROUNDUP(E79/20,0))</x:f>
        <x:v>2</x:v>
      </x:c>
      <x:c r="G79" s="24" t="n">
        <x:f aca="0">IF(E79=100,"已达Lv100",INDEX(等级门槛!$D$14:$D$113,E79+1))</x:f>
        <x:v>57700</x:v>
      </x:c>
      <x:c r="H79" s="23" t="str">
        <x:f aca="0">IF(D79="否","特殊样本，仅迁移展示；不参与档位与分布统计",IF(C79=0,"有效存量CP；CP累计字段为0，需核验迁移",IF(C79&lt;1000,"有效存量CP；低于新门槛，统一映射Lv1","")))</x:f>
      </x:c>
    </x:row>
    <x:row r="80" ht="19" hidden="0" customHeight="1">
      <x:c r="A80" s="1" t="n">
        <x:v>74</x:v>
      </x:c>
      <x:c r="B80" s="23" t="s">
        <x:v>685</x:v>
      </x:c>
      <x:c r="C80" s="24" t="n">
        <x:v>52308</x:v>
      </x:c>
      <x:c r="D80" s="1" t="s">
        <x:v>613</x:v>
      </x:c>
      <x:c r="E80" s="78" t="n">
        <x:f aca="0">IF(C80&lt;等级门槛!$D$14,1,MATCH(C80,等级门槛!$D$14:$D$113,1))</x:f>
        <x:v>28</x:v>
      </x:c>
      <x:c r="F80" s="79" t="n">
        <x:f aca="0">MIN(5,ROUNDUP(E80/20,0))</x:f>
        <x:v>2</x:v>
      </x:c>
      <x:c r="G80" s="24" t="n">
        <x:f aca="0">IF(E80=100,"已达Lv100",INDEX(等级门槛!$D$14:$D$113,E80+1))</x:f>
        <x:v>52800</x:v>
      </x:c>
      <x:c r="H80" s="23" t="str">
        <x:f aca="0">IF(D80="否","特殊样本，仅迁移展示；不参与档位与分布统计",IF(C80=0,"有效存量CP；CP累计字段为0，需核验迁移",IF(C80&lt;1000,"有效存量CP；低于新门槛，统一映射Lv1","")))</x:f>
      </x:c>
    </x:row>
    <x:row r="81" ht="19" hidden="0" customHeight="1">
      <x:c r="A81" s="1" t="n">
        <x:v>75</x:v>
      </x:c>
      <x:c r="B81" s="23" t="s">
        <x:v>686</x:v>
      </x:c>
      <x:c r="C81" s="24" t="n">
        <x:v>51224</x:v>
      </x:c>
      <x:c r="D81" s="1" t="s">
        <x:v>613</x:v>
      </x:c>
      <x:c r="E81" s="78" t="n">
        <x:f aca="0">IF(C81&lt;等级门槛!$D$14,1,MATCH(C81,等级门槛!$D$14:$D$113,1))</x:f>
        <x:v>28</x:v>
      </x:c>
      <x:c r="F81" s="79" t="n">
        <x:f aca="0">MIN(5,ROUNDUP(E81/20,0))</x:f>
        <x:v>2</x:v>
      </x:c>
      <x:c r="G81" s="24" t="n">
        <x:f aca="0">IF(E81=100,"已达Lv100",INDEX(等级门槛!$D$14:$D$113,E81+1))</x:f>
        <x:v>52800</x:v>
      </x:c>
      <x:c r="H81" s="23" t="str">
        <x:f aca="0">IF(D81="否","特殊样本，仅迁移展示；不参与档位与分布统计",IF(C81=0,"有效存量CP；CP累计字段为0，需核验迁移",IF(C81&lt;1000,"有效存量CP；低于新门槛，统一映射Lv1","")))</x:f>
      </x:c>
    </x:row>
    <x:row r="82" ht="19" hidden="0" customHeight="1">
      <x:c r="A82" s="1" t="n">
        <x:v>76</x:v>
      </x:c>
      <x:c r="B82" s="23" t="s">
        <x:v>687</x:v>
      </x:c>
      <x:c r="C82" s="24" t="n">
        <x:v>49792</x:v>
      </x:c>
      <x:c r="D82" s="1" t="s">
        <x:v>613</x:v>
      </x:c>
      <x:c r="E82" s="78" t="n">
        <x:f aca="0">IF(C82&lt;等级门槛!$D$14,1,MATCH(C82,等级门槛!$D$14:$D$113,1))</x:f>
        <x:v>28</x:v>
      </x:c>
      <x:c r="F82" s="79" t="n">
        <x:f aca="0">MIN(5,ROUNDUP(E82/20,0))</x:f>
        <x:v>2</x:v>
      </x:c>
      <x:c r="G82" s="24" t="n">
        <x:f aca="0">IF(E82=100,"已达Lv100",INDEX(等级门槛!$D$14:$D$113,E82+1))</x:f>
        <x:v>52800</x:v>
      </x:c>
      <x:c r="H82" s="23" t="str">
        <x:f aca="0">IF(D82="否","特殊样本，仅迁移展示；不参与档位与分布统计",IF(C82=0,"有效存量CP；CP累计字段为0，需核验迁移",IF(C82&lt;1000,"有效存量CP；低于新门槛，统一映射Lv1","")))</x:f>
      </x:c>
    </x:row>
    <x:row r="83" ht="19" hidden="0" customHeight="1">
      <x:c r="A83" s="1" t="n">
        <x:v>77</x:v>
      </x:c>
      <x:c r="B83" s="23" t="s">
        <x:v>688</x:v>
      </x:c>
      <x:c r="C83" s="24" t="n">
        <x:v>49732</x:v>
      </x:c>
      <x:c r="D83" s="1" t="s">
        <x:v>613</x:v>
      </x:c>
      <x:c r="E83" s="78" t="n">
        <x:f aca="0">IF(C83&lt;等级门槛!$D$14,1,MATCH(C83,等级门槛!$D$14:$D$113,1))</x:f>
        <x:v>28</x:v>
      </x:c>
      <x:c r="F83" s="79" t="n">
        <x:f aca="0">MIN(5,ROUNDUP(E83/20,0))</x:f>
        <x:v>2</x:v>
      </x:c>
      <x:c r="G83" s="24" t="n">
        <x:f aca="0">IF(E83=100,"已达Lv100",INDEX(等级门槛!$D$14:$D$113,E83+1))</x:f>
        <x:v>52800</x:v>
      </x:c>
      <x:c r="H83" s="23" t="str">
        <x:f aca="0">IF(D83="否","特殊样本，仅迁移展示；不参与档位与分布统计",IF(C83=0,"有效存量CP；CP累计字段为0，需核验迁移",IF(C83&lt;1000,"有效存量CP；低于新门槛，统一映射Lv1","")))</x:f>
      </x:c>
    </x:row>
    <x:row r="84" ht="19" hidden="0" customHeight="1">
      <x:c r="A84" s="1" t="n">
        <x:v>78</x:v>
      </x:c>
      <x:c r="B84" s="23" t="s">
        <x:v>689</x:v>
      </x:c>
      <x:c r="C84" s="24" t="n">
        <x:v>48347</x:v>
      </x:c>
      <x:c r="D84" s="1" t="s">
        <x:v>613</x:v>
      </x:c>
      <x:c r="E84" s="78" t="n">
        <x:f aca="0">IF(C84&lt;等级门槛!$D$14,1,MATCH(C84,等级门槛!$D$14:$D$113,1))</x:f>
        <x:v>28</x:v>
      </x:c>
      <x:c r="F84" s="79" t="n">
        <x:f aca="0">MIN(5,ROUNDUP(E84/20,0))</x:f>
        <x:v>2</x:v>
      </x:c>
      <x:c r="G84" s="24" t="n">
        <x:f aca="0">IF(E84=100,"已达Lv100",INDEX(等级门槛!$D$14:$D$113,E84+1))</x:f>
        <x:v>52800</x:v>
      </x:c>
      <x:c r="H84" s="23" t="str">
        <x:f aca="0">IF(D84="否","特殊样本，仅迁移展示；不参与档位与分布统计",IF(C84=0,"有效存量CP；CP累计字段为0，需核验迁移",IF(C84&lt;1000,"有效存量CP；低于新门槛，统一映射Lv1","")))</x:f>
      </x:c>
    </x:row>
    <x:row r="85" ht="19" hidden="0" customHeight="1">
      <x:c r="A85" s="1" t="n">
        <x:v>79</x:v>
      </x:c>
      <x:c r="B85" s="23" t="s">
        <x:v>690</x:v>
      </x:c>
      <x:c r="C85" s="24" t="n">
        <x:v>47232</x:v>
      </x:c>
      <x:c r="D85" s="1" t="s">
        <x:v>613</x:v>
      </x:c>
      <x:c r="E85" s="78" t="n">
        <x:f aca="0">IF(C85&lt;等级门槛!$D$14,1,MATCH(C85,等级门槛!$D$14:$D$113,1))</x:f>
        <x:v>27</x:v>
      </x:c>
      <x:c r="F85" s="79" t="n">
        <x:f aca="0">MIN(5,ROUNDUP(E85/20,0))</x:f>
        <x:v>2</x:v>
      </x:c>
      <x:c r="G85" s="24" t="n">
        <x:f aca="0">IF(E85=100,"已达Lv100",INDEX(等级门槛!$D$14:$D$113,E85+1))</x:f>
        <x:v>48300</x:v>
      </x:c>
      <x:c r="H85" s="23" t="str">
        <x:f aca="0">IF(D85="否","特殊样本，仅迁移展示；不参与档位与分布统计",IF(C85=0,"有效存量CP；CP累计字段为0，需核验迁移",IF(C85&lt;1000,"有效存量CP；低于新门槛，统一映射Lv1","")))</x:f>
      </x:c>
    </x:row>
    <x:row r="86" ht="19" hidden="0" customHeight="1">
      <x:c r="A86" s="1" t="n">
        <x:v>80</x:v>
      </x:c>
      <x:c r="B86" s="23" t="s">
        <x:v>691</x:v>
      </x:c>
      <x:c r="C86" s="24" t="n">
        <x:v>46818</x:v>
      </x:c>
      <x:c r="D86" s="1" t="s">
        <x:v>613</x:v>
      </x:c>
      <x:c r="E86" s="78" t="n">
        <x:f aca="0">IF(C86&lt;等级门槛!$D$14,1,MATCH(C86,等级门槛!$D$14:$D$113,1))</x:f>
        <x:v>27</x:v>
      </x:c>
      <x:c r="F86" s="79" t="n">
        <x:f aca="0">MIN(5,ROUNDUP(E86/20,0))</x:f>
        <x:v>2</x:v>
      </x:c>
      <x:c r="G86" s="24" t="n">
        <x:f aca="0">IF(E86=100,"已达Lv100",INDEX(等级门槛!$D$14:$D$113,E86+1))</x:f>
        <x:v>48300</x:v>
      </x:c>
      <x:c r="H86" s="23" t="str">
        <x:f aca="0">IF(D86="否","特殊样本，仅迁移展示；不参与档位与分布统计",IF(C86=0,"有效存量CP；CP累计字段为0，需核验迁移",IF(C86&lt;1000,"有效存量CP；低于新门槛，统一映射Lv1","")))</x:f>
      </x:c>
    </x:row>
    <x:row r="87" ht="19" hidden="0" customHeight="1">
      <x:c r="A87" s="1" t="n">
        <x:v>81</x:v>
      </x:c>
      <x:c r="B87" s="23" t="s">
        <x:v>692</x:v>
      </x:c>
      <x:c r="C87" s="24" t="n">
        <x:v>46745</x:v>
      </x:c>
      <x:c r="D87" s="1" t="s">
        <x:v>613</x:v>
      </x:c>
      <x:c r="E87" s="78" t="n">
        <x:f aca="0">IF(C87&lt;等级门槛!$D$14,1,MATCH(C87,等级门槛!$D$14:$D$113,1))</x:f>
        <x:v>27</x:v>
      </x:c>
      <x:c r="F87" s="79" t="n">
        <x:f aca="0">MIN(5,ROUNDUP(E87/20,0))</x:f>
        <x:v>2</x:v>
      </x:c>
      <x:c r="G87" s="24" t="n">
        <x:f aca="0">IF(E87=100,"已达Lv100",INDEX(等级门槛!$D$14:$D$113,E87+1))</x:f>
        <x:v>48300</x:v>
      </x:c>
      <x:c r="H87" s="23" t="str">
        <x:f aca="0">IF(D87="否","特殊样本，仅迁移展示；不参与档位与分布统计",IF(C87=0,"有效存量CP；CP累计字段为0，需核验迁移",IF(C87&lt;1000,"有效存量CP；低于新门槛，统一映射Lv1","")))</x:f>
      </x:c>
    </x:row>
    <x:row r="88" ht="19" hidden="0" customHeight="1">
      <x:c r="A88" s="1" t="n">
        <x:v>82</x:v>
      </x:c>
      <x:c r="B88" s="23" t="s">
        <x:v>693</x:v>
      </x:c>
      <x:c r="C88" s="24" t="n">
        <x:v>45986</x:v>
      </x:c>
      <x:c r="D88" s="1" t="s">
        <x:v>613</x:v>
      </x:c>
      <x:c r="E88" s="78" t="n">
        <x:f aca="0">IF(C88&lt;等级门槛!$D$14,1,MATCH(C88,等级门槛!$D$14:$D$113,1))</x:f>
        <x:v>27</x:v>
      </x:c>
      <x:c r="F88" s="79" t="n">
        <x:f aca="0">MIN(5,ROUNDUP(E88/20,0))</x:f>
        <x:v>2</x:v>
      </x:c>
      <x:c r="G88" s="24" t="n">
        <x:f aca="0">IF(E88=100,"已达Lv100",INDEX(等级门槛!$D$14:$D$113,E88+1))</x:f>
        <x:v>48300</x:v>
      </x:c>
      <x:c r="H88" s="23" t="str">
        <x:f aca="0">IF(D88="否","特殊样本，仅迁移展示；不参与档位与分布统计",IF(C88=0,"有效存量CP；CP累计字段为0，需核验迁移",IF(C88&lt;1000,"有效存量CP；低于新门槛，统一映射Lv1","")))</x:f>
      </x:c>
    </x:row>
    <x:row r="89" ht="19" hidden="0" customHeight="1">
      <x:c r="A89" s="1" t="n">
        <x:v>83</x:v>
      </x:c>
      <x:c r="B89" s="23" t="s">
        <x:v>694</x:v>
      </x:c>
      <x:c r="C89" s="24" t="n">
        <x:v>45026</x:v>
      </x:c>
      <x:c r="D89" s="1" t="s">
        <x:v>613</x:v>
      </x:c>
      <x:c r="E89" s="78" t="n">
        <x:f aca="0">IF(C89&lt;等级门槛!$D$14,1,MATCH(C89,等级门槛!$D$14:$D$113,1))</x:f>
        <x:v>27</x:v>
      </x:c>
      <x:c r="F89" s="79" t="n">
        <x:f aca="0">MIN(5,ROUNDUP(E89/20,0))</x:f>
        <x:v>2</x:v>
      </x:c>
      <x:c r="G89" s="24" t="n">
        <x:f aca="0">IF(E89=100,"已达Lv100",INDEX(等级门槛!$D$14:$D$113,E89+1))</x:f>
        <x:v>48300</x:v>
      </x:c>
      <x:c r="H89" s="23" t="str">
        <x:f aca="0">IF(D89="否","特殊样本，仅迁移展示；不参与档位与分布统计",IF(C89=0,"有效存量CP；CP累计字段为0，需核验迁移",IF(C89&lt;1000,"有效存量CP；低于新门槛，统一映射Lv1","")))</x:f>
      </x:c>
    </x:row>
    <x:row r="90" ht="19" hidden="0" customHeight="1">
      <x:c r="A90" s="1" t="n">
        <x:v>84</x:v>
      </x:c>
      <x:c r="B90" s="23" t="s">
        <x:v>695</x:v>
      </x:c>
      <x:c r="C90" s="24" t="n">
        <x:v>44284</x:v>
      </x:c>
      <x:c r="D90" s="1" t="s">
        <x:v>613</x:v>
      </x:c>
      <x:c r="E90" s="78" t="n">
        <x:f aca="0">IF(C90&lt;等级门槛!$D$14,1,MATCH(C90,等级门槛!$D$14:$D$113,1))</x:f>
        <x:v>27</x:v>
      </x:c>
      <x:c r="F90" s="79" t="n">
        <x:f aca="0">MIN(5,ROUNDUP(E90/20,0))</x:f>
        <x:v>2</x:v>
      </x:c>
      <x:c r="G90" s="24" t="n">
        <x:f aca="0">IF(E90=100,"已达Lv100",INDEX(等级门槛!$D$14:$D$113,E90+1))</x:f>
        <x:v>48300</x:v>
      </x:c>
      <x:c r="H90" s="23" t="str">
        <x:f aca="0">IF(D90="否","特殊样本，仅迁移展示；不参与档位与分布统计",IF(C90=0,"有效存量CP；CP累计字段为0，需核验迁移",IF(C90&lt;1000,"有效存量CP；低于新门槛，统一映射Lv1","")))</x:f>
      </x:c>
    </x:row>
    <x:row r="91" ht="19" hidden="0" customHeight="1">
      <x:c r="A91" s="1" t="n">
        <x:v>85</x:v>
      </x:c>
      <x:c r="B91" s="23" t="s">
        <x:v>696</x:v>
      </x:c>
      <x:c r="C91" s="24" t="n">
        <x:v>43764</x:v>
      </x:c>
      <x:c r="D91" s="1" t="s">
        <x:v>613</x:v>
      </x:c>
      <x:c r="E91" s="78" t="n">
        <x:f aca="0">IF(C91&lt;等级门槛!$D$14,1,MATCH(C91,等级门槛!$D$14:$D$113,1))</x:f>
        <x:v>26</x:v>
      </x:c>
      <x:c r="F91" s="79" t="n">
        <x:f aca="0">MIN(5,ROUNDUP(E91/20,0))</x:f>
        <x:v>2</x:v>
      </x:c>
      <x:c r="G91" s="24" t="n">
        <x:f aca="0">IF(E91=100,"已达Lv100",INDEX(等级门槛!$D$14:$D$113,E91+1))</x:f>
        <x:v>44100</x:v>
      </x:c>
      <x:c r="H91" s="23" t="str">
        <x:f aca="0">IF(D91="否","特殊样本，仅迁移展示；不参与档位与分布统计",IF(C91=0,"有效存量CP；CP累计字段为0，需核验迁移",IF(C91&lt;1000,"有效存量CP；低于新门槛，统一映射Lv1","")))</x:f>
      </x:c>
    </x:row>
    <x:row r="92" ht="19" hidden="0" customHeight="1">
      <x:c r="A92" s="1" t="n">
        <x:v>86</x:v>
      </x:c>
      <x:c r="B92" s="23" t="s">
        <x:v>697</x:v>
      </x:c>
      <x:c r="C92" s="24" t="n">
        <x:v>42962</x:v>
      </x:c>
      <x:c r="D92" s="1" t="s">
        <x:v>613</x:v>
      </x:c>
      <x:c r="E92" s="78" t="n">
        <x:f aca="0">IF(C92&lt;等级门槛!$D$14,1,MATCH(C92,等级门槛!$D$14:$D$113,1))</x:f>
        <x:v>26</x:v>
      </x:c>
      <x:c r="F92" s="79" t="n">
        <x:f aca="0">MIN(5,ROUNDUP(E92/20,0))</x:f>
        <x:v>2</x:v>
      </x:c>
      <x:c r="G92" s="24" t="n">
        <x:f aca="0">IF(E92=100,"已达Lv100",INDEX(等级门槛!$D$14:$D$113,E92+1))</x:f>
        <x:v>44100</x:v>
      </x:c>
      <x:c r="H92" s="23" t="str">
        <x:f aca="0">IF(D92="否","特殊样本，仅迁移展示；不参与档位与分布统计",IF(C92=0,"有效存量CP；CP累计字段为0，需核验迁移",IF(C92&lt;1000,"有效存量CP；低于新门槛，统一映射Lv1","")))</x:f>
      </x:c>
    </x:row>
    <x:row r="93" ht="19" hidden="0" customHeight="1">
      <x:c r="A93" s="1" t="n">
        <x:v>87</x:v>
      </x:c>
      <x:c r="B93" s="23" t="s">
        <x:v>698</x:v>
      </x:c>
      <x:c r="C93" s="24" t="n">
        <x:v>42674</x:v>
      </x:c>
      <x:c r="D93" s="1" t="s">
        <x:v>613</x:v>
      </x:c>
      <x:c r="E93" s="78" t="n">
        <x:f aca="0">IF(C93&lt;等级门槛!$D$14,1,MATCH(C93,等级门槛!$D$14:$D$113,1))</x:f>
        <x:v>26</x:v>
      </x:c>
      <x:c r="F93" s="79" t="n">
        <x:f aca="0">MIN(5,ROUNDUP(E93/20,0))</x:f>
        <x:v>2</x:v>
      </x:c>
      <x:c r="G93" s="24" t="n">
        <x:f aca="0">IF(E93=100,"已达Lv100",INDEX(等级门槛!$D$14:$D$113,E93+1))</x:f>
        <x:v>44100</x:v>
      </x:c>
      <x:c r="H93" s="23" t="str">
        <x:f aca="0">IF(D93="否","特殊样本，仅迁移展示；不参与档位与分布统计",IF(C93=0,"有效存量CP；CP累计字段为0，需核验迁移",IF(C93&lt;1000,"有效存量CP；低于新门槛，统一映射Lv1","")))</x:f>
      </x:c>
    </x:row>
    <x:row r="94" ht="19" hidden="0" customHeight="1">
      <x:c r="A94" s="1" t="n">
        <x:v>88</x:v>
      </x:c>
      <x:c r="B94" s="23" t="s">
        <x:v>699</x:v>
      </x:c>
      <x:c r="C94" s="24" t="n">
        <x:v>42555</x:v>
      </x:c>
      <x:c r="D94" s="1" t="s">
        <x:v>613</x:v>
      </x:c>
      <x:c r="E94" s="78" t="n">
        <x:f aca="0">IF(C94&lt;等级门槛!$D$14,1,MATCH(C94,等级门槛!$D$14:$D$113,1))</x:f>
        <x:v>26</x:v>
      </x:c>
      <x:c r="F94" s="79" t="n">
        <x:f aca="0">MIN(5,ROUNDUP(E94/20,0))</x:f>
        <x:v>2</x:v>
      </x:c>
      <x:c r="G94" s="24" t="n">
        <x:f aca="0">IF(E94=100,"已达Lv100",INDEX(等级门槛!$D$14:$D$113,E94+1))</x:f>
        <x:v>44100</x:v>
      </x:c>
      <x:c r="H94" s="23" t="str">
        <x:f aca="0">IF(D94="否","特殊样本，仅迁移展示；不参与档位与分布统计",IF(C94=0,"有效存量CP；CP累计字段为0，需核验迁移",IF(C94&lt;1000,"有效存量CP；低于新门槛，统一映射Lv1","")))</x:f>
      </x:c>
    </x:row>
    <x:row r="95" ht="19" hidden="0" customHeight="1">
      <x:c r="A95" s="1" t="n">
        <x:v>89</x:v>
      </x:c>
      <x:c r="B95" s="23" t="s">
        <x:v>700</x:v>
      </x:c>
      <x:c r="C95" s="24" t="n">
        <x:v>41073</x:v>
      </x:c>
      <x:c r="D95" s="1" t="s">
        <x:v>613</x:v>
      </x:c>
      <x:c r="E95" s="78" t="n">
        <x:f aca="0">IF(C95&lt;等级门槛!$D$14,1,MATCH(C95,等级门槛!$D$14:$D$113,1))</x:f>
        <x:v>26</x:v>
      </x:c>
      <x:c r="F95" s="79" t="n">
        <x:f aca="0">MIN(5,ROUNDUP(E95/20,0))</x:f>
        <x:v>2</x:v>
      </x:c>
      <x:c r="G95" s="24" t="n">
        <x:f aca="0">IF(E95=100,"已达Lv100",INDEX(等级门槛!$D$14:$D$113,E95+1))</x:f>
        <x:v>44100</x:v>
      </x:c>
      <x:c r="H95" s="23" t="str">
        <x:f aca="0">IF(D95="否","特殊样本，仅迁移展示；不参与档位与分布统计",IF(C95=0,"有效存量CP；CP累计字段为0，需核验迁移",IF(C95&lt;1000,"有效存量CP；低于新门槛，统一映射Lv1","")))</x:f>
      </x:c>
    </x:row>
    <x:row r="96" ht="19" hidden="0" customHeight="1">
      <x:c r="A96" s="1" t="n">
        <x:v>90</x:v>
      </x:c>
      <x:c r="B96" s="23" t="s">
        <x:v>701</x:v>
      </x:c>
      <x:c r="C96" s="24" t="n">
        <x:v>41017</x:v>
      </x:c>
      <x:c r="D96" s="1" t="s">
        <x:v>613</x:v>
      </x:c>
      <x:c r="E96" s="78" t="n">
        <x:f aca="0">IF(C96&lt;等级门槛!$D$14,1,MATCH(C96,等级门槛!$D$14:$D$113,1))</x:f>
        <x:v>26</x:v>
      </x:c>
      <x:c r="F96" s="79" t="n">
        <x:f aca="0">MIN(5,ROUNDUP(E96/20,0))</x:f>
        <x:v>2</x:v>
      </x:c>
      <x:c r="G96" s="24" t="n">
        <x:f aca="0">IF(E96=100,"已达Lv100",INDEX(等级门槛!$D$14:$D$113,E96+1))</x:f>
        <x:v>44100</x:v>
      </x:c>
      <x:c r="H96" s="23" t="str">
        <x:f aca="0">IF(D96="否","特殊样本，仅迁移展示；不参与档位与分布统计",IF(C96=0,"有效存量CP；CP累计字段为0，需核验迁移",IF(C96&lt;1000,"有效存量CP；低于新门槛，统一映射Lv1","")))</x:f>
      </x:c>
    </x:row>
    <x:row r="97" ht="19" hidden="0" customHeight="1">
      <x:c r="A97" s="1" t="n">
        <x:v>91</x:v>
      </x:c>
      <x:c r="B97" s="23" t="s">
        <x:v>702</x:v>
      </x:c>
      <x:c r="C97" s="24" t="n">
        <x:v>40576</x:v>
      </x:c>
      <x:c r="D97" s="1" t="s">
        <x:v>613</x:v>
      </x:c>
      <x:c r="E97" s="78" t="n">
        <x:f aca="0">IF(C97&lt;等级门槛!$D$14,1,MATCH(C97,等级门槛!$D$14:$D$113,1))</x:f>
        <x:v>26</x:v>
      </x:c>
      <x:c r="F97" s="79" t="n">
        <x:f aca="0">MIN(5,ROUNDUP(E97/20,0))</x:f>
        <x:v>2</x:v>
      </x:c>
      <x:c r="G97" s="24" t="n">
        <x:f aca="0">IF(E97=100,"已达Lv100",INDEX(等级门槛!$D$14:$D$113,E97+1))</x:f>
        <x:v>44100</x:v>
      </x:c>
      <x:c r="H97" s="23" t="str">
        <x:f aca="0">IF(D97="否","特殊样本，仅迁移展示；不参与档位与分布统计",IF(C97=0,"有效存量CP；CP累计字段为0，需核验迁移",IF(C97&lt;1000,"有效存量CP；低于新门槛，统一映射Lv1","")))</x:f>
      </x:c>
    </x:row>
    <x:row r="98" ht="19" hidden="0" customHeight="1">
      <x:c r="A98" s="1" t="n">
        <x:v>92</x:v>
      </x:c>
      <x:c r="B98" s="23" t="s">
        <x:v>703</x:v>
      </x:c>
      <x:c r="C98" s="24" t="n">
        <x:v>40423</x:v>
      </x:c>
      <x:c r="D98" s="1" t="s">
        <x:v>613</x:v>
      </x:c>
      <x:c r="E98" s="78" t="n">
        <x:f aca="0">IF(C98&lt;等级门槛!$D$14,1,MATCH(C98,等级门槛!$D$14:$D$113,1))</x:f>
        <x:v>26</x:v>
      </x:c>
      <x:c r="F98" s="79" t="n">
        <x:f aca="0">MIN(5,ROUNDUP(E98/20,0))</x:f>
        <x:v>2</x:v>
      </x:c>
      <x:c r="G98" s="24" t="n">
        <x:f aca="0">IF(E98=100,"已达Lv100",INDEX(等级门槛!$D$14:$D$113,E98+1))</x:f>
        <x:v>44100</x:v>
      </x:c>
      <x:c r="H98" s="23" t="str">
        <x:f aca="0">IF(D98="否","特殊样本，仅迁移展示；不参与档位与分布统计",IF(C98=0,"有效存量CP；CP累计字段为0，需核验迁移",IF(C98&lt;1000,"有效存量CP；低于新门槛，统一映射Lv1","")))</x:f>
      </x:c>
    </x:row>
    <x:row r="99" ht="19" hidden="0" customHeight="1">
      <x:c r="A99" s="1" t="n">
        <x:v>93</x:v>
      </x:c>
      <x:c r="B99" s="23" t="s">
        <x:v>704</x:v>
      </x:c>
      <x:c r="C99" s="24" t="n">
        <x:v>40357</x:v>
      </x:c>
      <x:c r="D99" s="1" t="s">
        <x:v>613</x:v>
      </x:c>
      <x:c r="E99" s="78" t="n">
        <x:f aca="0">IF(C99&lt;等级门槛!$D$14,1,MATCH(C99,等级门槛!$D$14:$D$113,1))</x:f>
        <x:v>26</x:v>
      </x:c>
      <x:c r="F99" s="79" t="n">
        <x:f aca="0">MIN(5,ROUNDUP(E99/20,0))</x:f>
        <x:v>2</x:v>
      </x:c>
      <x:c r="G99" s="24" t="n">
        <x:f aca="0">IF(E99=100,"已达Lv100",INDEX(等级门槛!$D$14:$D$113,E99+1))</x:f>
        <x:v>44100</x:v>
      </x:c>
      <x:c r="H99" s="23" t="str">
        <x:f aca="0">IF(D99="否","特殊样本，仅迁移展示；不参与档位与分布统计",IF(C99=0,"有效存量CP；CP累计字段为0，需核验迁移",IF(C99&lt;1000,"有效存量CP；低于新门槛，统一映射Lv1","")))</x:f>
      </x:c>
    </x:row>
    <x:row r="100" ht="19" hidden="0" customHeight="1">
      <x:c r="A100" s="1" t="n">
        <x:v>94</x:v>
      </x:c>
      <x:c r="B100" s="23" t="s">
        <x:v>705</x:v>
      </x:c>
      <x:c r="C100" s="24" t="n">
        <x:v>39968</x:v>
      </x:c>
      <x:c r="D100" s="1" t="s">
        <x:v>613</x:v>
      </x:c>
      <x:c r="E100" s="78" t="n">
        <x:f aca="0">IF(C100&lt;等级门槛!$D$14,1,MATCH(C100,等级门槛!$D$14:$D$113,1))</x:f>
        <x:v>25</x:v>
      </x:c>
      <x:c r="F100" s="79" t="n">
        <x:f aca="0">MIN(5,ROUNDUP(E100/20,0))</x:f>
        <x:v>2</x:v>
      </x:c>
      <x:c r="G100" s="24" t="n">
        <x:f aca="0">IF(E100=100,"已达Lv100",INDEX(等级门槛!$D$14:$D$113,E100+1))</x:f>
        <x:v>40300</x:v>
      </x:c>
      <x:c r="H100" s="23" t="str">
        <x:f aca="0">IF(D100="否","特殊样本，仅迁移展示；不参与档位与分布统计",IF(C100=0,"有效存量CP；CP累计字段为0，需核验迁移",IF(C100&lt;1000,"有效存量CP；低于新门槛，统一映射Lv1","")))</x:f>
      </x:c>
    </x:row>
    <x:row r="101" ht="19" hidden="0" customHeight="1">
      <x:c r="A101" s="1" t="n">
        <x:v>95</x:v>
      </x:c>
      <x:c r="B101" s="23" t="s">
        <x:v>706</x:v>
      </x:c>
      <x:c r="C101" s="24" t="n">
        <x:v>38781</x:v>
      </x:c>
      <x:c r="D101" s="1" t="s">
        <x:v>613</x:v>
      </x:c>
      <x:c r="E101" s="78" t="n">
        <x:f aca="0">IF(C101&lt;等级门槛!$D$14,1,MATCH(C101,等级门槛!$D$14:$D$113,1))</x:f>
        <x:v>25</x:v>
      </x:c>
      <x:c r="F101" s="79" t="n">
        <x:f aca="0">MIN(5,ROUNDUP(E101/20,0))</x:f>
        <x:v>2</x:v>
      </x:c>
      <x:c r="G101" s="24" t="n">
        <x:f aca="0">IF(E101=100,"已达Lv100",INDEX(等级门槛!$D$14:$D$113,E101+1))</x:f>
        <x:v>40300</x:v>
      </x:c>
      <x:c r="H101" s="23" t="str">
        <x:f aca="0">IF(D101="否","特殊样本，仅迁移展示；不参与档位与分布统计",IF(C101=0,"有效存量CP；CP累计字段为0，需核验迁移",IF(C101&lt;1000,"有效存量CP；低于新门槛，统一映射Lv1","")))</x:f>
      </x:c>
    </x:row>
    <x:row r="102" ht="19" hidden="0" customHeight="1">
      <x:c r="A102" s="1" t="n">
        <x:v>96</x:v>
      </x:c>
      <x:c r="B102" s="23" t="s">
        <x:v>707</x:v>
      </x:c>
      <x:c r="C102" s="24" t="n">
        <x:v>38409</x:v>
      </x:c>
      <x:c r="D102" s="1" t="s">
        <x:v>613</x:v>
      </x:c>
      <x:c r="E102" s="78" t="n">
        <x:f aca="0">IF(C102&lt;等级门槛!$D$14,1,MATCH(C102,等级门槛!$D$14:$D$113,1))</x:f>
        <x:v>25</x:v>
      </x:c>
      <x:c r="F102" s="79" t="n">
        <x:f aca="0">MIN(5,ROUNDUP(E102/20,0))</x:f>
        <x:v>2</x:v>
      </x:c>
      <x:c r="G102" s="24" t="n">
        <x:f aca="0">IF(E102=100,"已达Lv100",INDEX(等级门槛!$D$14:$D$113,E102+1))</x:f>
        <x:v>40300</x:v>
      </x:c>
      <x:c r="H102" s="23" t="str">
        <x:f aca="0">IF(D102="否","特殊样本，仅迁移展示；不参与档位与分布统计",IF(C102=0,"有效存量CP；CP累计字段为0，需核验迁移",IF(C102&lt;1000,"有效存量CP；低于新门槛，统一映射Lv1","")))</x:f>
      </x:c>
    </x:row>
    <x:row r="103" ht="19" hidden="0" customHeight="1">
      <x:c r="A103" s="1" t="n">
        <x:v>97</x:v>
      </x:c>
      <x:c r="B103" s="23" t="s">
        <x:v>708</x:v>
      </x:c>
      <x:c r="C103" s="24" t="n">
        <x:v>37751</x:v>
      </x:c>
      <x:c r="D103" s="1" t="s">
        <x:v>613</x:v>
      </x:c>
      <x:c r="E103" s="78" t="n">
        <x:f aca="0">IF(C103&lt;等级门槛!$D$14,1,MATCH(C103,等级门槛!$D$14:$D$113,1))</x:f>
        <x:v>25</x:v>
      </x:c>
      <x:c r="F103" s="79" t="n">
        <x:f aca="0">MIN(5,ROUNDUP(E103/20,0))</x:f>
        <x:v>2</x:v>
      </x:c>
      <x:c r="G103" s="24" t="n">
        <x:f aca="0">IF(E103=100,"已达Lv100",INDEX(等级门槛!$D$14:$D$113,E103+1))</x:f>
        <x:v>40300</x:v>
      </x:c>
      <x:c r="H103" s="23" t="str">
        <x:f aca="0">IF(D103="否","特殊样本，仅迁移展示；不参与档位与分布统计",IF(C103=0,"有效存量CP；CP累计字段为0，需核验迁移",IF(C103&lt;1000,"有效存量CP；低于新门槛，统一映射Lv1","")))</x:f>
      </x:c>
    </x:row>
    <x:row r="104" ht="19" hidden="0" customHeight="1">
      <x:c r="A104" s="1" t="n">
        <x:v>98</x:v>
      </x:c>
      <x:c r="B104" s="23" t="s">
        <x:v>709</x:v>
      </x:c>
      <x:c r="C104" s="24" t="n">
        <x:v>37482</x:v>
      </x:c>
      <x:c r="D104" s="1" t="s">
        <x:v>613</x:v>
      </x:c>
      <x:c r="E104" s="78" t="n">
        <x:f aca="0">IF(C104&lt;等级门槛!$D$14,1,MATCH(C104,等级门槛!$D$14:$D$113,1))</x:f>
        <x:v>25</x:v>
      </x:c>
      <x:c r="F104" s="79" t="n">
        <x:f aca="0">MIN(5,ROUNDUP(E104/20,0))</x:f>
        <x:v>2</x:v>
      </x:c>
      <x:c r="G104" s="24" t="n">
        <x:f aca="0">IF(E104=100,"已达Lv100",INDEX(等级门槛!$D$14:$D$113,E104+1))</x:f>
        <x:v>40300</x:v>
      </x:c>
      <x:c r="H104" s="23" t="str">
        <x:f aca="0">IF(D104="否","特殊样本，仅迁移展示；不参与档位与分布统计",IF(C104=0,"有效存量CP；CP累计字段为0，需核验迁移",IF(C104&lt;1000,"有效存量CP；低于新门槛，统一映射Lv1","")))</x:f>
      </x:c>
    </x:row>
    <x:row r="105" ht="19" hidden="0" customHeight="1">
      <x:c r="A105" s="1" t="n">
        <x:v>99</x:v>
      </x:c>
      <x:c r="B105" s="23" t="s">
        <x:v>710</x:v>
      </x:c>
      <x:c r="C105" s="24" t="n">
        <x:v>37347</x:v>
      </x:c>
      <x:c r="D105" s="1" t="s">
        <x:v>613</x:v>
      </x:c>
      <x:c r="E105" s="78" t="n">
        <x:f aca="0">IF(C105&lt;等级门槛!$D$14,1,MATCH(C105,等级门槛!$D$14:$D$113,1))</x:f>
        <x:v>25</x:v>
      </x:c>
      <x:c r="F105" s="79" t="n">
        <x:f aca="0">MIN(5,ROUNDUP(E105/20,0))</x:f>
        <x:v>2</x:v>
      </x:c>
      <x:c r="G105" s="24" t="n">
        <x:f aca="0">IF(E105=100,"已达Lv100",INDEX(等级门槛!$D$14:$D$113,E105+1))</x:f>
        <x:v>40300</x:v>
      </x:c>
      <x:c r="H105" s="23" t="str">
        <x:f aca="0">IF(D105="否","特殊样本，仅迁移展示；不参与档位与分布统计",IF(C105=0,"有效存量CP；CP累计字段为0，需核验迁移",IF(C105&lt;1000,"有效存量CP；低于新门槛，统一映射Lv1","")))</x:f>
      </x:c>
    </x:row>
    <x:row r="106" ht="19" hidden="0" customHeight="1">
      <x:c r="A106" s="1" t="n">
        <x:v>100</x:v>
      </x:c>
      <x:c r="B106" s="23" t="s">
        <x:v>711</x:v>
      </x:c>
      <x:c r="C106" s="24" t="n">
        <x:v>37334</x:v>
      </x:c>
      <x:c r="D106" s="1" t="s">
        <x:v>613</x:v>
      </x:c>
      <x:c r="E106" s="78" t="n">
        <x:f aca="0">IF(C106&lt;等级门槛!$D$14,1,MATCH(C106,等级门槛!$D$14:$D$113,1))</x:f>
        <x:v>25</x:v>
      </x:c>
      <x:c r="F106" s="79" t="n">
        <x:f aca="0">MIN(5,ROUNDUP(E106/20,0))</x:f>
        <x:v>2</x:v>
      </x:c>
      <x:c r="G106" s="24" t="n">
        <x:f aca="0">IF(E106=100,"已达Lv100",INDEX(等级门槛!$D$14:$D$113,E106+1))</x:f>
        <x:v>40300</x:v>
      </x:c>
      <x:c r="H106" s="23" t="str">
        <x:f aca="0">IF(D106="否","特殊样本，仅迁移展示；不参与档位与分布统计",IF(C106=0,"有效存量CP；CP累计字段为0，需核验迁移",IF(C106&lt;1000,"有效存量CP；低于新门槛，统一映射Lv1","")))</x:f>
      </x:c>
    </x:row>
    <x:row r="107" ht="19" hidden="0" customHeight="1">
      <x:c r="A107" s="1" t="n">
        <x:v>101</x:v>
      </x:c>
      <x:c r="B107" s="23" t="s">
        <x:v>712</x:v>
      </x:c>
      <x:c r="C107" s="24" t="n">
        <x:v>36893</x:v>
      </x:c>
      <x:c r="D107" s="1" t="s">
        <x:v>613</x:v>
      </x:c>
      <x:c r="E107" s="78" t="n">
        <x:f aca="0">IF(C107&lt;等级门槛!$D$14,1,MATCH(C107,等级门槛!$D$14:$D$113,1))</x:f>
        <x:v>25</x:v>
      </x:c>
      <x:c r="F107" s="79" t="n">
        <x:f aca="0">MIN(5,ROUNDUP(E107/20,0))</x:f>
        <x:v>2</x:v>
      </x:c>
      <x:c r="G107" s="24" t="n">
        <x:f aca="0">IF(E107=100,"已达Lv100",INDEX(等级门槛!$D$14:$D$113,E107+1))</x:f>
        <x:v>40300</x:v>
      </x:c>
      <x:c r="H107" s="23" t="str">
        <x:f aca="0">IF(D107="否","特殊样本，仅迁移展示；不参与档位与分布统计",IF(C107=0,"有效存量CP；CP累计字段为0，需核验迁移",IF(C107&lt;1000,"有效存量CP；低于新门槛，统一映射Lv1","")))</x:f>
      </x:c>
    </x:row>
    <x:row r="108" ht="19" hidden="0" customHeight="1">
      <x:c r="A108" s="1" t="n">
        <x:v>102</x:v>
      </x:c>
      <x:c r="B108" s="23" t="s">
        <x:v>713</x:v>
      </x:c>
      <x:c r="C108" s="24" t="n">
        <x:v>35760</x:v>
      </x:c>
      <x:c r="D108" s="1" t="s">
        <x:v>613</x:v>
      </x:c>
      <x:c r="E108" s="78" t="n">
        <x:f aca="0">IF(C108&lt;等级门槛!$D$14,1,MATCH(C108,等级门槛!$D$14:$D$113,1))</x:f>
        <x:v>24</x:v>
      </x:c>
      <x:c r="F108" s="79" t="n">
        <x:f aca="0">MIN(5,ROUNDUP(E108/20,0))</x:f>
        <x:v>2</x:v>
      </x:c>
      <x:c r="G108" s="24" t="n">
        <x:f aca="0">IF(E108=100,"已达Lv100",INDEX(等级门槛!$D$14:$D$113,E108+1))</x:f>
        <x:v>36800</x:v>
      </x:c>
      <x:c r="H108" s="23" t="str">
        <x:f aca="0">IF(D108="否","特殊样本，仅迁移展示；不参与档位与分布统计",IF(C108=0,"有效存量CP；CP累计字段为0，需核验迁移",IF(C108&lt;1000,"有效存量CP；低于新门槛，统一映射Lv1","")))</x:f>
      </x:c>
    </x:row>
    <x:row r="109" ht="19" hidden="0" customHeight="1">
      <x:c r="A109" s="1" t="n">
        <x:v>103</x:v>
      </x:c>
      <x:c r="B109" s="23" t="s">
        <x:v>714</x:v>
      </x:c>
      <x:c r="C109" s="24" t="n">
        <x:v>35011</x:v>
      </x:c>
      <x:c r="D109" s="1" t="s">
        <x:v>613</x:v>
      </x:c>
      <x:c r="E109" s="78" t="n">
        <x:f aca="0">IF(C109&lt;等级门槛!$D$14,1,MATCH(C109,等级门槛!$D$14:$D$113,1))</x:f>
        <x:v>24</x:v>
      </x:c>
      <x:c r="F109" s="79" t="n">
        <x:f aca="0">MIN(5,ROUNDUP(E109/20,0))</x:f>
        <x:v>2</x:v>
      </x:c>
      <x:c r="G109" s="24" t="n">
        <x:f aca="0">IF(E109=100,"已达Lv100",INDEX(等级门槛!$D$14:$D$113,E109+1))</x:f>
        <x:v>36800</x:v>
      </x:c>
      <x:c r="H109" s="23" t="str">
        <x:f aca="0">IF(D109="否","特殊样本，仅迁移展示；不参与档位与分布统计",IF(C109=0,"有效存量CP；CP累计字段为0，需核验迁移",IF(C109&lt;1000,"有效存量CP；低于新门槛，统一映射Lv1","")))</x:f>
      </x:c>
    </x:row>
    <x:row r="110" ht="19" hidden="0" customHeight="1">
      <x:c r="A110" s="1" t="n">
        <x:v>104</x:v>
      </x:c>
      <x:c r="B110" s="23" t="s">
        <x:v>715</x:v>
      </x:c>
      <x:c r="C110" s="24" t="n">
        <x:v>34578</x:v>
      </x:c>
      <x:c r="D110" s="1" t="s">
        <x:v>613</x:v>
      </x:c>
      <x:c r="E110" s="78" t="n">
        <x:f aca="0">IF(C110&lt;等级门槛!$D$14,1,MATCH(C110,等级门槛!$D$14:$D$113,1))</x:f>
        <x:v>24</x:v>
      </x:c>
      <x:c r="F110" s="79" t="n">
        <x:f aca="0">MIN(5,ROUNDUP(E110/20,0))</x:f>
        <x:v>2</x:v>
      </x:c>
      <x:c r="G110" s="24" t="n">
        <x:f aca="0">IF(E110=100,"已达Lv100",INDEX(等级门槛!$D$14:$D$113,E110+1))</x:f>
        <x:v>36800</x:v>
      </x:c>
      <x:c r="H110" s="23" t="str">
        <x:f aca="0">IF(D110="否","特殊样本，仅迁移展示；不参与档位与分布统计",IF(C110=0,"有效存量CP；CP累计字段为0，需核验迁移",IF(C110&lt;1000,"有效存量CP；低于新门槛，统一映射Lv1","")))</x:f>
      </x:c>
    </x:row>
    <x:row r="111" ht="19" hidden="0" customHeight="1">
      <x:c r="A111" s="1" t="n">
        <x:v>105</x:v>
      </x:c>
      <x:c r="B111" s="23" t="s">
        <x:v>716</x:v>
      </x:c>
      <x:c r="C111" s="24" t="n">
        <x:v>34166</x:v>
      </x:c>
      <x:c r="D111" s="1" t="s">
        <x:v>613</x:v>
      </x:c>
      <x:c r="E111" s="78" t="n">
        <x:f aca="0">IF(C111&lt;等级门槛!$D$14,1,MATCH(C111,等级门槛!$D$14:$D$113,1))</x:f>
        <x:v>24</x:v>
      </x:c>
      <x:c r="F111" s="79" t="n">
        <x:f aca="0">MIN(5,ROUNDUP(E111/20,0))</x:f>
        <x:v>2</x:v>
      </x:c>
      <x:c r="G111" s="24" t="n">
        <x:f aca="0">IF(E111=100,"已达Lv100",INDEX(等级门槛!$D$14:$D$113,E111+1))</x:f>
        <x:v>36800</x:v>
      </x:c>
      <x:c r="H111" s="23" t="str">
        <x:f aca="0">IF(D111="否","特殊样本，仅迁移展示；不参与档位与分布统计",IF(C111=0,"有效存量CP；CP累计字段为0，需核验迁移",IF(C111&lt;1000,"有效存量CP；低于新门槛，统一映射Lv1","")))</x:f>
      </x:c>
    </x:row>
    <x:row r="112" ht="19" hidden="0" customHeight="1">
      <x:c r="A112" s="1" t="n">
        <x:v>106</x:v>
      </x:c>
      <x:c r="B112" s="23" t="s">
        <x:v>717</x:v>
      </x:c>
      <x:c r="C112" s="24" t="n">
        <x:v>33359</x:v>
      </x:c>
      <x:c r="D112" s="1" t="s">
        <x:v>613</x:v>
      </x:c>
      <x:c r="E112" s="78" t="n">
        <x:f aca="0">IF(C112&lt;等级门槛!$D$14,1,MATCH(C112,等级门槛!$D$14:$D$113,1))</x:f>
        <x:v>23</x:v>
      </x:c>
      <x:c r="F112" s="79" t="n">
        <x:f aca="0">MIN(5,ROUNDUP(E112/20,0))</x:f>
        <x:v>2</x:v>
      </x:c>
      <x:c r="G112" s="24" t="n">
        <x:f aca="0">IF(E112=100,"已达Lv100",INDEX(等级门槛!$D$14:$D$113,E112+1))</x:f>
        <x:v>33500</x:v>
      </x:c>
      <x:c r="H112" s="23" t="str">
        <x:f aca="0">IF(D112="否","特殊样本，仅迁移展示；不参与档位与分布统计",IF(C112=0,"有效存量CP；CP累计字段为0，需核验迁移",IF(C112&lt;1000,"有效存量CP；低于新门槛，统一映射Lv1","")))</x:f>
      </x:c>
    </x:row>
    <x:row r="113" ht="19" hidden="0" customHeight="1">
      <x:c r="A113" s="1" t="n">
        <x:v>107</x:v>
      </x:c>
      <x:c r="B113" s="23" t="s">
        <x:v>718</x:v>
      </x:c>
      <x:c r="C113" s="24" t="n">
        <x:v>32577</x:v>
      </x:c>
      <x:c r="D113" s="1" t="s">
        <x:v>613</x:v>
      </x:c>
      <x:c r="E113" s="78" t="n">
        <x:f aca="0">IF(C113&lt;等级门槛!$D$14,1,MATCH(C113,等级门槛!$D$14:$D$113,1))</x:f>
        <x:v>23</x:v>
      </x:c>
      <x:c r="F113" s="79" t="n">
        <x:f aca="0">MIN(5,ROUNDUP(E113/20,0))</x:f>
        <x:v>2</x:v>
      </x:c>
      <x:c r="G113" s="24" t="n">
        <x:f aca="0">IF(E113=100,"已达Lv100",INDEX(等级门槛!$D$14:$D$113,E113+1))</x:f>
        <x:v>33500</x:v>
      </x:c>
      <x:c r="H113" s="23" t="str">
        <x:f aca="0">IF(D113="否","特殊样本，仅迁移展示；不参与档位与分布统计",IF(C113=0,"有效存量CP；CP累计字段为0，需核验迁移",IF(C113&lt;1000,"有效存量CP；低于新门槛，统一映射Lv1","")))</x:f>
      </x:c>
    </x:row>
    <x:row r="114" ht="19" hidden="0" customHeight="1">
      <x:c r="A114" s="1" t="n">
        <x:v>108</x:v>
      </x:c>
      <x:c r="B114" s="23" t="s">
        <x:v>719</x:v>
      </x:c>
      <x:c r="C114" s="24" t="n">
        <x:v>32251</x:v>
      </x:c>
      <x:c r="D114" s="1" t="s">
        <x:v>613</x:v>
      </x:c>
      <x:c r="E114" s="78" t="n">
        <x:f aca="0">IF(C114&lt;等级门槛!$D$14,1,MATCH(C114,等级门槛!$D$14:$D$113,1))</x:f>
        <x:v>23</x:v>
      </x:c>
      <x:c r="F114" s="79" t="n">
        <x:f aca="0">MIN(5,ROUNDUP(E114/20,0))</x:f>
        <x:v>2</x:v>
      </x:c>
      <x:c r="G114" s="24" t="n">
        <x:f aca="0">IF(E114=100,"已达Lv100",INDEX(等级门槛!$D$14:$D$113,E114+1))</x:f>
        <x:v>33500</x:v>
      </x:c>
      <x:c r="H114" s="23" t="str">
        <x:f aca="0">IF(D114="否","特殊样本，仅迁移展示；不参与档位与分布统计",IF(C114=0,"有效存量CP；CP累计字段为0，需核验迁移",IF(C114&lt;1000,"有效存量CP；低于新门槛，统一映射Lv1","")))</x:f>
      </x:c>
    </x:row>
    <x:row r="115" ht="19" hidden="0" customHeight="1">
      <x:c r="A115" s="1" t="n">
        <x:v>109</x:v>
      </x:c>
      <x:c r="B115" s="23" t="s">
        <x:v>720</x:v>
      </x:c>
      <x:c r="C115" s="24" t="n">
        <x:v>32034</x:v>
      </x:c>
      <x:c r="D115" s="1" t="s">
        <x:v>613</x:v>
      </x:c>
      <x:c r="E115" s="78" t="n">
        <x:f aca="0">IF(C115&lt;等级门槛!$D$14,1,MATCH(C115,等级门槛!$D$14:$D$113,1))</x:f>
        <x:v>23</x:v>
      </x:c>
      <x:c r="F115" s="79" t="n">
        <x:f aca="0">MIN(5,ROUNDUP(E115/20,0))</x:f>
        <x:v>2</x:v>
      </x:c>
      <x:c r="G115" s="24" t="n">
        <x:f aca="0">IF(E115=100,"已达Lv100",INDEX(等级门槛!$D$14:$D$113,E115+1))</x:f>
        <x:v>33500</x:v>
      </x:c>
      <x:c r="H115" s="23" t="str">
        <x:f aca="0">IF(D115="否","特殊样本，仅迁移展示；不参与档位与分布统计",IF(C115=0,"有效存量CP；CP累计字段为0，需核验迁移",IF(C115&lt;1000,"有效存量CP；低于新门槛，统一映射Lv1","")))</x:f>
      </x:c>
    </x:row>
    <x:row r="116" ht="19" hidden="0" customHeight="1">
      <x:c r="A116" s="1" t="n">
        <x:v>110</x:v>
      </x:c>
      <x:c r="B116" s="23" t="s">
        <x:v>721</x:v>
      </x:c>
      <x:c r="C116" s="24" t="n">
        <x:v>31416</x:v>
      </x:c>
      <x:c r="D116" s="1" t="s">
        <x:v>613</x:v>
      </x:c>
      <x:c r="E116" s="78" t="n">
        <x:f aca="0">IF(C116&lt;等级门槛!$D$14,1,MATCH(C116,等级门槛!$D$14:$D$113,1))</x:f>
        <x:v>23</x:v>
      </x:c>
      <x:c r="F116" s="79" t="n">
        <x:f aca="0">MIN(5,ROUNDUP(E116/20,0))</x:f>
        <x:v>2</x:v>
      </x:c>
      <x:c r="G116" s="24" t="n">
        <x:f aca="0">IF(E116=100,"已达Lv100",INDEX(等级门槛!$D$14:$D$113,E116+1))</x:f>
        <x:v>33500</x:v>
      </x:c>
      <x:c r="H116" s="23" t="str">
        <x:f aca="0">IF(D116="否","特殊样本，仅迁移展示；不参与档位与分布统计",IF(C116=0,"有效存量CP；CP累计字段为0，需核验迁移",IF(C116&lt;1000,"有效存量CP；低于新门槛，统一映射Lv1","")))</x:f>
      </x:c>
    </x:row>
    <x:row r="117" ht="19" hidden="0" customHeight="1">
      <x:c r="A117" s="1" t="n">
        <x:v>111</x:v>
      </x:c>
      <x:c r="B117" s="23" t="s">
        <x:v>722</x:v>
      </x:c>
      <x:c r="C117" s="24" t="n">
        <x:v>31102</x:v>
      </x:c>
      <x:c r="D117" s="1" t="s">
        <x:v>613</x:v>
      </x:c>
      <x:c r="E117" s="78" t="n">
        <x:f aca="0">IF(C117&lt;等级门槛!$D$14,1,MATCH(C117,等级门槛!$D$14:$D$113,1))</x:f>
        <x:v>23</x:v>
      </x:c>
      <x:c r="F117" s="79" t="n">
        <x:f aca="0">MIN(5,ROUNDUP(E117/20,0))</x:f>
        <x:v>2</x:v>
      </x:c>
      <x:c r="G117" s="24" t="n">
        <x:f aca="0">IF(E117=100,"已达Lv100",INDEX(等级门槛!$D$14:$D$113,E117+1))</x:f>
        <x:v>33500</x:v>
      </x:c>
      <x:c r="H117" s="23" t="str">
        <x:f aca="0">IF(D117="否","特殊样本，仅迁移展示；不参与档位与分布统计",IF(C117=0,"有效存量CP；CP累计字段为0，需核验迁移",IF(C117&lt;1000,"有效存量CP；低于新门槛，统一映射Lv1","")))</x:f>
      </x:c>
    </x:row>
    <x:row r="118" ht="19" hidden="0" customHeight="1">
      <x:c r="A118" s="1" t="n">
        <x:v>112</x:v>
      </x:c>
      <x:c r="B118" s="23" t="s">
        <x:v>723</x:v>
      </x:c>
      <x:c r="C118" s="24" t="n">
        <x:v>30782</x:v>
      </x:c>
      <x:c r="D118" s="1" t="s">
        <x:v>613</x:v>
      </x:c>
      <x:c r="E118" s="78" t="n">
        <x:f aca="0">IF(C118&lt;等级门槛!$D$14,1,MATCH(C118,等级门槛!$D$14:$D$113,1))</x:f>
        <x:v>23</x:v>
      </x:c>
      <x:c r="F118" s="79" t="n">
        <x:f aca="0">MIN(5,ROUNDUP(E118/20,0))</x:f>
        <x:v>2</x:v>
      </x:c>
      <x:c r="G118" s="24" t="n">
        <x:f aca="0">IF(E118=100,"已达Lv100",INDEX(等级门槛!$D$14:$D$113,E118+1))</x:f>
        <x:v>33500</x:v>
      </x:c>
      <x:c r="H118" s="23" t="str">
        <x:f aca="0">IF(D118="否","特殊样本，仅迁移展示；不参与档位与分布统计",IF(C118=0,"有效存量CP；CP累计字段为0，需核验迁移",IF(C118&lt;1000,"有效存量CP；低于新门槛，统一映射Lv1","")))</x:f>
      </x:c>
    </x:row>
    <x:row r="119" ht="19" hidden="0" customHeight="1">
      <x:c r="A119" s="1" t="n">
        <x:v>113</x:v>
      </x:c>
      <x:c r="B119" s="23" t="s">
        <x:v>724</x:v>
      </x:c>
      <x:c r="C119" s="24" t="n">
        <x:v>30114</x:v>
      </x:c>
      <x:c r="D119" s="1" t="s">
        <x:v>613</x:v>
      </x:c>
      <x:c r="E119" s="78" t="n">
        <x:f aca="0">IF(C119&lt;等级门槛!$D$14,1,MATCH(C119,等级门槛!$D$14:$D$113,1))</x:f>
        <x:v>22</x:v>
      </x:c>
      <x:c r="F119" s="79" t="n">
        <x:f aca="0">MIN(5,ROUNDUP(E119/20,0))</x:f>
        <x:v>2</x:v>
      </x:c>
      <x:c r="G119" s="24" t="n">
        <x:f aca="0">IF(E119=100,"已达Lv100",INDEX(等级门槛!$D$14:$D$113,E119+1))</x:f>
        <x:v>30500</x:v>
      </x:c>
      <x:c r="H119" s="23" t="str">
        <x:f aca="0">IF(D119="否","特殊样本，仅迁移展示；不参与档位与分布统计",IF(C119=0,"有效存量CP；CP累计字段为0，需核验迁移",IF(C119&lt;1000,"有效存量CP；低于新门槛，统一映射Lv1","")))</x:f>
      </x:c>
    </x:row>
    <x:row r="120" ht="19" hidden="0" customHeight="1">
      <x:c r="A120" s="1" t="n">
        <x:v>114</x:v>
      </x:c>
      <x:c r="B120" s="23" t="s">
        <x:v>725</x:v>
      </x:c>
      <x:c r="C120" s="24" t="n">
        <x:v>28685</x:v>
      </x:c>
      <x:c r="D120" s="1" t="s">
        <x:v>613</x:v>
      </x:c>
      <x:c r="E120" s="78" t="n">
        <x:f aca="0">IF(C120&lt;等级门槛!$D$14,1,MATCH(C120,等级门槛!$D$14:$D$113,1))</x:f>
        <x:v>22</x:v>
      </x:c>
      <x:c r="F120" s="79" t="n">
        <x:f aca="0">MIN(5,ROUNDUP(E120/20,0))</x:f>
        <x:v>2</x:v>
      </x:c>
      <x:c r="G120" s="24" t="n">
        <x:f aca="0">IF(E120=100,"已达Lv100",INDEX(等级门槛!$D$14:$D$113,E120+1))</x:f>
        <x:v>30500</x:v>
      </x:c>
      <x:c r="H120" s="23" t="str">
        <x:f aca="0">IF(D120="否","特殊样本，仅迁移展示；不参与档位与分布统计",IF(C120=0,"有效存量CP；CP累计字段为0，需核验迁移",IF(C120&lt;1000,"有效存量CP；低于新门槛，统一映射Lv1","")))</x:f>
      </x:c>
    </x:row>
    <x:row r="121" ht="19" hidden="0" customHeight="1">
      <x:c r="A121" s="1" t="n">
        <x:v>115</x:v>
      </x:c>
      <x:c r="B121" s="23" t="s">
        <x:v>726</x:v>
      </x:c>
      <x:c r="C121" s="24" t="n">
        <x:v>28191</x:v>
      </x:c>
      <x:c r="D121" s="1" t="s">
        <x:v>613</x:v>
      </x:c>
      <x:c r="E121" s="78" t="n">
        <x:f aca="0">IF(C121&lt;等级门槛!$D$14,1,MATCH(C121,等级门槛!$D$14:$D$113,1))</x:f>
        <x:v>22</x:v>
      </x:c>
      <x:c r="F121" s="79" t="n">
        <x:f aca="0">MIN(5,ROUNDUP(E121/20,0))</x:f>
        <x:v>2</x:v>
      </x:c>
      <x:c r="G121" s="24" t="n">
        <x:f aca="0">IF(E121=100,"已达Lv100",INDEX(等级门槛!$D$14:$D$113,E121+1))</x:f>
        <x:v>30500</x:v>
      </x:c>
      <x:c r="H121" s="23" t="str">
        <x:f aca="0">IF(D121="否","特殊样本，仅迁移展示；不参与档位与分布统计",IF(C121=0,"有效存量CP；CP累计字段为0，需核验迁移",IF(C121&lt;1000,"有效存量CP；低于新门槛，统一映射Lv1","")))</x:f>
      </x:c>
    </x:row>
    <x:row r="122" ht="19" hidden="0" customHeight="1">
      <x:c r="A122" s="1" t="n">
        <x:v>116</x:v>
      </x:c>
      <x:c r="B122" s="23" t="s">
        <x:v>727</x:v>
      </x:c>
      <x:c r="C122" s="24" t="n">
        <x:v>27927</x:v>
      </x:c>
      <x:c r="D122" s="1" t="s">
        <x:v>613</x:v>
      </x:c>
      <x:c r="E122" s="78" t="n">
        <x:f aca="0">IF(C122&lt;等级门槛!$D$14,1,MATCH(C122,等级门槛!$D$14:$D$113,1))</x:f>
        <x:v>22</x:v>
      </x:c>
      <x:c r="F122" s="79" t="n">
        <x:f aca="0">MIN(5,ROUNDUP(E122/20,0))</x:f>
        <x:v>2</x:v>
      </x:c>
      <x:c r="G122" s="24" t="n">
        <x:f aca="0">IF(E122=100,"已达Lv100",INDEX(等级门槛!$D$14:$D$113,E122+1))</x:f>
        <x:v>30500</x:v>
      </x:c>
      <x:c r="H122" s="23" t="str">
        <x:f aca="0">IF(D122="否","特殊样本，仅迁移展示；不参与档位与分布统计",IF(C122=0,"有效存量CP；CP累计字段为0，需核验迁移",IF(C122&lt;1000,"有效存量CP；低于新门槛，统一映射Lv1","")))</x:f>
      </x:c>
    </x:row>
    <x:row r="123" ht="19" hidden="0" customHeight="1">
      <x:c r="A123" s="1" t="n">
        <x:v>117</x:v>
      </x:c>
      <x:c r="B123" s="23" t="s">
        <x:v>728</x:v>
      </x:c>
      <x:c r="C123" s="24" t="n">
        <x:v>27562</x:v>
      </x:c>
      <x:c r="D123" s="1" t="s">
        <x:v>613</x:v>
      </x:c>
      <x:c r="E123" s="78" t="n">
        <x:f aca="0">IF(C123&lt;等级门槛!$D$14,1,MATCH(C123,等级门槛!$D$14:$D$113,1))</x:f>
        <x:v>21</x:v>
      </x:c>
      <x:c r="F123" s="79" t="n">
        <x:f aca="0">MIN(5,ROUNDUP(E123/20,0))</x:f>
        <x:v>2</x:v>
      </x:c>
      <x:c r="G123" s="24" t="n">
        <x:f aca="0">IF(E123=100,"已达Lv100",INDEX(等级门槛!$D$14:$D$113,E123+1))</x:f>
        <x:v>27700</x:v>
      </x:c>
      <x:c r="H123" s="23" t="str">
        <x:f aca="0">IF(D123="否","特殊样本，仅迁移展示；不参与档位与分布统计",IF(C123=0,"有效存量CP；CP累计字段为0，需核验迁移",IF(C123&lt;1000,"有效存量CP；低于新门槛，统一映射Lv1","")))</x:f>
      </x:c>
    </x:row>
    <x:row r="124" ht="19" hidden="0" customHeight="1">
      <x:c r="A124" s="1" t="n">
        <x:v>118</x:v>
      </x:c>
      <x:c r="B124" s="23" t="s">
        <x:v>729</x:v>
      </x:c>
      <x:c r="C124" s="24" t="n">
        <x:v>27210</x:v>
      </x:c>
      <x:c r="D124" s="1" t="s">
        <x:v>613</x:v>
      </x:c>
      <x:c r="E124" s="78" t="n">
        <x:f aca="0">IF(C124&lt;等级门槛!$D$14,1,MATCH(C124,等级门槛!$D$14:$D$113,1))</x:f>
        <x:v>21</x:v>
      </x:c>
      <x:c r="F124" s="79" t="n">
        <x:f aca="0">MIN(5,ROUNDUP(E124/20,0))</x:f>
        <x:v>2</x:v>
      </x:c>
      <x:c r="G124" s="24" t="n">
        <x:f aca="0">IF(E124=100,"已达Lv100",INDEX(等级门槛!$D$14:$D$113,E124+1))</x:f>
        <x:v>27700</x:v>
      </x:c>
      <x:c r="H124" s="23" t="str">
        <x:f aca="0">IF(D124="否","特殊样本，仅迁移展示；不参与档位与分布统计",IF(C124=0,"有效存量CP；CP累计字段为0，需核验迁移",IF(C124&lt;1000,"有效存量CP；低于新门槛，统一映射Lv1","")))</x:f>
      </x:c>
    </x:row>
    <x:row r="125" ht="19" hidden="0" customHeight="1">
      <x:c r="A125" s="1" t="n">
        <x:v>119</x:v>
      </x:c>
      <x:c r="B125" s="23" t="s">
        <x:v>730</x:v>
      </x:c>
      <x:c r="C125" s="24" t="n">
        <x:v>26915</x:v>
      </x:c>
      <x:c r="D125" s="1" t="s">
        <x:v>613</x:v>
      </x:c>
      <x:c r="E125" s="78" t="n">
        <x:f aca="0">IF(C125&lt;等级门槛!$D$14,1,MATCH(C125,等级门槛!$D$14:$D$113,1))</x:f>
        <x:v>21</x:v>
      </x:c>
      <x:c r="F125" s="79" t="n">
        <x:f aca="0">MIN(5,ROUNDUP(E125/20,0))</x:f>
        <x:v>2</x:v>
      </x:c>
      <x:c r="G125" s="24" t="n">
        <x:f aca="0">IF(E125=100,"已达Lv100",INDEX(等级门槛!$D$14:$D$113,E125+1))</x:f>
        <x:v>27700</x:v>
      </x:c>
      <x:c r="H125" s="23" t="str">
        <x:f aca="0">IF(D125="否","特殊样本，仅迁移展示；不参与档位与分布统计",IF(C125=0,"有效存量CP；CP累计字段为0，需核验迁移",IF(C125&lt;1000,"有效存量CP；低于新门槛，统一映射Lv1","")))</x:f>
      </x:c>
    </x:row>
    <x:row r="126" ht="19" hidden="0" customHeight="1">
      <x:c r="A126" s="1" t="n">
        <x:v>120</x:v>
      </x:c>
      <x:c r="B126" s="23" t="s">
        <x:v>731</x:v>
      </x:c>
      <x:c r="C126" s="24" t="n">
        <x:v>25210</x:v>
      </x:c>
      <x:c r="D126" s="1" t="s">
        <x:v>613</x:v>
      </x:c>
      <x:c r="E126" s="78" t="n">
        <x:f aca="0">IF(C126&lt;等级门槛!$D$14,1,MATCH(C126,等级门槛!$D$14:$D$113,1))</x:f>
        <x:v>21</x:v>
      </x:c>
      <x:c r="F126" s="79" t="n">
        <x:f aca="0">MIN(5,ROUNDUP(E126/20,0))</x:f>
        <x:v>2</x:v>
      </x:c>
      <x:c r="G126" s="24" t="n">
        <x:f aca="0">IF(E126=100,"已达Lv100",INDEX(等级门槛!$D$14:$D$113,E126+1))</x:f>
        <x:v>27700</x:v>
      </x:c>
      <x:c r="H126" s="23" t="str">
        <x:f aca="0">IF(D126="否","特殊样本，仅迁移展示；不参与档位与分布统计",IF(C126=0,"有效存量CP；CP累计字段为0，需核验迁移",IF(C126&lt;1000,"有效存量CP；低于新门槛，统一映射Lv1","")))</x:f>
      </x:c>
    </x:row>
    <x:row r="127" ht="19" hidden="0" customHeight="1">
      <x:c r="A127" s="1" t="n">
        <x:v>121</x:v>
      </x:c>
      <x:c r="B127" s="23" t="s">
        <x:v>732</x:v>
      </x:c>
      <x:c r="C127" s="24" t="n">
        <x:v>25059</x:v>
      </x:c>
      <x:c r="D127" s="1" t="s">
        <x:v>613</x:v>
      </x:c>
      <x:c r="E127" s="78" t="n">
        <x:f aca="0">IF(C127&lt;等级门槛!$D$14,1,MATCH(C127,等级门槛!$D$14:$D$113,1))</x:f>
        <x:v>20</x:v>
      </x:c>
      <x:c r="F127" s="79" t="n">
        <x:f aca="0">MIN(5,ROUNDUP(E127/20,0))</x:f>
        <x:v>1</x:v>
      </x:c>
      <x:c r="G127" s="24" t="n">
        <x:f aca="0">IF(E127=100,"已达Lv100",INDEX(等级门槛!$D$14:$D$113,E127+1))</x:f>
        <x:v>25100</x:v>
      </x:c>
      <x:c r="H127" s="23" t="str">
        <x:f aca="0">IF(D127="否","特殊样本，仅迁移展示；不参与档位与分布统计",IF(C127=0,"有效存量CP；CP累计字段为0，需核验迁移",IF(C127&lt;1000,"有效存量CP；低于新门槛，统一映射Lv1","")))</x:f>
      </x:c>
    </x:row>
    <x:row r="128" ht="19" hidden="0" customHeight="1">
      <x:c r="A128" s="1" t="n">
        <x:v>122</x:v>
      </x:c>
      <x:c r="B128" s="23" t="s">
        <x:v>733</x:v>
      </x:c>
      <x:c r="C128" s="24" t="n">
        <x:v>24899</x:v>
      </x:c>
      <x:c r="D128" s="1" t="s">
        <x:v>613</x:v>
      </x:c>
      <x:c r="E128" s="78" t="n">
        <x:f aca="0">IF(C128&lt;等级门槛!$D$14,1,MATCH(C128,等级门槛!$D$14:$D$113,1))</x:f>
        <x:v>20</x:v>
      </x:c>
      <x:c r="F128" s="79" t="n">
        <x:f aca="0">MIN(5,ROUNDUP(E128/20,0))</x:f>
        <x:v>1</x:v>
      </x:c>
      <x:c r="G128" s="24" t="n">
        <x:f aca="0">IF(E128=100,"已达Lv100",INDEX(等级门槛!$D$14:$D$113,E128+1))</x:f>
        <x:v>25100</x:v>
      </x:c>
      <x:c r="H128" s="23" t="str">
        <x:f aca="0">IF(D128="否","特殊样本，仅迁移展示；不参与档位与分布统计",IF(C128=0,"有效存量CP；CP累计字段为0，需核验迁移",IF(C128&lt;1000,"有效存量CP；低于新门槛，统一映射Lv1","")))</x:f>
      </x:c>
    </x:row>
    <x:row r="129" ht="19" hidden="0" customHeight="1">
      <x:c r="A129" s="1" t="n">
        <x:v>123</x:v>
      </x:c>
      <x:c r="B129" s="23" t="s">
        <x:v>734</x:v>
      </x:c>
      <x:c r="C129" s="24" t="n">
        <x:v>24450</x:v>
      </x:c>
      <x:c r="D129" s="1" t="s">
        <x:v>613</x:v>
      </x:c>
      <x:c r="E129" s="78" t="n">
        <x:f aca="0">IF(C129&lt;等级门槛!$D$14,1,MATCH(C129,等级门槛!$D$14:$D$113,1))</x:f>
        <x:v>20</x:v>
      </x:c>
      <x:c r="F129" s="79" t="n">
        <x:f aca="0">MIN(5,ROUNDUP(E129/20,0))</x:f>
        <x:v>1</x:v>
      </x:c>
      <x:c r="G129" s="24" t="n">
        <x:f aca="0">IF(E129=100,"已达Lv100",INDEX(等级门槛!$D$14:$D$113,E129+1))</x:f>
        <x:v>25100</x:v>
      </x:c>
      <x:c r="H129" s="23" t="str">
        <x:f aca="0">IF(D129="否","特殊样本，仅迁移展示；不参与档位与分布统计",IF(C129=0,"有效存量CP；CP累计字段为0，需核验迁移",IF(C129&lt;1000,"有效存量CP；低于新门槛，统一映射Lv1","")))</x:f>
      </x:c>
    </x:row>
    <x:row r="130" ht="19" hidden="0" customHeight="1">
      <x:c r="A130" s="1" t="n">
        <x:v>124</x:v>
      </x:c>
      <x:c r="B130" s="23" t="s">
        <x:v>735</x:v>
      </x:c>
      <x:c r="C130" s="24" t="n">
        <x:v>24264</x:v>
      </x:c>
      <x:c r="D130" s="1" t="s">
        <x:v>613</x:v>
      </x:c>
      <x:c r="E130" s="78" t="n">
        <x:f aca="0">IF(C130&lt;等级门槛!$D$14,1,MATCH(C130,等级门槛!$D$14:$D$113,1))</x:f>
        <x:v>20</x:v>
      </x:c>
      <x:c r="F130" s="79" t="n">
        <x:f aca="0">MIN(5,ROUNDUP(E130/20,0))</x:f>
        <x:v>1</x:v>
      </x:c>
      <x:c r="G130" s="24" t="n">
        <x:f aca="0">IF(E130=100,"已达Lv100",INDEX(等级门槛!$D$14:$D$113,E130+1))</x:f>
        <x:v>25100</x:v>
      </x:c>
      <x:c r="H130" s="23" t="str">
        <x:f aca="0">IF(D130="否","特殊样本，仅迁移展示；不参与档位与分布统计",IF(C130=0,"有效存量CP；CP累计字段为0，需核验迁移",IF(C130&lt;1000,"有效存量CP；低于新门槛，统一映射Lv1","")))</x:f>
      </x:c>
    </x:row>
    <x:row r="131" ht="19" hidden="0" customHeight="1">
      <x:c r="A131" s="1" t="n">
        <x:v>125</x:v>
      </x:c>
      <x:c r="B131" s="23" t="s">
        <x:v>736</x:v>
      </x:c>
      <x:c r="C131" s="24" t="n">
        <x:v>23982</x:v>
      </x:c>
      <x:c r="D131" s="1" t="s">
        <x:v>613</x:v>
      </x:c>
      <x:c r="E131" s="78" t="n">
        <x:f aca="0">IF(C131&lt;等级门槛!$D$14,1,MATCH(C131,等级门槛!$D$14:$D$113,1))</x:f>
        <x:v>20</x:v>
      </x:c>
      <x:c r="F131" s="79" t="n">
        <x:f aca="0">MIN(5,ROUNDUP(E131/20,0))</x:f>
        <x:v>1</x:v>
      </x:c>
      <x:c r="G131" s="24" t="n">
        <x:f aca="0">IF(E131=100,"已达Lv100",INDEX(等级门槛!$D$14:$D$113,E131+1))</x:f>
        <x:v>25100</x:v>
      </x:c>
      <x:c r="H131" s="23" t="str">
        <x:f aca="0">IF(D131="否","特殊样本，仅迁移展示；不参与档位与分布统计",IF(C131=0,"有效存量CP；CP累计字段为0，需核验迁移",IF(C131&lt;1000,"有效存量CP；低于新门槛，统一映射Lv1","")))</x:f>
      </x:c>
    </x:row>
    <x:row r="132" ht="19" hidden="0" customHeight="1">
      <x:c r="A132" s="1" t="n">
        <x:v>126</x:v>
      </x:c>
      <x:c r="B132" s="23" t="s">
        <x:v>737</x:v>
      </x:c>
      <x:c r="C132" s="24" t="n">
        <x:v>22391</x:v>
      </x:c>
      <x:c r="D132" s="1" t="s">
        <x:v>613</x:v>
      </x:c>
      <x:c r="E132" s="78" t="n">
        <x:f aca="0">IF(C132&lt;等级门槛!$D$14,1,MATCH(C132,等级门槛!$D$14:$D$113,1))</x:f>
        <x:v>19</x:v>
      </x:c>
      <x:c r="F132" s="79" t="n">
        <x:f aca="0">MIN(5,ROUNDUP(E132/20,0))</x:f>
        <x:v>1</x:v>
      </x:c>
      <x:c r="G132" s="24" t="n">
        <x:f aca="0">IF(E132=100,"已达Lv100",INDEX(等级门槛!$D$14:$D$113,E132+1))</x:f>
        <x:v>22700</x:v>
      </x:c>
      <x:c r="H132" s="23" t="str">
        <x:f aca="0">IF(D132="否","特殊样本，仅迁移展示；不参与档位与分布统计",IF(C132=0,"有效存量CP；CP累计字段为0，需核验迁移",IF(C132&lt;1000,"有效存量CP；低于新门槛，统一映射Lv1","")))</x:f>
      </x:c>
    </x:row>
    <x:row r="133" ht="19" hidden="0" customHeight="1">
      <x:c r="A133" s="1" t="n">
        <x:v>127</x:v>
      </x:c>
      <x:c r="B133" s="23" t="s">
        <x:v>738</x:v>
      </x:c>
      <x:c r="C133" s="24" t="n">
        <x:v>22075</x:v>
      </x:c>
      <x:c r="D133" s="1" t="s">
        <x:v>613</x:v>
      </x:c>
      <x:c r="E133" s="78" t="n">
        <x:f aca="0">IF(C133&lt;等级门槛!$D$14,1,MATCH(C133,等级门槛!$D$14:$D$113,1))</x:f>
        <x:v>19</x:v>
      </x:c>
      <x:c r="F133" s="79" t="n">
        <x:f aca="0">MIN(5,ROUNDUP(E133/20,0))</x:f>
        <x:v>1</x:v>
      </x:c>
      <x:c r="G133" s="24" t="n">
        <x:f aca="0">IF(E133=100,"已达Lv100",INDEX(等级门槛!$D$14:$D$113,E133+1))</x:f>
        <x:v>22700</x:v>
      </x:c>
      <x:c r="H133" s="23" t="str">
        <x:f aca="0">IF(D133="否","特殊样本，仅迁移展示；不参与档位与分布统计",IF(C133=0,"有效存量CP；CP累计字段为0，需核验迁移",IF(C133&lt;1000,"有效存量CP；低于新门槛，统一映射Lv1","")))</x:f>
      </x:c>
    </x:row>
    <x:row r="134" ht="19" hidden="0" customHeight="1">
      <x:c r="A134" s="1" t="n">
        <x:v>128</x:v>
      </x:c>
      <x:c r="B134" s="23" t="s">
        <x:v>739</x:v>
      </x:c>
      <x:c r="C134" s="24" t="n">
        <x:v>22030</x:v>
      </x:c>
      <x:c r="D134" s="1" t="s">
        <x:v>613</x:v>
      </x:c>
      <x:c r="E134" s="78" t="n">
        <x:f aca="0">IF(C134&lt;等级门槛!$D$14,1,MATCH(C134,等级门槛!$D$14:$D$113,1))</x:f>
        <x:v>19</x:v>
      </x:c>
      <x:c r="F134" s="79" t="n">
        <x:f aca="0">MIN(5,ROUNDUP(E134/20,0))</x:f>
        <x:v>1</x:v>
      </x:c>
      <x:c r="G134" s="24" t="n">
        <x:f aca="0">IF(E134=100,"已达Lv100",INDEX(等级门槛!$D$14:$D$113,E134+1))</x:f>
        <x:v>22700</x:v>
      </x:c>
      <x:c r="H134" s="23" t="str">
        <x:f aca="0">IF(D134="否","特殊样本，仅迁移展示；不参与档位与分布统计",IF(C134=0,"有效存量CP；CP累计字段为0，需核验迁移",IF(C134&lt;1000,"有效存量CP；低于新门槛，统一映射Lv1","")))</x:f>
      </x:c>
    </x:row>
    <x:row r="135" ht="19" hidden="0" customHeight="1">
      <x:c r="A135" s="1" t="n">
        <x:v>129</x:v>
      </x:c>
      <x:c r="B135" s="23" t="s">
        <x:v>740</x:v>
      </x:c>
      <x:c r="C135" s="24" t="n">
        <x:v>21610</x:v>
      </x:c>
      <x:c r="D135" s="1" t="s">
        <x:v>613</x:v>
      </x:c>
      <x:c r="E135" s="78" t="n">
        <x:f aca="0">IF(C135&lt;等级门槛!$D$14,1,MATCH(C135,等级门槛!$D$14:$D$113,1))</x:f>
        <x:v>19</x:v>
      </x:c>
      <x:c r="F135" s="79" t="n">
        <x:f aca="0">MIN(5,ROUNDUP(E135/20,0))</x:f>
        <x:v>1</x:v>
      </x:c>
      <x:c r="G135" s="24" t="n">
        <x:f aca="0">IF(E135=100,"已达Lv100",INDEX(等级门槛!$D$14:$D$113,E135+1))</x:f>
        <x:v>22700</x:v>
      </x:c>
      <x:c r="H135" s="23" t="str">
        <x:f aca="0">IF(D135="否","特殊样本，仅迁移展示；不参与档位与分布统计",IF(C135=0,"有效存量CP；CP累计字段为0，需核验迁移",IF(C135&lt;1000,"有效存量CP；低于新门槛，统一映射Lv1","")))</x:f>
      </x:c>
    </x:row>
    <x:row r="136" ht="19" hidden="0" customHeight="1">
      <x:c r="A136" s="1" t="n">
        <x:v>130</x:v>
      </x:c>
      <x:c r="B136" s="23" t="s">
        <x:v>741</x:v>
      </x:c>
      <x:c r="C136" s="24" t="n">
        <x:v>21414</x:v>
      </x:c>
      <x:c r="D136" s="1" t="s">
        <x:v>613</x:v>
      </x:c>
      <x:c r="E136" s="78" t="n">
        <x:f aca="0">IF(C136&lt;等级门槛!$D$14,1,MATCH(C136,等级门槛!$D$14:$D$113,1))</x:f>
        <x:v>19</x:v>
      </x:c>
      <x:c r="F136" s="79" t="n">
        <x:f aca="0">MIN(5,ROUNDUP(E136/20,0))</x:f>
        <x:v>1</x:v>
      </x:c>
      <x:c r="G136" s="24" t="n">
        <x:f aca="0">IF(E136=100,"已达Lv100",INDEX(等级门槛!$D$14:$D$113,E136+1))</x:f>
        <x:v>22700</x:v>
      </x:c>
      <x:c r="H136" s="23" t="str">
        <x:f aca="0">IF(D136="否","特殊样本，仅迁移展示；不参与档位与分布统计",IF(C136=0,"有效存量CP；CP累计字段为0，需核验迁移",IF(C136&lt;1000,"有效存量CP；低于新门槛，统一映射Lv1","")))</x:f>
      </x:c>
    </x:row>
    <x:row r="137" ht="19" hidden="0" customHeight="1">
      <x:c r="A137" s="1" t="n">
        <x:v>131</x:v>
      </x:c>
      <x:c r="B137" s="23" t="s">
        <x:v>742</x:v>
      </x:c>
      <x:c r="C137" s="24" t="n">
        <x:v>20316</x:v>
      </x:c>
      <x:c r="D137" s="1" t="s">
        <x:v>613</x:v>
      </x:c>
      <x:c r="E137" s="78" t="n">
        <x:f aca="0">IF(C137&lt;等级门槛!$D$14,1,MATCH(C137,等级门槛!$D$14:$D$113,1))</x:f>
        <x:v>18</x:v>
      </x:c>
      <x:c r="F137" s="79" t="n">
        <x:f aca="0">MIN(5,ROUNDUP(E137/20,0))</x:f>
        <x:v>1</x:v>
      </x:c>
      <x:c r="G137" s="24" t="n">
        <x:f aca="0">IF(E137=100,"已达Lv100",INDEX(等级门槛!$D$14:$D$113,E137+1))</x:f>
        <x:v>20500</x:v>
      </x:c>
      <x:c r="H137" s="23" t="str">
        <x:f aca="0">IF(D137="否","特殊样本，仅迁移展示；不参与档位与分布统计",IF(C137=0,"有效存量CP；CP累计字段为0，需核验迁移",IF(C137&lt;1000,"有效存量CP；低于新门槛，统一映射Lv1","")))</x:f>
      </x:c>
    </x:row>
    <x:row r="138" ht="19" hidden="0" customHeight="1">
      <x:c r="A138" s="1" t="n">
        <x:v>132</x:v>
      </x:c>
      <x:c r="B138" s="23" t="s">
        <x:v>743</x:v>
      </x:c>
      <x:c r="C138" s="24" t="n">
        <x:v>20287</x:v>
      </x:c>
      <x:c r="D138" s="1" t="s">
        <x:v>613</x:v>
      </x:c>
      <x:c r="E138" s="78" t="n">
        <x:f aca="0">IF(C138&lt;等级门槛!$D$14,1,MATCH(C138,等级门槛!$D$14:$D$113,1))</x:f>
        <x:v>18</x:v>
      </x:c>
      <x:c r="F138" s="79" t="n">
        <x:f aca="0">MIN(5,ROUNDUP(E138/20,0))</x:f>
        <x:v>1</x:v>
      </x:c>
      <x:c r="G138" s="24" t="n">
        <x:f aca="0">IF(E138=100,"已达Lv100",INDEX(等级门槛!$D$14:$D$113,E138+1))</x:f>
        <x:v>20500</x:v>
      </x:c>
      <x:c r="H138" s="23" t="str">
        <x:f aca="0">IF(D138="否","特殊样本，仅迁移展示；不参与档位与分布统计",IF(C138=0,"有效存量CP；CP累计字段为0，需核验迁移",IF(C138&lt;1000,"有效存量CP；低于新门槛，统一映射Lv1","")))</x:f>
      </x:c>
    </x:row>
    <x:row r="139" ht="19" hidden="0" customHeight="1">
      <x:c r="A139" s="1" t="n">
        <x:v>133</x:v>
      </x:c>
      <x:c r="B139" s="23" t="s">
        <x:v>744</x:v>
      </x:c>
      <x:c r="C139" s="24" t="n">
        <x:v>20219</x:v>
      </x:c>
      <x:c r="D139" s="1" t="s">
        <x:v>613</x:v>
      </x:c>
      <x:c r="E139" s="78" t="n">
        <x:f aca="0">IF(C139&lt;等级门槛!$D$14,1,MATCH(C139,等级门槛!$D$14:$D$113,1))</x:f>
        <x:v>18</x:v>
      </x:c>
      <x:c r="F139" s="79" t="n">
        <x:f aca="0">MIN(5,ROUNDUP(E139/20,0))</x:f>
        <x:v>1</x:v>
      </x:c>
      <x:c r="G139" s="24" t="n">
        <x:f aca="0">IF(E139=100,"已达Lv100",INDEX(等级门槛!$D$14:$D$113,E139+1))</x:f>
        <x:v>20500</x:v>
      </x:c>
      <x:c r="H139" s="23" t="str">
        <x:f aca="0">IF(D139="否","特殊样本，仅迁移展示；不参与档位与分布统计",IF(C139=0,"有效存量CP；CP累计字段为0，需核验迁移",IF(C139&lt;1000,"有效存量CP；低于新门槛，统一映射Lv1","")))</x:f>
      </x:c>
    </x:row>
    <x:row r="140" ht="19" hidden="0" customHeight="1">
      <x:c r="A140" s="1" t="n">
        <x:v>134</x:v>
      </x:c>
      <x:c r="B140" s="23" t="s">
        <x:v>745</x:v>
      </x:c>
      <x:c r="C140" s="24" t="n">
        <x:v>18311</x:v>
      </x:c>
      <x:c r="D140" s="1" t="s">
        <x:v>613</x:v>
      </x:c>
      <x:c r="E140" s="78" t="n">
        <x:f aca="0">IF(C140&lt;等级门槛!$D$14,1,MATCH(C140,等级门槛!$D$14:$D$113,1))</x:f>
        <x:v>17</x:v>
      </x:c>
      <x:c r="F140" s="79" t="n">
        <x:f aca="0">MIN(5,ROUNDUP(E140/20,0))</x:f>
        <x:v>1</x:v>
      </x:c>
      <x:c r="G140" s="24" t="n">
        <x:f aca="0">IF(E140=100,"已达Lv100",INDEX(等级门槛!$D$14:$D$113,E140+1))</x:f>
        <x:v>18500</x:v>
      </x:c>
      <x:c r="H140" s="23" t="str">
        <x:f aca="0">IF(D140="否","特殊样本，仅迁移展示；不参与档位与分布统计",IF(C140=0,"有效存量CP；CP累计字段为0，需核验迁移",IF(C140&lt;1000,"有效存量CP；低于新门槛，统一映射Lv1","")))</x:f>
      </x:c>
    </x:row>
    <x:row r="141" ht="19" hidden="0" customHeight="1">
      <x:c r="A141" s="1" t="n">
        <x:v>135</x:v>
      </x:c>
      <x:c r="B141" s="23" t="s">
        <x:v>746</x:v>
      </x:c>
      <x:c r="C141" s="24" t="n">
        <x:v>18239</x:v>
      </x:c>
      <x:c r="D141" s="1" t="s">
        <x:v>613</x:v>
      </x:c>
      <x:c r="E141" s="78" t="n">
        <x:f aca="0">IF(C141&lt;等级门槛!$D$14,1,MATCH(C141,等级门槛!$D$14:$D$113,1))</x:f>
        <x:v>17</x:v>
      </x:c>
      <x:c r="F141" s="79" t="n">
        <x:f aca="0">MIN(5,ROUNDUP(E141/20,0))</x:f>
        <x:v>1</x:v>
      </x:c>
      <x:c r="G141" s="24" t="n">
        <x:f aca="0">IF(E141=100,"已达Lv100",INDEX(等级门槛!$D$14:$D$113,E141+1))</x:f>
        <x:v>18500</x:v>
      </x:c>
      <x:c r="H141" s="23" t="str">
        <x:f aca="0">IF(D141="否","特殊样本，仅迁移展示；不参与档位与分布统计",IF(C141=0,"有效存量CP；CP累计字段为0，需核验迁移",IF(C141&lt;1000,"有效存量CP；低于新门槛，统一映射Lv1","")))</x:f>
      </x:c>
    </x:row>
    <x:row r="142" ht="19" hidden="0" customHeight="1">
      <x:c r="A142" s="1" t="n">
        <x:v>136</x:v>
      </x:c>
      <x:c r="B142" s="23" t="s">
        <x:v>747</x:v>
      </x:c>
      <x:c r="C142" s="24" t="n">
        <x:v>17457</x:v>
      </x:c>
      <x:c r="D142" s="1" t="s">
        <x:v>613</x:v>
      </x:c>
      <x:c r="E142" s="78" t="n">
        <x:f aca="0">IF(C142&lt;等级门槛!$D$14,1,MATCH(C142,等级门槛!$D$14:$D$113,1))</x:f>
        <x:v>17</x:v>
      </x:c>
      <x:c r="F142" s="79" t="n">
        <x:f aca="0">MIN(5,ROUNDUP(E142/20,0))</x:f>
        <x:v>1</x:v>
      </x:c>
      <x:c r="G142" s="24" t="n">
        <x:f aca="0">IF(E142=100,"已达Lv100",INDEX(等级门槛!$D$14:$D$113,E142+1))</x:f>
        <x:v>18500</x:v>
      </x:c>
      <x:c r="H142" s="23" t="str">
        <x:f aca="0">IF(D142="否","特殊样本，仅迁移展示；不参与档位与分布统计",IF(C142=0,"有效存量CP；CP累计字段为0，需核验迁移",IF(C142&lt;1000,"有效存量CP；低于新门槛，统一映射Lv1","")))</x:f>
      </x:c>
    </x:row>
    <x:row r="143" ht="19" hidden="0" customHeight="1">
      <x:c r="A143" s="1" t="n">
        <x:v>137</x:v>
      </x:c>
      <x:c r="B143" s="23" t="s">
        <x:v>748</x:v>
      </x:c>
      <x:c r="C143" s="24" t="n">
        <x:v>17420</x:v>
      </x:c>
      <x:c r="D143" s="1" t="s">
        <x:v>613</x:v>
      </x:c>
      <x:c r="E143" s="78" t="n">
        <x:f aca="0">IF(C143&lt;等级门槛!$D$14,1,MATCH(C143,等级门槛!$D$14:$D$113,1))</x:f>
        <x:v>17</x:v>
      </x:c>
      <x:c r="F143" s="79" t="n">
        <x:f aca="0">MIN(5,ROUNDUP(E143/20,0))</x:f>
        <x:v>1</x:v>
      </x:c>
      <x:c r="G143" s="24" t="n">
        <x:f aca="0">IF(E143=100,"已达Lv100",INDEX(等级门槛!$D$14:$D$113,E143+1))</x:f>
        <x:v>18500</x:v>
      </x:c>
      <x:c r="H143" s="23" t="str">
        <x:f aca="0">IF(D143="否","特殊样本，仅迁移展示；不参与档位与分布统计",IF(C143=0,"有效存量CP；CP累计字段为0，需核验迁移",IF(C143&lt;1000,"有效存量CP；低于新门槛，统一映射Lv1","")))</x:f>
      </x:c>
    </x:row>
    <x:row r="144" ht="19" hidden="0" customHeight="1">
      <x:c r="A144" s="1" t="n">
        <x:v>138</x:v>
      </x:c>
      <x:c r="B144" s="23" t="s">
        <x:v>749</x:v>
      </x:c>
      <x:c r="C144" s="24" t="n">
        <x:v>17298</x:v>
      </x:c>
      <x:c r="D144" s="1" t="s">
        <x:v>613</x:v>
      </x:c>
      <x:c r="E144" s="78" t="n">
        <x:f aca="0">IF(C144&lt;等级门槛!$D$14,1,MATCH(C144,等级门槛!$D$14:$D$113,1))</x:f>
        <x:v>17</x:v>
      </x:c>
      <x:c r="F144" s="79" t="n">
        <x:f aca="0">MIN(5,ROUNDUP(E144/20,0))</x:f>
        <x:v>1</x:v>
      </x:c>
      <x:c r="G144" s="24" t="n">
        <x:f aca="0">IF(E144=100,"已达Lv100",INDEX(等级门槛!$D$14:$D$113,E144+1))</x:f>
        <x:v>18500</x:v>
      </x:c>
      <x:c r="H144" s="23" t="str">
        <x:f aca="0">IF(D144="否","特殊样本，仅迁移展示；不参与档位与分布统计",IF(C144=0,"有效存量CP；CP累计字段为0，需核验迁移",IF(C144&lt;1000,"有效存量CP；低于新门槛，统一映射Lv1","")))</x:f>
      </x:c>
    </x:row>
    <x:row r="145" ht="19" hidden="0" customHeight="1">
      <x:c r="A145" s="1" t="n">
        <x:v>139</x:v>
      </x:c>
      <x:c r="B145" s="23" t="s">
        <x:v>750</x:v>
      </x:c>
      <x:c r="C145" s="24" t="n">
        <x:v>17192</x:v>
      </x:c>
      <x:c r="D145" s="1" t="s">
        <x:v>613</x:v>
      </x:c>
      <x:c r="E145" s="78" t="n">
        <x:f aca="0">IF(C145&lt;等级门槛!$D$14,1,MATCH(C145,等级门槛!$D$14:$D$113,1))</x:f>
        <x:v>17</x:v>
      </x:c>
      <x:c r="F145" s="79" t="n">
        <x:f aca="0">MIN(5,ROUNDUP(E145/20,0))</x:f>
        <x:v>1</x:v>
      </x:c>
      <x:c r="G145" s="24" t="n">
        <x:f aca="0">IF(E145=100,"已达Lv100",INDEX(等级门槛!$D$14:$D$113,E145+1))</x:f>
        <x:v>18500</x:v>
      </x:c>
      <x:c r="H145" s="23" t="str">
        <x:f aca="0">IF(D145="否","特殊样本，仅迁移展示；不参与档位与分布统计",IF(C145=0,"有效存量CP；CP累计字段为0，需核验迁移",IF(C145&lt;1000,"有效存量CP；低于新门槛，统一映射Lv1","")))</x:f>
      </x:c>
    </x:row>
    <x:row r="146" ht="19" hidden="0" customHeight="1">
      <x:c r="A146" s="1" t="n">
        <x:v>140</x:v>
      </x:c>
      <x:c r="B146" s="23" t="s">
        <x:v>751</x:v>
      </x:c>
      <x:c r="C146" s="24" t="n">
        <x:v>16981</x:v>
      </x:c>
      <x:c r="D146" s="1" t="s">
        <x:v>613</x:v>
      </x:c>
      <x:c r="E146" s="78" t="n">
        <x:f aca="0">IF(C146&lt;等级门槛!$D$14,1,MATCH(C146,等级门槛!$D$14:$D$113,1))</x:f>
        <x:v>17</x:v>
      </x:c>
      <x:c r="F146" s="79" t="n">
        <x:f aca="0">MIN(5,ROUNDUP(E146/20,0))</x:f>
        <x:v>1</x:v>
      </x:c>
      <x:c r="G146" s="24" t="n">
        <x:f aca="0">IF(E146=100,"已达Lv100",INDEX(等级门槛!$D$14:$D$113,E146+1))</x:f>
        <x:v>18500</x:v>
      </x:c>
      <x:c r="H146" s="23" t="str">
        <x:f aca="0">IF(D146="否","特殊样本，仅迁移展示；不参与档位与分布统计",IF(C146=0,"有效存量CP；CP累计字段为0，需核验迁移",IF(C146&lt;1000,"有效存量CP；低于新门槛，统一映射Lv1","")))</x:f>
      </x:c>
    </x:row>
    <x:row r="147" ht="19" hidden="0" customHeight="1">
      <x:c r="A147" s="1" t="n">
        <x:v>141</x:v>
      </x:c>
      <x:c r="B147" s="23" t="s">
        <x:v>752</x:v>
      </x:c>
      <x:c r="C147" s="24" t="n">
        <x:v>16867</x:v>
      </x:c>
      <x:c r="D147" s="1" t="s">
        <x:v>613</x:v>
      </x:c>
      <x:c r="E147" s="78" t="n">
        <x:f aca="0">IF(C147&lt;等级门槛!$D$14,1,MATCH(C147,等级门槛!$D$14:$D$113,1))</x:f>
        <x:v>17</x:v>
      </x:c>
      <x:c r="F147" s="79" t="n">
        <x:f aca="0">MIN(5,ROUNDUP(E147/20,0))</x:f>
        <x:v>1</x:v>
      </x:c>
      <x:c r="G147" s="24" t="n">
        <x:f aca="0">IF(E147=100,"已达Lv100",INDEX(等级门槛!$D$14:$D$113,E147+1))</x:f>
        <x:v>18500</x:v>
      </x:c>
      <x:c r="H147" s="23" t="str">
        <x:f aca="0">IF(D147="否","特殊样本，仅迁移展示；不参与档位与分布统计",IF(C147=0,"有效存量CP；CP累计字段为0，需核验迁移",IF(C147&lt;1000,"有效存量CP；低于新门槛，统一映射Lv1","")))</x:f>
      </x:c>
    </x:row>
    <x:row r="148" ht="19" hidden="0" customHeight="1">
      <x:c r="A148" s="1" t="n">
        <x:v>142</x:v>
      </x:c>
      <x:c r="B148" s="23" t="s">
        <x:v>753</x:v>
      </x:c>
      <x:c r="C148" s="24" t="n">
        <x:v>16546</x:v>
      </x:c>
      <x:c r="D148" s="1" t="s">
        <x:v>613</x:v>
      </x:c>
      <x:c r="E148" s="78" t="n">
        <x:f aca="0">IF(C148&lt;等级门槛!$D$14,1,MATCH(C148,等级门槛!$D$14:$D$113,1))</x:f>
        <x:v>16</x:v>
      </x:c>
      <x:c r="F148" s="79" t="n">
        <x:f aca="0">MIN(5,ROUNDUP(E148/20,0))</x:f>
        <x:v>1</x:v>
      </x:c>
      <x:c r="G148" s="24" t="n">
        <x:f aca="0">IF(E148=100,"已达Lv100",INDEX(等级门槛!$D$14:$D$113,E148+1))</x:f>
        <x:v>16700</x:v>
      </x:c>
      <x:c r="H148" s="23" t="str">
        <x:f aca="0">IF(D148="否","特殊样本，仅迁移展示；不参与档位与分布统计",IF(C148=0,"有效存量CP；CP累计字段为0，需核验迁移",IF(C148&lt;1000,"有效存量CP；低于新门槛，统一映射Lv1","")))</x:f>
      </x:c>
    </x:row>
    <x:row r="149" ht="19" hidden="0" customHeight="1">
      <x:c r="A149" s="1" t="n">
        <x:v>143</x:v>
      </x:c>
      <x:c r="B149" s="23" t="s">
        <x:v>754</x:v>
      </x:c>
      <x:c r="C149" s="24" t="n">
        <x:v>16365</x:v>
      </x:c>
      <x:c r="D149" s="1" t="s">
        <x:v>613</x:v>
      </x:c>
      <x:c r="E149" s="78" t="n">
        <x:f aca="0">IF(C149&lt;等级门槛!$D$14,1,MATCH(C149,等级门槛!$D$14:$D$113,1))</x:f>
        <x:v>16</x:v>
      </x:c>
      <x:c r="F149" s="79" t="n">
        <x:f aca="0">MIN(5,ROUNDUP(E149/20,0))</x:f>
        <x:v>1</x:v>
      </x:c>
      <x:c r="G149" s="24" t="n">
        <x:f aca="0">IF(E149=100,"已达Lv100",INDEX(等级门槛!$D$14:$D$113,E149+1))</x:f>
        <x:v>16700</x:v>
      </x:c>
      <x:c r="H149" s="23" t="str">
        <x:f aca="0">IF(D149="否","特殊样本，仅迁移展示；不参与档位与分布统计",IF(C149=0,"有效存量CP；CP累计字段为0，需核验迁移",IF(C149&lt;1000,"有效存量CP；低于新门槛，统一映射Lv1","")))</x:f>
      </x:c>
    </x:row>
    <x:row r="150" ht="19" hidden="0" customHeight="1">
      <x:c r="A150" s="1" t="n">
        <x:v>144</x:v>
      </x:c>
      <x:c r="B150" s="23" t="s">
        <x:v>755</x:v>
      </x:c>
      <x:c r="C150" s="24" t="n">
        <x:v>15592</x:v>
      </x:c>
      <x:c r="D150" s="1" t="s">
        <x:v>613</x:v>
      </x:c>
      <x:c r="E150" s="78" t="n">
        <x:f aca="0">IF(C150&lt;等级门槛!$D$14,1,MATCH(C150,等级门槛!$D$14:$D$113,1))</x:f>
        <x:v>16</x:v>
      </x:c>
      <x:c r="F150" s="79" t="n">
        <x:f aca="0">MIN(5,ROUNDUP(E150/20,0))</x:f>
        <x:v>1</x:v>
      </x:c>
      <x:c r="G150" s="24" t="n">
        <x:f aca="0">IF(E150=100,"已达Lv100",INDEX(等级门槛!$D$14:$D$113,E150+1))</x:f>
        <x:v>16700</x:v>
      </x:c>
      <x:c r="H150" s="23" t="str">
        <x:f aca="0">IF(D150="否","特殊样本，仅迁移展示；不参与档位与分布统计",IF(C150=0,"有效存量CP；CP累计字段为0，需核验迁移",IF(C150&lt;1000,"有效存量CP；低于新门槛，统一映射Lv1","")))</x:f>
      </x:c>
    </x:row>
    <x:row r="151" ht="19" hidden="0" customHeight="1">
      <x:c r="A151" s="1" t="n">
        <x:v>145</x:v>
      </x:c>
      <x:c r="B151" s="23" t="s">
        <x:v>756</x:v>
      </x:c>
      <x:c r="C151" s="24" t="n">
        <x:v>15402</x:v>
      </x:c>
      <x:c r="D151" s="1" t="s">
        <x:v>613</x:v>
      </x:c>
      <x:c r="E151" s="78" t="n">
        <x:f aca="0">IF(C151&lt;等级门槛!$D$14,1,MATCH(C151,等级门槛!$D$14:$D$113,1))</x:f>
        <x:v>16</x:v>
      </x:c>
      <x:c r="F151" s="79" t="n">
        <x:f aca="0">MIN(5,ROUNDUP(E151/20,0))</x:f>
        <x:v>1</x:v>
      </x:c>
      <x:c r="G151" s="24" t="n">
        <x:f aca="0">IF(E151=100,"已达Lv100",INDEX(等级门槛!$D$14:$D$113,E151+1))</x:f>
        <x:v>16700</x:v>
      </x:c>
      <x:c r="H151" s="23" t="str">
        <x:f aca="0">IF(D151="否","特殊样本，仅迁移展示；不参与档位与分布统计",IF(C151=0,"有效存量CP；CP累计字段为0，需核验迁移",IF(C151&lt;1000,"有效存量CP；低于新门槛，统一映射Lv1","")))</x:f>
      </x:c>
    </x:row>
    <x:row r="152" ht="19" hidden="0" customHeight="1">
      <x:c r="A152" s="1" t="n">
        <x:v>146</x:v>
      </x:c>
      <x:c r="B152" s="23" t="s">
        <x:v>757</x:v>
      </x:c>
      <x:c r="C152" s="24" t="n">
        <x:v>15334</x:v>
      </x:c>
      <x:c r="D152" s="1" t="s">
        <x:v>613</x:v>
      </x:c>
      <x:c r="E152" s="78" t="n">
        <x:f aca="0">IF(C152&lt;等级门槛!$D$14,1,MATCH(C152,等级门槛!$D$14:$D$113,1))</x:f>
        <x:v>16</x:v>
      </x:c>
      <x:c r="F152" s="79" t="n">
        <x:f aca="0">MIN(5,ROUNDUP(E152/20,0))</x:f>
        <x:v>1</x:v>
      </x:c>
      <x:c r="G152" s="24" t="n">
        <x:f aca="0">IF(E152=100,"已达Lv100",INDEX(等级门槛!$D$14:$D$113,E152+1))</x:f>
        <x:v>16700</x:v>
      </x:c>
      <x:c r="H152" s="23" t="str">
        <x:f aca="0">IF(D152="否","特殊样本，仅迁移展示；不参与档位与分布统计",IF(C152=0,"有效存量CP；CP累计字段为0，需核验迁移",IF(C152&lt;1000,"有效存量CP；低于新门槛，统一映射Lv1","")))</x:f>
      </x:c>
    </x:row>
    <x:row r="153" ht="19" hidden="0" customHeight="1">
      <x:c r="A153" s="1" t="n">
        <x:v>147</x:v>
      </x:c>
      <x:c r="B153" s="23" t="s">
        <x:v>758</x:v>
      </x:c>
      <x:c r="C153" s="24" t="n">
        <x:v>15213</x:v>
      </x:c>
      <x:c r="D153" s="1" t="s">
        <x:v>613</x:v>
      </x:c>
      <x:c r="E153" s="78" t="n">
        <x:f aca="0">IF(C153&lt;等级门槛!$D$14,1,MATCH(C153,等级门槛!$D$14:$D$113,1))</x:f>
        <x:v>16</x:v>
      </x:c>
      <x:c r="F153" s="79" t="n">
        <x:f aca="0">MIN(5,ROUNDUP(E153/20,0))</x:f>
        <x:v>1</x:v>
      </x:c>
      <x:c r="G153" s="24" t="n">
        <x:f aca="0">IF(E153=100,"已达Lv100",INDEX(等级门槛!$D$14:$D$113,E153+1))</x:f>
        <x:v>16700</x:v>
      </x:c>
      <x:c r="H153" s="23" t="str">
        <x:f aca="0">IF(D153="否","特殊样本，仅迁移展示；不参与档位与分布统计",IF(C153=0,"有效存量CP；CP累计字段为0，需核验迁移",IF(C153&lt;1000,"有效存量CP；低于新门槛，统一映射Lv1","")))</x:f>
      </x:c>
    </x:row>
    <x:row r="154" ht="19" hidden="0" customHeight="1">
      <x:c r="A154" s="1" t="n">
        <x:v>148</x:v>
      </x:c>
      <x:c r="B154" s="23" t="s">
        <x:v>759</x:v>
      </x:c>
      <x:c r="C154" s="24" t="n">
        <x:v>15182</x:v>
      </x:c>
      <x:c r="D154" s="1" t="s">
        <x:v>613</x:v>
      </x:c>
      <x:c r="E154" s="78" t="n">
        <x:f aca="0">IF(C154&lt;等级门槛!$D$14,1,MATCH(C154,等级门槛!$D$14:$D$113,1))</x:f>
        <x:v>16</x:v>
      </x:c>
      <x:c r="F154" s="79" t="n">
        <x:f aca="0">MIN(5,ROUNDUP(E154/20,0))</x:f>
        <x:v>1</x:v>
      </x:c>
      <x:c r="G154" s="24" t="n">
        <x:f aca="0">IF(E154=100,"已达Lv100",INDEX(等级门槛!$D$14:$D$113,E154+1))</x:f>
        <x:v>16700</x:v>
      </x:c>
      <x:c r="H154" s="23" t="str">
        <x:f aca="0">IF(D154="否","特殊样本，仅迁移展示；不参与档位与分布统计",IF(C154=0,"有效存量CP；CP累计字段为0，需核验迁移",IF(C154&lt;1000,"有效存量CP；低于新门槛，统一映射Lv1","")))</x:f>
      </x:c>
    </x:row>
    <x:row r="155" ht="19" hidden="0" customHeight="1">
      <x:c r="A155" s="1" t="n">
        <x:v>149</x:v>
      </x:c>
      <x:c r="B155" s="23" t="s">
        <x:v>760</x:v>
      </x:c>
      <x:c r="C155" s="24" t="n">
        <x:v>15033</x:v>
      </x:c>
      <x:c r="D155" s="1" t="s">
        <x:v>613</x:v>
      </x:c>
      <x:c r="E155" s="78" t="n">
        <x:f aca="0">IF(C155&lt;等级门槛!$D$14,1,MATCH(C155,等级门槛!$D$14:$D$113,1))</x:f>
        <x:v>16</x:v>
      </x:c>
      <x:c r="F155" s="79" t="n">
        <x:f aca="0">MIN(5,ROUNDUP(E155/20,0))</x:f>
        <x:v>1</x:v>
      </x:c>
      <x:c r="G155" s="24" t="n">
        <x:f aca="0">IF(E155=100,"已达Lv100",INDEX(等级门槛!$D$14:$D$113,E155+1))</x:f>
        <x:v>16700</x:v>
      </x:c>
      <x:c r="H155" s="23" t="str">
        <x:f aca="0">IF(D155="否","特殊样本，仅迁移展示；不参与档位与分布统计",IF(C155=0,"有效存量CP；CP累计字段为0，需核验迁移",IF(C155&lt;1000,"有效存量CP；低于新门槛，统一映射Lv1","")))</x:f>
      </x:c>
    </x:row>
    <x:row r="156" ht="19" hidden="0" customHeight="1">
      <x:c r="A156" s="1" t="n">
        <x:v>150</x:v>
      </x:c>
      <x:c r="B156" s="23" t="s">
        <x:v>761</x:v>
      </x:c>
      <x:c r="C156" s="24" t="n">
        <x:v>14115</x:v>
      </x:c>
      <x:c r="D156" s="1" t="s">
        <x:v>613</x:v>
      </x:c>
      <x:c r="E156" s="78" t="n">
        <x:f aca="0">IF(C156&lt;等级门槛!$D$14,1,MATCH(C156,等级门槛!$D$14:$D$113,1))</x:f>
        <x:v>15</x:v>
      </x:c>
      <x:c r="F156" s="79" t="n">
        <x:f aca="0">MIN(5,ROUNDUP(E156/20,0))</x:f>
        <x:v>1</x:v>
      </x:c>
      <x:c r="G156" s="24" t="n">
        <x:f aca="0">IF(E156=100,"已达Lv100",INDEX(等级门槛!$D$14:$D$113,E156+1))</x:f>
        <x:v>15000</x:v>
      </x:c>
      <x:c r="H156" s="23" t="str">
        <x:f aca="0">IF(D156="否","特殊样本，仅迁移展示；不参与档位与分布统计",IF(C156=0,"有效存量CP；CP累计字段为0，需核验迁移",IF(C156&lt;1000,"有效存量CP；低于新门槛，统一映射Lv1","")))</x:f>
      </x:c>
    </x:row>
    <x:row r="157" ht="19" hidden="0" customHeight="1">
      <x:c r="A157" s="1" t="n">
        <x:v>151</x:v>
      </x:c>
      <x:c r="B157" s="23" t="s">
        <x:v>762</x:v>
      </x:c>
      <x:c r="C157" s="24" t="n">
        <x:v>13587</x:v>
      </x:c>
      <x:c r="D157" s="1" t="s">
        <x:v>613</x:v>
      </x:c>
      <x:c r="E157" s="78" t="n">
        <x:f aca="0">IF(C157&lt;等级门槛!$D$14,1,MATCH(C157,等级门槛!$D$14:$D$113,1))</x:f>
        <x:v>15</x:v>
      </x:c>
      <x:c r="F157" s="79" t="n">
        <x:f aca="0">MIN(5,ROUNDUP(E157/20,0))</x:f>
        <x:v>1</x:v>
      </x:c>
      <x:c r="G157" s="24" t="n">
        <x:f aca="0">IF(E157=100,"已达Lv100",INDEX(等级门槛!$D$14:$D$113,E157+1))</x:f>
        <x:v>15000</x:v>
      </x:c>
      <x:c r="H157" s="23" t="str">
        <x:f aca="0">IF(D157="否","特殊样本，仅迁移展示；不参与档位与分布统计",IF(C157=0,"有效存量CP；CP累计字段为0，需核验迁移",IF(C157&lt;1000,"有效存量CP；低于新门槛，统一映射Lv1","")))</x:f>
      </x:c>
    </x:row>
    <x:row r="158" ht="19" hidden="0" customHeight="1">
      <x:c r="A158" s="1" t="n">
        <x:v>152</x:v>
      </x:c>
      <x:c r="B158" s="23" t="s">
        <x:v>763</x:v>
      </x:c>
      <x:c r="C158" s="24" t="n">
        <x:v>13053</x:v>
      </x:c>
      <x:c r="D158" s="1" t="s">
        <x:v>613</x:v>
      </x:c>
      <x:c r="E158" s="78" t="n">
        <x:f aca="0">IF(C158&lt;等级门槛!$D$14,1,MATCH(C158,等级门槛!$D$14:$D$113,1))</x:f>
        <x:v>14</x:v>
      </x:c>
      <x:c r="F158" s="79" t="n">
        <x:f aca="0">MIN(5,ROUNDUP(E158/20,0))</x:f>
        <x:v>1</x:v>
      </x:c>
      <x:c r="G158" s="24" t="n">
        <x:f aca="0">IF(E158=100,"已达Lv100",INDEX(等级门槛!$D$14:$D$113,E158+1))</x:f>
        <x:v>13400</x:v>
      </x:c>
      <x:c r="H158" s="23" t="str">
        <x:f aca="0">IF(D158="否","特殊样本，仅迁移展示；不参与档位与分布统计",IF(C158=0,"有效存量CP；CP累计字段为0，需核验迁移",IF(C158&lt;1000,"有效存量CP；低于新门槛，统一映射Lv1","")))</x:f>
      </x:c>
    </x:row>
    <x:row r="159" ht="19" hidden="0" customHeight="1">
      <x:c r="A159" s="1" t="n">
        <x:v>153</x:v>
      </x:c>
      <x:c r="B159" s="23" t="s">
        <x:v>764</x:v>
      </x:c>
      <x:c r="C159" s="24" t="n">
        <x:v>12364</x:v>
      </x:c>
      <x:c r="D159" s="1" t="s">
        <x:v>613</x:v>
      </x:c>
      <x:c r="E159" s="78" t="n">
        <x:f aca="0">IF(C159&lt;等级门槛!$D$14,1,MATCH(C159,等级门槛!$D$14:$D$113,1))</x:f>
        <x:v>14</x:v>
      </x:c>
      <x:c r="F159" s="79" t="n">
        <x:f aca="0">MIN(5,ROUNDUP(E159/20,0))</x:f>
        <x:v>1</x:v>
      </x:c>
      <x:c r="G159" s="24" t="n">
        <x:f aca="0">IF(E159=100,"已达Lv100",INDEX(等级门槛!$D$14:$D$113,E159+1))</x:f>
        <x:v>13400</x:v>
      </x:c>
      <x:c r="H159" s="23" t="str">
        <x:f aca="0">IF(D159="否","特殊样本，仅迁移展示；不参与档位与分布统计",IF(C159=0,"有效存量CP；CP累计字段为0，需核验迁移",IF(C159&lt;1000,"有效存量CP；低于新门槛，统一映射Lv1","")))</x:f>
      </x:c>
    </x:row>
    <x:row r="160" ht="19" hidden="0" customHeight="1">
      <x:c r="A160" s="1" t="n">
        <x:v>154</x:v>
      </x:c>
      <x:c r="B160" s="23" t="s">
        <x:v>765</x:v>
      </x:c>
      <x:c r="C160" s="24" t="n">
        <x:v>12335</x:v>
      </x:c>
      <x:c r="D160" s="1" t="s">
        <x:v>613</x:v>
      </x:c>
      <x:c r="E160" s="78" t="n">
        <x:f aca="0">IF(C160&lt;等级门槛!$D$14,1,MATCH(C160,等级门槛!$D$14:$D$113,1))</x:f>
        <x:v>14</x:v>
      </x:c>
      <x:c r="F160" s="79" t="n">
        <x:f aca="0">MIN(5,ROUNDUP(E160/20,0))</x:f>
        <x:v>1</x:v>
      </x:c>
      <x:c r="G160" s="24" t="n">
        <x:f aca="0">IF(E160=100,"已达Lv100",INDEX(等级门槛!$D$14:$D$113,E160+1))</x:f>
        <x:v>13400</x:v>
      </x:c>
      <x:c r="H160" s="23" t="str">
        <x:f aca="0">IF(D160="否","特殊样本，仅迁移展示；不参与档位与分布统计",IF(C160=0,"有效存量CP；CP累计字段为0，需核验迁移",IF(C160&lt;1000,"有效存量CP；低于新门槛，统一映射Lv1","")))</x:f>
      </x:c>
    </x:row>
    <x:row r="161" ht="19" hidden="0" customHeight="1">
      <x:c r="A161" s="1" t="n">
        <x:v>155</x:v>
      </x:c>
      <x:c r="B161" s="23" t="s">
        <x:v>766</x:v>
      </x:c>
      <x:c r="C161" s="24" t="n">
        <x:v>12335</x:v>
      </x:c>
      <x:c r="D161" s="1" t="s">
        <x:v>613</x:v>
      </x:c>
      <x:c r="E161" s="78" t="n">
        <x:f aca="0">IF(C161&lt;等级门槛!$D$14,1,MATCH(C161,等级门槛!$D$14:$D$113,1))</x:f>
        <x:v>14</x:v>
      </x:c>
      <x:c r="F161" s="79" t="n">
        <x:f aca="0">MIN(5,ROUNDUP(E161/20,0))</x:f>
        <x:v>1</x:v>
      </x:c>
      <x:c r="G161" s="24" t="n">
        <x:f aca="0">IF(E161=100,"已达Lv100",INDEX(等级门槛!$D$14:$D$113,E161+1))</x:f>
        <x:v>13400</x:v>
      </x:c>
      <x:c r="H161" s="23" t="str">
        <x:f aca="0">IF(D161="否","特殊样本，仅迁移展示；不参与档位与分布统计",IF(C161=0,"有效存量CP；CP累计字段为0，需核验迁移",IF(C161&lt;1000,"有效存量CP；低于新门槛，统一映射Lv1","")))</x:f>
      </x:c>
    </x:row>
    <x:row r="162" ht="19" hidden="0" customHeight="1">
      <x:c r="A162" s="1" t="n">
        <x:v>156</x:v>
      </x:c>
      <x:c r="B162" s="23" t="s">
        <x:v>767</x:v>
      </x:c>
      <x:c r="C162" s="24" t="n">
        <x:v>12246</x:v>
      </x:c>
      <x:c r="D162" s="1" t="s">
        <x:v>613</x:v>
      </x:c>
      <x:c r="E162" s="78" t="n">
        <x:f aca="0">IF(C162&lt;等级门槛!$D$14,1,MATCH(C162,等级门槛!$D$14:$D$113,1))</x:f>
        <x:v>14</x:v>
      </x:c>
      <x:c r="F162" s="79" t="n">
        <x:f aca="0">MIN(5,ROUNDUP(E162/20,0))</x:f>
        <x:v>1</x:v>
      </x:c>
      <x:c r="G162" s="24" t="n">
        <x:f aca="0">IF(E162=100,"已达Lv100",INDEX(等级门槛!$D$14:$D$113,E162+1))</x:f>
        <x:v>13400</x:v>
      </x:c>
      <x:c r="H162" s="23" t="str">
        <x:f aca="0">IF(D162="否","特殊样本，仅迁移展示；不参与档位与分布统计",IF(C162=0,"有效存量CP；CP累计字段为0，需核验迁移",IF(C162&lt;1000,"有效存量CP；低于新门槛，统一映射Lv1","")))</x:f>
      </x:c>
    </x:row>
    <x:row r="163" ht="19" hidden="0" customHeight="1">
      <x:c r="A163" s="1" t="n">
        <x:v>157</x:v>
      </x:c>
      <x:c r="B163" s="23" t="s">
        <x:v>768</x:v>
      </x:c>
      <x:c r="C163" s="24" t="n">
        <x:v>11746</x:v>
      </x:c>
      <x:c r="D163" s="1" t="s">
        <x:v>613</x:v>
      </x:c>
      <x:c r="E163" s="78" t="n">
        <x:f aca="0">IF(C163&lt;等级门槛!$D$14,1,MATCH(C163,等级门槛!$D$14:$D$113,1))</x:f>
        <x:v>13</x:v>
      </x:c>
      <x:c r="F163" s="79" t="n">
        <x:f aca="0">MIN(5,ROUNDUP(E163/20,0))</x:f>
        <x:v>1</x:v>
      </x:c>
      <x:c r="G163" s="24" t="n">
        <x:f aca="0">IF(E163=100,"已达Lv100",INDEX(等级门槛!$D$14:$D$113,E163+1))</x:f>
        <x:v>12000</x:v>
      </x:c>
      <x:c r="H163" s="23" t="str">
        <x:f aca="0">IF(D163="否","特殊样本，仅迁移展示；不参与档位与分布统计",IF(C163=0,"有效存量CP；CP累计字段为0，需核验迁移",IF(C163&lt;1000,"有效存量CP；低于新门槛，统一映射Lv1","")))</x:f>
      </x:c>
    </x:row>
    <x:row r="164" ht="19" hidden="0" customHeight="1">
      <x:c r="A164" s="1" t="n">
        <x:v>158</x:v>
      </x:c>
      <x:c r="B164" s="23" t="s">
        <x:v>769</x:v>
      </x:c>
      <x:c r="C164" s="24" t="n">
        <x:v>11709</x:v>
      </x:c>
      <x:c r="D164" s="1" t="s">
        <x:v>613</x:v>
      </x:c>
      <x:c r="E164" s="78" t="n">
        <x:f aca="0">IF(C164&lt;等级门槛!$D$14,1,MATCH(C164,等级门槛!$D$14:$D$113,1))</x:f>
        <x:v>13</x:v>
      </x:c>
      <x:c r="F164" s="79" t="n">
        <x:f aca="0">MIN(5,ROUNDUP(E164/20,0))</x:f>
        <x:v>1</x:v>
      </x:c>
      <x:c r="G164" s="24" t="n">
        <x:f aca="0">IF(E164=100,"已达Lv100",INDEX(等级门槛!$D$14:$D$113,E164+1))</x:f>
        <x:v>12000</x:v>
      </x:c>
      <x:c r="H164" s="23" t="str">
        <x:f aca="0">IF(D164="否","特殊样本，仅迁移展示；不参与档位与分布统计",IF(C164=0,"有效存量CP；CP累计字段为0，需核验迁移",IF(C164&lt;1000,"有效存量CP；低于新门槛，统一映射Lv1","")))</x:f>
      </x:c>
    </x:row>
    <x:row r="165" ht="19" hidden="0" customHeight="1">
      <x:c r="A165" s="1" t="n">
        <x:v>159</x:v>
      </x:c>
      <x:c r="B165" s="23" t="s">
        <x:v>770</x:v>
      </x:c>
      <x:c r="C165" s="24" t="n">
        <x:v>11699</x:v>
      </x:c>
      <x:c r="D165" s="1" t="s">
        <x:v>613</x:v>
      </x:c>
      <x:c r="E165" s="78" t="n">
        <x:f aca="0">IF(C165&lt;等级门槛!$D$14,1,MATCH(C165,等级门槛!$D$14:$D$113,1))</x:f>
        <x:v>13</x:v>
      </x:c>
      <x:c r="F165" s="79" t="n">
        <x:f aca="0">MIN(5,ROUNDUP(E165/20,0))</x:f>
        <x:v>1</x:v>
      </x:c>
      <x:c r="G165" s="24" t="n">
        <x:f aca="0">IF(E165=100,"已达Lv100",INDEX(等级门槛!$D$14:$D$113,E165+1))</x:f>
        <x:v>12000</x:v>
      </x:c>
      <x:c r="H165" s="23" t="str">
        <x:f aca="0">IF(D165="否","特殊样本，仅迁移展示；不参与档位与分布统计",IF(C165=0,"有效存量CP；CP累计字段为0，需核验迁移",IF(C165&lt;1000,"有效存量CP；低于新门槛，统一映射Lv1","")))</x:f>
      </x:c>
    </x:row>
    <x:row r="166" ht="19" hidden="0" customHeight="1">
      <x:c r="A166" s="1" t="n">
        <x:v>160</x:v>
      </x:c>
      <x:c r="B166" s="23" t="s">
        <x:v>771</x:v>
      </x:c>
      <x:c r="C166" s="24" t="n">
        <x:v>11618</x:v>
      </x:c>
      <x:c r="D166" s="1" t="s">
        <x:v>613</x:v>
      </x:c>
      <x:c r="E166" s="78" t="n">
        <x:f aca="0">IF(C166&lt;等级门槛!$D$14,1,MATCH(C166,等级门槛!$D$14:$D$113,1))</x:f>
        <x:v>13</x:v>
      </x:c>
      <x:c r="F166" s="79" t="n">
        <x:f aca="0">MIN(5,ROUNDUP(E166/20,0))</x:f>
        <x:v>1</x:v>
      </x:c>
      <x:c r="G166" s="24" t="n">
        <x:f aca="0">IF(E166=100,"已达Lv100",INDEX(等级门槛!$D$14:$D$113,E166+1))</x:f>
        <x:v>12000</x:v>
      </x:c>
      <x:c r="H166" s="23" t="str">
        <x:f aca="0">IF(D166="否","特殊样本，仅迁移展示；不参与档位与分布统计",IF(C166=0,"有效存量CP；CP累计字段为0，需核验迁移",IF(C166&lt;1000,"有效存量CP；低于新门槛，统一映射Lv1","")))</x:f>
      </x:c>
    </x:row>
    <x:row r="167" ht="19" hidden="0" customHeight="1">
      <x:c r="A167" s="1" t="n">
        <x:v>161</x:v>
      </x:c>
      <x:c r="B167" s="23" t="s">
        <x:v>772</x:v>
      </x:c>
      <x:c r="C167" s="24" t="n">
        <x:v>11161</x:v>
      </x:c>
      <x:c r="D167" s="1" t="s">
        <x:v>613</x:v>
      </x:c>
      <x:c r="E167" s="78" t="n">
        <x:f aca="0">IF(C167&lt;等级门槛!$D$14,1,MATCH(C167,等级门槛!$D$14:$D$113,1))</x:f>
        <x:v>13</x:v>
      </x:c>
      <x:c r="F167" s="79" t="n">
        <x:f aca="0">MIN(5,ROUNDUP(E167/20,0))</x:f>
        <x:v>1</x:v>
      </x:c>
      <x:c r="G167" s="24" t="n">
        <x:f aca="0">IF(E167=100,"已达Lv100",INDEX(等级门槛!$D$14:$D$113,E167+1))</x:f>
        <x:v>12000</x:v>
      </x:c>
      <x:c r="H167" s="23" t="str">
        <x:f aca="0">IF(D167="否","特殊样本，仅迁移展示；不参与档位与分布统计",IF(C167=0,"有效存量CP；CP累计字段为0，需核验迁移",IF(C167&lt;1000,"有效存量CP；低于新门槛，统一映射Lv1","")))</x:f>
      </x:c>
    </x:row>
    <x:row r="168" ht="19" hidden="0" customHeight="1">
      <x:c r="A168" s="1" t="n">
        <x:v>162</x:v>
      </x:c>
      <x:c r="B168" s="23" t="s">
        <x:v>773</x:v>
      </x:c>
      <x:c r="C168" s="24" t="n">
        <x:v>11104</x:v>
      </x:c>
      <x:c r="D168" s="1" t="s">
        <x:v>613</x:v>
      </x:c>
      <x:c r="E168" s="78" t="n">
        <x:f aca="0">IF(C168&lt;等级门槛!$D$14,1,MATCH(C168,等级门槛!$D$14:$D$113,1))</x:f>
        <x:v>13</x:v>
      </x:c>
      <x:c r="F168" s="79" t="n">
        <x:f aca="0">MIN(5,ROUNDUP(E168/20,0))</x:f>
        <x:v>1</x:v>
      </x:c>
      <x:c r="G168" s="24" t="n">
        <x:f aca="0">IF(E168=100,"已达Lv100",INDEX(等级门槛!$D$14:$D$113,E168+1))</x:f>
        <x:v>12000</x:v>
      </x:c>
      <x:c r="H168" s="23" t="str">
        <x:f aca="0">IF(D168="否","特殊样本，仅迁移展示；不参与档位与分布统计",IF(C168=0,"有效存量CP；CP累计字段为0，需核验迁移",IF(C168&lt;1000,"有效存量CP；低于新门槛，统一映射Lv1","")))</x:f>
      </x:c>
    </x:row>
    <x:row r="169" ht="19" hidden="0" customHeight="1">
      <x:c r="A169" s="1" t="n">
        <x:v>163</x:v>
      </x:c>
      <x:c r="B169" s="23" t="s">
        <x:v>774</x:v>
      </x:c>
      <x:c r="C169" s="24" t="n">
        <x:v>11012</x:v>
      </x:c>
      <x:c r="D169" s="1" t="s">
        <x:v>613</x:v>
      </x:c>
      <x:c r="E169" s="78" t="n">
        <x:f aca="0">IF(C169&lt;等级门槛!$D$14,1,MATCH(C169,等级门槛!$D$14:$D$113,1))</x:f>
        <x:v>13</x:v>
      </x:c>
      <x:c r="F169" s="79" t="n">
        <x:f aca="0">MIN(5,ROUNDUP(E169/20,0))</x:f>
        <x:v>1</x:v>
      </x:c>
      <x:c r="G169" s="24" t="n">
        <x:f aca="0">IF(E169=100,"已达Lv100",INDEX(等级门槛!$D$14:$D$113,E169+1))</x:f>
        <x:v>12000</x:v>
      </x:c>
      <x:c r="H169" s="23" t="str">
        <x:f aca="0">IF(D169="否","特殊样本，仅迁移展示；不参与档位与分布统计",IF(C169=0,"有效存量CP；CP累计字段为0，需核验迁移",IF(C169&lt;1000,"有效存量CP；低于新门槛，统一映射Lv1","")))</x:f>
      </x:c>
    </x:row>
    <x:row r="170" ht="19" hidden="0" customHeight="1">
      <x:c r="A170" s="1" t="n">
        <x:v>164</x:v>
      </x:c>
      <x:c r="B170" s="23" t="s">
        <x:v>775</x:v>
      </x:c>
      <x:c r="C170" s="24" t="n">
        <x:v>10885</x:v>
      </x:c>
      <x:c r="D170" s="1" t="s">
        <x:v>613</x:v>
      </x:c>
      <x:c r="E170" s="78" t="n">
        <x:f aca="0">IF(C170&lt;等级门槛!$D$14,1,MATCH(C170,等级门槛!$D$14:$D$113,1))</x:f>
        <x:v>13</x:v>
      </x:c>
      <x:c r="F170" s="79" t="n">
        <x:f aca="0">MIN(5,ROUNDUP(E170/20,0))</x:f>
        <x:v>1</x:v>
      </x:c>
      <x:c r="G170" s="24" t="n">
        <x:f aca="0">IF(E170=100,"已达Lv100",INDEX(等级门槛!$D$14:$D$113,E170+1))</x:f>
        <x:v>12000</x:v>
      </x:c>
      <x:c r="H170" s="23" t="str">
        <x:f aca="0">IF(D170="否","特殊样本，仅迁移展示；不参与档位与分布统计",IF(C170=0,"有效存量CP；CP累计字段为0，需核验迁移",IF(C170&lt;1000,"有效存量CP；低于新门槛，统一映射Lv1","")))</x:f>
      </x:c>
    </x:row>
    <x:row r="171" ht="19" hidden="0" customHeight="1">
      <x:c r="A171" s="1" t="n">
        <x:v>165</x:v>
      </x:c>
      <x:c r="B171" s="23" t="s">
        <x:v>776</x:v>
      </x:c>
      <x:c r="C171" s="24" t="n">
        <x:v>10652</x:v>
      </x:c>
      <x:c r="D171" s="1" t="s">
        <x:v>613</x:v>
      </x:c>
      <x:c r="E171" s="78" t="n">
        <x:f aca="0">IF(C171&lt;等级门槛!$D$14,1,MATCH(C171,等级门槛!$D$14:$D$113,1))</x:f>
        <x:v>12</x:v>
      </x:c>
      <x:c r="F171" s="79" t="n">
        <x:f aca="0">MIN(5,ROUNDUP(E171/20,0))</x:f>
        <x:v>1</x:v>
      </x:c>
      <x:c r="G171" s="24" t="n">
        <x:f aca="0">IF(E171=100,"已达Lv100",INDEX(等级门槛!$D$14:$D$113,E171+1))</x:f>
        <x:v>10700</x:v>
      </x:c>
      <x:c r="H171" s="23" t="str">
        <x:f aca="0">IF(D171="否","特殊样本，仅迁移展示；不参与档位与分布统计",IF(C171=0,"有效存量CP；CP累计字段为0，需核验迁移",IF(C171&lt;1000,"有效存量CP；低于新门槛，统一映射Lv1","")))</x:f>
      </x:c>
    </x:row>
    <x:row r="172" ht="19" hidden="0" customHeight="1">
      <x:c r="A172" s="1" t="n">
        <x:v>166</x:v>
      </x:c>
      <x:c r="B172" s="23" t="s">
        <x:v>777</x:v>
      </x:c>
      <x:c r="C172" s="24" t="n">
        <x:v>9591</x:v>
      </x:c>
      <x:c r="D172" s="1" t="s">
        <x:v>613</x:v>
      </x:c>
      <x:c r="E172" s="78" t="n">
        <x:f aca="0">IF(C172&lt;等级门槛!$D$14,1,MATCH(C172,等级门槛!$D$14:$D$113,1))</x:f>
        <x:v>12</x:v>
      </x:c>
      <x:c r="F172" s="79" t="n">
        <x:f aca="0">MIN(5,ROUNDUP(E172/20,0))</x:f>
        <x:v>1</x:v>
      </x:c>
      <x:c r="G172" s="24" t="n">
        <x:f aca="0">IF(E172=100,"已达Lv100",INDEX(等级门槛!$D$14:$D$113,E172+1))</x:f>
        <x:v>10700</x:v>
      </x:c>
      <x:c r="H172" s="23" t="str">
        <x:f aca="0">IF(D172="否","特殊样本，仅迁移展示；不参与档位与分布统计",IF(C172=0,"有效存量CP；CP累计字段为0，需核验迁移",IF(C172&lt;1000,"有效存量CP；低于新门槛，统一映射Lv1","")))</x:f>
      </x:c>
    </x:row>
    <x:row r="173" ht="19" hidden="0" customHeight="1">
      <x:c r="A173" s="1" t="n">
        <x:v>167</x:v>
      </x:c>
      <x:c r="B173" s="23" t="s">
        <x:v>778</x:v>
      </x:c>
      <x:c r="C173" s="24" t="n">
        <x:v>9449</x:v>
      </x:c>
      <x:c r="D173" s="1" t="s">
        <x:v>613</x:v>
      </x:c>
      <x:c r="E173" s="78" t="n">
        <x:f aca="0">IF(C173&lt;等级门槛!$D$14,1,MATCH(C173,等级门槛!$D$14:$D$113,1))</x:f>
        <x:v>11</x:v>
      </x:c>
      <x:c r="F173" s="79" t="n">
        <x:f aca="0">MIN(5,ROUNDUP(E173/20,0))</x:f>
        <x:v>1</x:v>
      </x:c>
      <x:c r="G173" s="24" t="n">
        <x:f aca="0">IF(E173=100,"已达Lv100",INDEX(等级门槛!$D$14:$D$113,E173+1))</x:f>
        <x:v>9500</x:v>
      </x:c>
      <x:c r="H173" s="23" t="str">
        <x:f aca="0">IF(D173="否","特殊样本，仅迁移展示；不参与档位与分布统计",IF(C173=0,"有效存量CP；CP累计字段为0，需核验迁移",IF(C173&lt;1000,"有效存量CP；低于新门槛，统一映射Lv1","")))</x:f>
      </x:c>
    </x:row>
    <x:row r="174" ht="19" hidden="0" customHeight="1">
      <x:c r="A174" s="1" t="n">
        <x:v>168</x:v>
      </x:c>
      <x:c r="B174" s="23" t="s">
        <x:v>779</x:v>
      </x:c>
      <x:c r="C174" s="24" t="n">
        <x:v>9300</x:v>
      </x:c>
      <x:c r="D174" s="1" t="s">
        <x:v>613</x:v>
      </x:c>
      <x:c r="E174" s="78" t="n">
        <x:f aca="0">IF(C174&lt;等级门槛!$D$14,1,MATCH(C174,等级门槛!$D$14:$D$113,1))</x:f>
        <x:v>11</x:v>
      </x:c>
      <x:c r="F174" s="79" t="n">
        <x:f aca="0">MIN(5,ROUNDUP(E174/20,0))</x:f>
        <x:v>1</x:v>
      </x:c>
      <x:c r="G174" s="24" t="n">
        <x:f aca="0">IF(E174=100,"已达Lv100",INDEX(等级门槛!$D$14:$D$113,E174+1))</x:f>
        <x:v>9500</x:v>
      </x:c>
      <x:c r="H174" s="23" t="str">
        <x:f aca="0">IF(D174="否","特殊样本，仅迁移展示；不参与档位与分布统计",IF(C174=0,"有效存量CP；CP累计字段为0，需核验迁移",IF(C174&lt;1000,"有效存量CP；低于新门槛，统一映射Lv1","")))</x:f>
      </x:c>
    </x:row>
    <x:row r="175" ht="19" hidden="0" customHeight="1">
      <x:c r="A175" s="1" t="n">
        <x:v>169</x:v>
      </x:c>
      <x:c r="B175" s="23" t="s">
        <x:v>780</x:v>
      </x:c>
      <x:c r="C175" s="24" t="n">
        <x:v>9228</x:v>
      </x:c>
      <x:c r="D175" s="1" t="s">
        <x:v>613</x:v>
      </x:c>
      <x:c r="E175" s="78" t="n">
        <x:f aca="0">IF(C175&lt;等级门槛!$D$14,1,MATCH(C175,等级门槛!$D$14:$D$113,1))</x:f>
        <x:v>11</x:v>
      </x:c>
      <x:c r="F175" s="79" t="n">
        <x:f aca="0">MIN(5,ROUNDUP(E175/20,0))</x:f>
        <x:v>1</x:v>
      </x:c>
      <x:c r="G175" s="24" t="n">
        <x:f aca="0">IF(E175=100,"已达Lv100",INDEX(等级门槛!$D$14:$D$113,E175+1))</x:f>
        <x:v>9500</x:v>
      </x:c>
      <x:c r="H175" s="23" t="str">
        <x:f aca="0">IF(D175="否","特殊样本，仅迁移展示；不参与档位与分布统计",IF(C175=0,"有效存量CP；CP累计字段为0，需核验迁移",IF(C175&lt;1000,"有效存量CP；低于新门槛，统一映射Lv1","")))</x:f>
      </x:c>
    </x:row>
    <x:row r="176" ht="19" hidden="0" customHeight="1">
      <x:c r="A176" s="1" t="n">
        <x:v>170</x:v>
      </x:c>
      <x:c r="B176" s="23" t="s">
        <x:v>781</x:v>
      </x:c>
      <x:c r="C176" s="24" t="n">
        <x:v>9147</x:v>
      </x:c>
      <x:c r="D176" s="1" t="s">
        <x:v>613</x:v>
      </x:c>
      <x:c r="E176" s="78" t="n">
        <x:f aca="0">IF(C176&lt;等级门槛!$D$14,1,MATCH(C176,等级门槛!$D$14:$D$113,1))</x:f>
        <x:v>11</x:v>
      </x:c>
      <x:c r="F176" s="79" t="n">
        <x:f aca="0">MIN(5,ROUNDUP(E176/20,0))</x:f>
        <x:v>1</x:v>
      </x:c>
      <x:c r="G176" s="24" t="n">
        <x:f aca="0">IF(E176=100,"已达Lv100",INDEX(等级门槛!$D$14:$D$113,E176+1))</x:f>
        <x:v>9500</x:v>
      </x:c>
      <x:c r="H176" s="23" t="str">
        <x:f aca="0">IF(D176="否","特殊样本，仅迁移展示；不参与档位与分布统计",IF(C176=0,"有效存量CP；CP累计字段为0，需核验迁移",IF(C176&lt;1000,"有效存量CP；低于新门槛，统一映射Lv1","")))</x:f>
      </x:c>
    </x:row>
    <x:row r="177" ht="19" hidden="0" customHeight="1">
      <x:c r="A177" s="1" t="n">
        <x:v>171</x:v>
      </x:c>
      <x:c r="B177" s="23" t="s">
        <x:v>782</x:v>
      </x:c>
      <x:c r="C177" s="24" t="n">
        <x:v>8963</x:v>
      </x:c>
      <x:c r="D177" s="1" t="s">
        <x:v>613</x:v>
      </x:c>
      <x:c r="E177" s="78" t="n">
        <x:f aca="0">IF(C177&lt;等级门槛!$D$14,1,MATCH(C177,等级门槛!$D$14:$D$113,1))</x:f>
        <x:v>11</x:v>
      </x:c>
      <x:c r="F177" s="79" t="n">
        <x:f aca="0">MIN(5,ROUNDUP(E177/20,0))</x:f>
        <x:v>1</x:v>
      </x:c>
      <x:c r="G177" s="24" t="n">
        <x:f aca="0">IF(E177=100,"已达Lv100",INDEX(等级门槛!$D$14:$D$113,E177+1))</x:f>
        <x:v>9500</x:v>
      </x:c>
      <x:c r="H177" s="23" t="str">
        <x:f aca="0">IF(D177="否","特殊样本，仅迁移展示；不参与档位与分布统计",IF(C177=0,"有效存量CP；CP累计字段为0，需核验迁移",IF(C177&lt;1000,"有效存量CP；低于新门槛，统一映射Lv1","")))</x:f>
      </x:c>
    </x:row>
    <x:row r="178" ht="19" hidden="0" customHeight="1">
      <x:c r="A178" s="1" t="n">
        <x:v>172</x:v>
      </x:c>
      <x:c r="B178" s="23" t="s">
        <x:v>783</x:v>
      </x:c>
      <x:c r="C178" s="24" t="n">
        <x:v>8691</x:v>
      </x:c>
      <x:c r="D178" s="1" t="s">
        <x:v>613</x:v>
      </x:c>
      <x:c r="E178" s="78" t="n">
        <x:f aca="0">IF(C178&lt;等级门槛!$D$14,1,MATCH(C178,等级门槛!$D$14:$D$113,1))</x:f>
        <x:v>11</x:v>
      </x:c>
      <x:c r="F178" s="79" t="n">
        <x:f aca="0">MIN(5,ROUNDUP(E178/20,0))</x:f>
        <x:v>1</x:v>
      </x:c>
      <x:c r="G178" s="24" t="n">
        <x:f aca="0">IF(E178=100,"已达Lv100",INDEX(等级门槛!$D$14:$D$113,E178+1))</x:f>
        <x:v>9500</x:v>
      </x:c>
      <x:c r="H178" s="23" t="str">
        <x:f aca="0">IF(D178="否","特殊样本，仅迁移展示；不参与档位与分布统计",IF(C178=0,"有效存量CP；CP累计字段为0，需核验迁移",IF(C178&lt;1000,"有效存量CP；低于新门槛，统一映射Lv1","")))</x:f>
      </x:c>
    </x:row>
    <x:row r="179" ht="19" hidden="0" customHeight="1">
      <x:c r="A179" s="1" t="n">
        <x:v>173</x:v>
      </x:c>
      <x:c r="B179" s="23" t="s">
        <x:v>784</x:v>
      </x:c>
      <x:c r="C179" s="24" t="n">
        <x:v>8627</x:v>
      </x:c>
      <x:c r="D179" s="1" t="s">
        <x:v>613</x:v>
      </x:c>
      <x:c r="E179" s="78" t="n">
        <x:f aca="0">IF(C179&lt;等级门槛!$D$14,1,MATCH(C179,等级门槛!$D$14:$D$113,1))</x:f>
        <x:v>11</x:v>
      </x:c>
      <x:c r="F179" s="79" t="n">
        <x:f aca="0">MIN(5,ROUNDUP(E179/20,0))</x:f>
        <x:v>1</x:v>
      </x:c>
      <x:c r="G179" s="24" t="n">
        <x:f aca="0">IF(E179=100,"已达Lv100",INDEX(等级门槛!$D$14:$D$113,E179+1))</x:f>
        <x:v>9500</x:v>
      </x:c>
      <x:c r="H179" s="23" t="str">
        <x:f aca="0">IF(D179="否","特殊样本，仅迁移展示；不参与档位与分布统计",IF(C179=0,"有效存量CP；CP累计字段为0，需核验迁移",IF(C179&lt;1000,"有效存量CP；低于新门槛，统一映射Lv1","")))</x:f>
      </x:c>
    </x:row>
    <x:row r="180" ht="19" hidden="0" customHeight="1">
      <x:c r="A180" s="1" t="n">
        <x:v>174</x:v>
      </x:c>
      <x:c r="B180" s="23" t="s">
        <x:v>785</x:v>
      </x:c>
      <x:c r="C180" s="24" t="n">
        <x:v>8480</x:v>
      </x:c>
      <x:c r="D180" s="1" t="s">
        <x:v>613</x:v>
      </x:c>
      <x:c r="E180" s="78" t="n">
        <x:f aca="0">IF(C180&lt;等级门槛!$D$14,1,MATCH(C180,等级门槛!$D$14:$D$113,1))</x:f>
        <x:v>11</x:v>
      </x:c>
      <x:c r="F180" s="79" t="n">
        <x:f aca="0">MIN(5,ROUNDUP(E180/20,0))</x:f>
        <x:v>1</x:v>
      </x:c>
      <x:c r="G180" s="24" t="n">
        <x:f aca="0">IF(E180=100,"已达Lv100",INDEX(等级门槛!$D$14:$D$113,E180+1))</x:f>
        <x:v>9500</x:v>
      </x:c>
      <x:c r="H180" s="23" t="str">
        <x:f aca="0">IF(D180="否","特殊样本，仅迁移展示；不参与档位与分布统计",IF(C180=0,"有效存量CP；CP累计字段为0，需核验迁移",IF(C180&lt;1000,"有效存量CP；低于新门槛，统一映射Lv1","")))</x:f>
      </x:c>
    </x:row>
    <x:row r="181" ht="19" hidden="0" customHeight="1">
      <x:c r="A181" s="1" t="n">
        <x:v>175</x:v>
      </x:c>
      <x:c r="B181" s="23" t="s">
        <x:v>786</x:v>
      </x:c>
      <x:c r="C181" s="24" t="n">
        <x:v>8459</x:v>
      </x:c>
      <x:c r="D181" s="1" t="s">
        <x:v>613</x:v>
      </x:c>
      <x:c r="E181" s="78" t="n">
        <x:f aca="0">IF(C181&lt;等级门槛!$D$14,1,MATCH(C181,等级门槛!$D$14:$D$113,1))</x:f>
        <x:v>11</x:v>
      </x:c>
      <x:c r="F181" s="79" t="n">
        <x:f aca="0">MIN(5,ROUNDUP(E181/20,0))</x:f>
        <x:v>1</x:v>
      </x:c>
      <x:c r="G181" s="24" t="n">
        <x:f aca="0">IF(E181=100,"已达Lv100",INDEX(等级门槛!$D$14:$D$113,E181+1))</x:f>
        <x:v>9500</x:v>
      </x:c>
      <x:c r="H181" s="23" t="str">
        <x:f aca="0">IF(D181="否","特殊样本，仅迁移展示；不参与档位与分布统计",IF(C181=0,"有效存量CP；CP累计字段为0，需核验迁移",IF(C181&lt;1000,"有效存量CP；低于新门槛，统一映射Lv1","")))</x:f>
      </x:c>
    </x:row>
    <x:row r="182" ht="19" hidden="0" customHeight="1">
      <x:c r="A182" s="1" t="n">
        <x:v>176</x:v>
      </x:c>
      <x:c r="B182" s="23" t="s">
        <x:v>787</x:v>
      </x:c>
      <x:c r="C182" s="24" t="n">
        <x:v>8105</x:v>
      </x:c>
      <x:c r="D182" s="1" t="s">
        <x:v>613</x:v>
      </x:c>
      <x:c r="E182" s="78" t="n">
        <x:f aca="0">IF(C182&lt;等级门槛!$D$14,1,MATCH(C182,等级门槛!$D$14:$D$113,1))</x:f>
        <x:v>10</x:v>
      </x:c>
      <x:c r="F182" s="79" t="n">
        <x:f aca="0">MIN(5,ROUNDUP(E182/20,0))</x:f>
        <x:v>1</x:v>
      </x:c>
      <x:c r="G182" s="24" t="n">
        <x:f aca="0">IF(E182=100,"已达Lv100",INDEX(等级门槛!$D$14:$D$113,E182+1))</x:f>
        <x:v>8400</x:v>
      </x:c>
      <x:c r="H182" s="23" t="str">
        <x:f aca="0">IF(D182="否","特殊样本，仅迁移展示；不参与档位与分布统计",IF(C182=0,"有效存量CP；CP累计字段为0，需核验迁移",IF(C182&lt;1000,"有效存量CP；低于新门槛，统一映射Lv1","")))</x:f>
      </x:c>
    </x:row>
    <x:row r="183" ht="19" hidden="0" customHeight="1">
      <x:c r="A183" s="1" t="n">
        <x:v>177</x:v>
      </x:c>
      <x:c r="B183" s="23" t="s">
        <x:v>788</x:v>
      </x:c>
      <x:c r="C183" s="24" t="n">
        <x:v>8015</x:v>
      </x:c>
      <x:c r="D183" s="1" t="s">
        <x:v>613</x:v>
      </x:c>
      <x:c r="E183" s="78" t="n">
        <x:f aca="0">IF(C183&lt;等级门槛!$D$14,1,MATCH(C183,等级门槛!$D$14:$D$113,1))</x:f>
        <x:v>10</x:v>
      </x:c>
      <x:c r="F183" s="79" t="n">
        <x:f aca="0">MIN(5,ROUNDUP(E183/20,0))</x:f>
        <x:v>1</x:v>
      </x:c>
      <x:c r="G183" s="24" t="n">
        <x:f aca="0">IF(E183=100,"已达Lv100",INDEX(等级门槛!$D$14:$D$113,E183+1))</x:f>
        <x:v>8400</x:v>
      </x:c>
      <x:c r="H183" s="23" t="str">
        <x:f aca="0">IF(D183="否","特殊样本，仅迁移展示；不参与档位与分布统计",IF(C183=0,"有效存量CP；CP累计字段为0，需核验迁移",IF(C183&lt;1000,"有效存量CP；低于新门槛，统一映射Lv1","")))</x:f>
      </x:c>
    </x:row>
    <x:row r="184" ht="19" hidden="0" customHeight="1">
      <x:c r="A184" s="1" t="n">
        <x:v>178</x:v>
      </x:c>
      <x:c r="B184" s="23" t="s">
        <x:v>789</x:v>
      </x:c>
      <x:c r="C184" s="24" t="n">
        <x:v>7978</x:v>
      </x:c>
      <x:c r="D184" s="1" t="s">
        <x:v>613</x:v>
      </x:c>
      <x:c r="E184" s="78" t="n">
        <x:f aca="0">IF(C184&lt;等级门槛!$D$14,1,MATCH(C184,等级门槛!$D$14:$D$113,1))</x:f>
        <x:v>10</x:v>
      </x:c>
      <x:c r="F184" s="79" t="n">
        <x:f aca="0">MIN(5,ROUNDUP(E184/20,0))</x:f>
        <x:v>1</x:v>
      </x:c>
      <x:c r="G184" s="24" t="n">
        <x:f aca="0">IF(E184=100,"已达Lv100",INDEX(等级门槛!$D$14:$D$113,E184+1))</x:f>
        <x:v>8400</x:v>
      </x:c>
      <x:c r="H184" s="23" t="str">
        <x:f aca="0">IF(D184="否","特殊样本，仅迁移展示；不参与档位与分布统计",IF(C184=0,"有效存量CP；CP累计字段为0，需核验迁移",IF(C184&lt;1000,"有效存量CP；低于新门槛，统一映射Lv1","")))</x:f>
      </x:c>
    </x:row>
    <x:row r="185" ht="19" hidden="0" customHeight="1">
      <x:c r="A185" s="1" t="n">
        <x:v>179</x:v>
      </x:c>
      <x:c r="B185" s="23" t="s">
        <x:v>790</x:v>
      </x:c>
      <x:c r="C185" s="24" t="n">
        <x:v>7961</x:v>
      </x:c>
      <x:c r="D185" s="1" t="s">
        <x:v>613</x:v>
      </x:c>
      <x:c r="E185" s="78" t="n">
        <x:f aca="0">IF(C185&lt;等级门槛!$D$14,1,MATCH(C185,等级门槛!$D$14:$D$113,1))</x:f>
        <x:v>10</x:v>
      </x:c>
      <x:c r="F185" s="79" t="n">
        <x:f aca="0">MIN(5,ROUNDUP(E185/20,0))</x:f>
        <x:v>1</x:v>
      </x:c>
      <x:c r="G185" s="24" t="n">
        <x:f aca="0">IF(E185=100,"已达Lv100",INDEX(等级门槛!$D$14:$D$113,E185+1))</x:f>
        <x:v>8400</x:v>
      </x:c>
      <x:c r="H185" s="23" t="str">
        <x:f aca="0">IF(D185="否","特殊样本，仅迁移展示；不参与档位与分布统计",IF(C185=0,"有效存量CP；CP累计字段为0，需核验迁移",IF(C185&lt;1000,"有效存量CP；低于新门槛，统一映射Lv1","")))</x:f>
      </x:c>
    </x:row>
    <x:row r="186" ht="19" hidden="0" customHeight="1">
      <x:c r="A186" s="1" t="n">
        <x:v>180</x:v>
      </x:c>
      <x:c r="B186" s="23" t="s">
        <x:v>791</x:v>
      </x:c>
      <x:c r="C186" s="24" t="n">
        <x:v>7885</x:v>
      </x:c>
      <x:c r="D186" s="1" t="s">
        <x:v>613</x:v>
      </x:c>
      <x:c r="E186" s="78" t="n">
        <x:f aca="0">IF(C186&lt;等级门槛!$D$14,1,MATCH(C186,等级门槛!$D$14:$D$113,1))</x:f>
        <x:v>10</x:v>
      </x:c>
      <x:c r="F186" s="79" t="n">
        <x:f aca="0">MIN(5,ROUNDUP(E186/20,0))</x:f>
        <x:v>1</x:v>
      </x:c>
      <x:c r="G186" s="24" t="n">
        <x:f aca="0">IF(E186=100,"已达Lv100",INDEX(等级门槛!$D$14:$D$113,E186+1))</x:f>
        <x:v>8400</x:v>
      </x:c>
      <x:c r="H186" s="23" t="str">
        <x:f aca="0">IF(D186="否","特殊样本，仅迁移展示；不参与档位与分布统计",IF(C186=0,"有效存量CP；CP累计字段为0，需核验迁移",IF(C186&lt;1000,"有效存量CP；低于新门槛，统一映射Lv1","")))</x:f>
      </x:c>
    </x:row>
    <x:row r="187" ht="19" hidden="0" customHeight="1">
      <x:c r="A187" s="1" t="n">
        <x:v>181</x:v>
      </x:c>
      <x:c r="B187" s="23" t="s">
        <x:v>792</x:v>
      </x:c>
      <x:c r="C187" s="24" t="n">
        <x:v>7669</x:v>
      </x:c>
      <x:c r="D187" s="1" t="s">
        <x:v>613</x:v>
      </x:c>
      <x:c r="E187" s="78" t="n">
        <x:f aca="0">IF(C187&lt;等级门槛!$D$14,1,MATCH(C187,等级门槛!$D$14:$D$113,1))</x:f>
        <x:v>10</x:v>
      </x:c>
      <x:c r="F187" s="79" t="n">
        <x:f aca="0">MIN(5,ROUNDUP(E187/20,0))</x:f>
        <x:v>1</x:v>
      </x:c>
      <x:c r="G187" s="24" t="n">
        <x:f aca="0">IF(E187=100,"已达Lv100",INDEX(等级门槛!$D$14:$D$113,E187+1))</x:f>
        <x:v>8400</x:v>
      </x:c>
      <x:c r="H187" s="23" t="str">
        <x:f aca="0">IF(D187="否","特殊样本，仅迁移展示；不参与档位与分布统计",IF(C187=0,"有效存量CP；CP累计字段为0，需核验迁移",IF(C187&lt;1000,"有效存量CP；低于新门槛，统一映射Lv1","")))</x:f>
      </x:c>
    </x:row>
    <x:row r="188" ht="19" hidden="0" customHeight="1">
      <x:c r="A188" s="1" t="n">
        <x:v>182</x:v>
      </x:c>
      <x:c r="B188" s="23" t="s">
        <x:v>793</x:v>
      </x:c>
      <x:c r="C188" s="24" t="n">
        <x:v>7614</x:v>
      </x:c>
      <x:c r="D188" s="1" t="s">
        <x:v>613</x:v>
      </x:c>
      <x:c r="E188" s="78" t="n">
        <x:f aca="0">IF(C188&lt;等级门槛!$D$14,1,MATCH(C188,等级门槛!$D$14:$D$113,1))</x:f>
        <x:v>10</x:v>
      </x:c>
      <x:c r="F188" s="79" t="n">
        <x:f aca="0">MIN(5,ROUNDUP(E188/20,0))</x:f>
        <x:v>1</x:v>
      </x:c>
      <x:c r="G188" s="24" t="n">
        <x:f aca="0">IF(E188=100,"已达Lv100",INDEX(等级门槛!$D$14:$D$113,E188+1))</x:f>
        <x:v>8400</x:v>
      </x:c>
      <x:c r="H188" s="23" t="str">
        <x:f aca="0">IF(D188="否","特殊样本，仅迁移展示；不参与档位与分布统计",IF(C188=0,"有效存量CP；CP累计字段为0，需核验迁移",IF(C188&lt;1000,"有效存量CP；低于新门槛，统一映射Lv1","")))</x:f>
      </x:c>
    </x:row>
    <x:row r="189" ht="19" hidden="0" customHeight="1">
      <x:c r="A189" s="1" t="n">
        <x:v>183</x:v>
      </x:c>
      <x:c r="B189" s="23" t="s">
        <x:v>794</x:v>
      </x:c>
      <x:c r="C189" s="24" t="n">
        <x:v>7532</x:v>
      </x:c>
      <x:c r="D189" s="1" t="s">
        <x:v>613</x:v>
      </x:c>
      <x:c r="E189" s="78" t="n">
        <x:f aca="0">IF(C189&lt;等级门槛!$D$14,1,MATCH(C189,等级门槛!$D$14:$D$113,1))</x:f>
        <x:v>10</x:v>
      </x:c>
      <x:c r="F189" s="79" t="n">
        <x:f aca="0">MIN(5,ROUNDUP(E189/20,0))</x:f>
        <x:v>1</x:v>
      </x:c>
      <x:c r="G189" s="24" t="n">
        <x:f aca="0">IF(E189=100,"已达Lv100",INDEX(等级门槛!$D$14:$D$113,E189+1))</x:f>
        <x:v>8400</x:v>
      </x:c>
      <x:c r="H189" s="23" t="str">
        <x:f aca="0">IF(D189="否","特殊样本，仅迁移展示；不参与档位与分布统计",IF(C189=0,"有效存量CP；CP累计字段为0，需核验迁移",IF(C189&lt;1000,"有效存量CP；低于新门槛，统一映射Lv1","")))</x:f>
      </x:c>
    </x:row>
    <x:row r="190" ht="19" hidden="0" customHeight="1">
      <x:c r="A190" s="1" t="n">
        <x:v>184</x:v>
      </x:c>
      <x:c r="B190" s="23" t="s">
        <x:v>795</x:v>
      </x:c>
      <x:c r="C190" s="24" t="n">
        <x:v>7403</x:v>
      </x:c>
      <x:c r="D190" s="1" t="s">
        <x:v>613</x:v>
      </x:c>
      <x:c r="E190" s="78" t="n">
        <x:f aca="0">IF(C190&lt;等级门槛!$D$14,1,MATCH(C190,等级门槛!$D$14:$D$113,1))</x:f>
        <x:v>10</x:v>
      </x:c>
      <x:c r="F190" s="79" t="n">
        <x:f aca="0">MIN(5,ROUNDUP(E190/20,0))</x:f>
        <x:v>1</x:v>
      </x:c>
      <x:c r="G190" s="24" t="n">
        <x:f aca="0">IF(E190=100,"已达Lv100",INDEX(等级门槛!$D$14:$D$113,E190+1))</x:f>
        <x:v>8400</x:v>
      </x:c>
      <x:c r="H190" s="23" t="str">
        <x:f aca="0">IF(D190="否","特殊样本，仅迁移展示；不参与档位与分布统计",IF(C190=0,"有效存量CP；CP累计字段为0，需核验迁移",IF(C190&lt;1000,"有效存量CP；低于新门槛，统一映射Lv1","")))</x:f>
      </x:c>
    </x:row>
    <x:row r="191" ht="19" hidden="0" customHeight="1">
      <x:c r="A191" s="1" t="n">
        <x:v>185</x:v>
      </x:c>
      <x:c r="B191" s="23" t="s">
        <x:v>796</x:v>
      </x:c>
      <x:c r="C191" s="24" t="n">
        <x:v>7321</x:v>
      </x:c>
      <x:c r="D191" s="1" t="s">
        <x:v>613</x:v>
      </x:c>
      <x:c r="E191" s="78" t="n">
        <x:f aca="0">IF(C191&lt;等级门槛!$D$14,1,MATCH(C191,等级门槛!$D$14:$D$113,1))</x:f>
        <x:v>9</x:v>
      </x:c>
      <x:c r="F191" s="79" t="n">
        <x:f aca="0">MIN(5,ROUNDUP(E191/20,0))</x:f>
        <x:v>1</x:v>
      </x:c>
      <x:c r="G191" s="24" t="n">
        <x:f aca="0">IF(E191=100,"已达Lv100",INDEX(等级门槛!$D$14:$D$113,E191+1))</x:f>
        <x:v>7400</x:v>
      </x:c>
      <x:c r="H191" s="23" t="str">
        <x:f aca="0">IF(D191="否","特殊样本，仅迁移展示；不参与档位与分布统计",IF(C191=0,"有效存量CP；CP累计字段为0，需核验迁移",IF(C191&lt;1000,"有效存量CP；低于新门槛，统一映射Lv1","")))</x:f>
      </x:c>
    </x:row>
    <x:row r="192" ht="19" hidden="0" customHeight="1">
      <x:c r="A192" s="1" t="n">
        <x:v>186</x:v>
      </x:c>
      <x:c r="B192" s="23" t="s">
        <x:v>797</x:v>
      </x:c>
      <x:c r="C192" s="24" t="n">
        <x:v>7281</x:v>
      </x:c>
      <x:c r="D192" s="1" t="s">
        <x:v>613</x:v>
      </x:c>
      <x:c r="E192" s="78" t="n">
        <x:f aca="0">IF(C192&lt;等级门槛!$D$14,1,MATCH(C192,等级门槛!$D$14:$D$113,1))</x:f>
        <x:v>9</x:v>
      </x:c>
      <x:c r="F192" s="79" t="n">
        <x:f aca="0">MIN(5,ROUNDUP(E192/20,0))</x:f>
        <x:v>1</x:v>
      </x:c>
      <x:c r="G192" s="24" t="n">
        <x:f aca="0">IF(E192=100,"已达Lv100",INDEX(等级门槛!$D$14:$D$113,E192+1))</x:f>
        <x:v>7400</x:v>
      </x:c>
      <x:c r="H192" s="23" t="str">
        <x:f aca="0">IF(D192="否","特殊样本，仅迁移展示；不参与档位与分布统计",IF(C192=0,"有效存量CP；CP累计字段为0，需核验迁移",IF(C192&lt;1000,"有效存量CP；低于新门槛，统一映射Lv1","")))</x:f>
      </x:c>
    </x:row>
    <x:row r="193" ht="19" hidden="0" customHeight="1">
      <x:c r="A193" s="1" t="n">
        <x:v>187</x:v>
      </x:c>
      <x:c r="B193" s="23" t="s">
        <x:v>798</x:v>
      </x:c>
      <x:c r="C193" s="24" t="n">
        <x:v>7020</x:v>
      </x:c>
      <x:c r="D193" s="1" t="s">
        <x:v>613</x:v>
      </x:c>
      <x:c r="E193" s="78" t="n">
        <x:f aca="0">IF(C193&lt;等级门槛!$D$14,1,MATCH(C193,等级门槛!$D$14:$D$113,1))</x:f>
        <x:v>9</x:v>
      </x:c>
      <x:c r="F193" s="79" t="n">
        <x:f aca="0">MIN(5,ROUNDUP(E193/20,0))</x:f>
        <x:v>1</x:v>
      </x:c>
      <x:c r="G193" s="24" t="n">
        <x:f aca="0">IF(E193=100,"已达Lv100",INDEX(等级门槛!$D$14:$D$113,E193+1))</x:f>
        <x:v>7400</x:v>
      </x:c>
      <x:c r="H193" s="23" t="str">
        <x:f aca="0">IF(D193="否","特殊样本，仅迁移展示；不参与档位与分布统计",IF(C193=0,"有效存量CP；CP累计字段为0，需核验迁移",IF(C193&lt;1000,"有效存量CP；低于新门槛，统一映射Lv1","")))</x:f>
      </x:c>
    </x:row>
    <x:row r="194" ht="19" hidden="0" customHeight="1">
      <x:c r="A194" s="1" t="n">
        <x:v>188</x:v>
      </x:c>
      <x:c r="B194" s="23" t="s">
        <x:v>799</x:v>
      </x:c>
      <x:c r="C194" s="24" t="n">
        <x:v>6989</x:v>
      </x:c>
      <x:c r="D194" s="1" t="s">
        <x:v>613</x:v>
      </x:c>
      <x:c r="E194" s="78" t="n">
        <x:f aca="0">IF(C194&lt;等级门槛!$D$14,1,MATCH(C194,等级门槛!$D$14:$D$113,1))</x:f>
        <x:v>9</x:v>
      </x:c>
      <x:c r="F194" s="79" t="n">
        <x:f aca="0">MIN(5,ROUNDUP(E194/20,0))</x:f>
        <x:v>1</x:v>
      </x:c>
      <x:c r="G194" s="24" t="n">
        <x:f aca="0">IF(E194=100,"已达Lv100",INDEX(等级门槛!$D$14:$D$113,E194+1))</x:f>
        <x:v>7400</x:v>
      </x:c>
      <x:c r="H194" s="23" t="str">
        <x:f aca="0">IF(D194="否","特殊样本，仅迁移展示；不参与档位与分布统计",IF(C194=0,"有效存量CP；CP累计字段为0，需核验迁移",IF(C194&lt;1000,"有效存量CP；低于新门槛，统一映射Lv1","")))</x:f>
      </x:c>
    </x:row>
    <x:row r="195" ht="19" hidden="0" customHeight="1">
      <x:c r="A195" s="1" t="n">
        <x:v>189</x:v>
      </x:c>
      <x:c r="B195" s="23" t="s">
        <x:v>800</x:v>
      </x:c>
      <x:c r="C195" s="24" t="n">
        <x:v>6973</x:v>
      </x:c>
      <x:c r="D195" s="1" t="s">
        <x:v>613</x:v>
      </x:c>
      <x:c r="E195" s="78" t="n">
        <x:f aca="0">IF(C195&lt;等级门槛!$D$14,1,MATCH(C195,等级门槛!$D$14:$D$113,1))</x:f>
        <x:v>9</x:v>
      </x:c>
      <x:c r="F195" s="79" t="n">
        <x:f aca="0">MIN(5,ROUNDUP(E195/20,0))</x:f>
        <x:v>1</x:v>
      </x:c>
      <x:c r="G195" s="24" t="n">
        <x:f aca="0">IF(E195=100,"已达Lv100",INDEX(等级门槛!$D$14:$D$113,E195+1))</x:f>
        <x:v>7400</x:v>
      </x:c>
      <x:c r="H195" s="23" t="str">
        <x:f aca="0">IF(D195="否","特殊样本，仅迁移展示；不参与档位与分布统计",IF(C195=0,"有效存量CP；CP累计字段为0，需核验迁移",IF(C195&lt;1000,"有效存量CP；低于新门槛，统一映射Lv1","")))</x:f>
      </x:c>
    </x:row>
    <x:row r="196" ht="19" hidden="0" customHeight="1">
      <x:c r="A196" s="1" t="n">
        <x:v>190</x:v>
      </x:c>
      <x:c r="B196" s="23" t="s">
        <x:v>801</x:v>
      </x:c>
      <x:c r="C196" s="24" t="n">
        <x:v>6587</x:v>
      </x:c>
      <x:c r="D196" s="1" t="s">
        <x:v>613</x:v>
      </x:c>
      <x:c r="E196" s="78" t="n">
        <x:f aca="0">IF(C196&lt;等级门槛!$D$14,1,MATCH(C196,等级门槛!$D$14:$D$113,1))</x:f>
        <x:v>9</x:v>
      </x:c>
      <x:c r="F196" s="79" t="n">
        <x:f aca="0">MIN(5,ROUNDUP(E196/20,0))</x:f>
        <x:v>1</x:v>
      </x:c>
      <x:c r="G196" s="24" t="n">
        <x:f aca="0">IF(E196=100,"已达Lv100",INDEX(等级门槛!$D$14:$D$113,E196+1))</x:f>
        <x:v>7400</x:v>
      </x:c>
      <x:c r="H196" s="23" t="str">
        <x:f aca="0">IF(D196="否","特殊样本，仅迁移展示；不参与档位与分布统计",IF(C196=0,"有效存量CP；CP累计字段为0，需核验迁移",IF(C196&lt;1000,"有效存量CP；低于新门槛，统一映射Lv1","")))</x:f>
      </x:c>
    </x:row>
    <x:row r="197" ht="19" hidden="0" customHeight="1">
      <x:c r="A197" s="1" t="n">
        <x:v>191</x:v>
      </x:c>
      <x:c r="B197" s="23" t="s">
        <x:v>802</x:v>
      </x:c>
      <x:c r="C197" s="24" t="n">
        <x:v>6461</x:v>
      </x:c>
      <x:c r="D197" s="1" t="s">
        <x:v>613</x:v>
      </x:c>
      <x:c r="E197" s="78" t="n">
        <x:f aca="0">IF(C197&lt;等级门槛!$D$14,1,MATCH(C197,等级门槛!$D$14:$D$113,1))</x:f>
        <x:v>9</x:v>
      </x:c>
      <x:c r="F197" s="79" t="n">
        <x:f aca="0">MIN(5,ROUNDUP(E197/20,0))</x:f>
        <x:v>1</x:v>
      </x:c>
      <x:c r="G197" s="24" t="n">
        <x:f aca="0">IF(E197=100,"已达Lv100",INDEX(等级门槛!$D$14:$D$113,E197+1))</x:f>
        <x:v>7400</x:v>
      </x:c>
      <x:c r="H197" s="23" t="str">
        <x:f aca="0">IF(D197="否","特殊样本，仅迁移展示；不参与档位与分布统计",IF(C197=0,"有效存量CP；CP累计字段为0，需核验迁移",IF(C197&lt;1000,"有效存量CP；低于新门槛，统一映射Lv1","")))</x:f>
      </x:c>
    </x:row>
    <x:row r="198" ht="19" hidden="0" customHeight="1">
      <x:c r="A198" s="1" t="n">
        <x:v>192</x:v>
      </x:c>
      <x:c r="B198" s="23" t="s">
        <x:v>803</x:v>
      </x:c>
      <x:c r="C198" s="24" t="n">
        <x:v>6349</x:v>
      </x:c>
      <x:c r="D198" s="1" t="s">
        <x:v>613</x:v>
      </x:c>
      <x:c r="E198" s="78" t="n">
        <x:f aca="0">IF(C198&lt;等级门槛!$D$14,1,MATCH(C198,等级门槛!$D$14:$D$113,1))</x:f>
        <x:v>8</x:v>
      </x:c>
      <x:c r="F198" s="79" t="n">
        <x:f aca="0">MIN(5,ROUNDUP(E198/20,0))</x:f>
        <x:v>1</x:v>
      </x:c>
      <x:c r="G198" s="24" t="n">
        <x:f aca="0">IF(E198=100,"已达Lv100",INDEX(等级门槛!$D$14:$D$113,E198+1))</x:f>
        <x:v>6400</x:v>
      </x:c>
      <x:c r="H198" s="23" t="str">
        <x:f aca="0">IF(D198="否","特殊样本，仅迁移展示；不参与档位与分布统计",IF(C198=0,"有效存量CP；CP累计字段为0，需核验迁移",IF(C198&lt;1000,"有效存量CP；低于新门槛，统一映射Lv1","")))</x:f>
      </x:c>
    </x:row>
    <x:row r="199" ht="19" hidden="0" customHeight="1">
      <x:c r="A199" s="1" t="n">
        <x:v>193</x:v>
      </x:c>
      <x:c r="B199" s="23" t="s">
        <x:v>804</x:v>
      </x:c>
      <x:c r="C199" s="24" t="n">
        <x:v>6031</x:v>
      </x:c>
      <x:c r="D199" s="1" t="s">
        <x:v>613</x:v>
      </x:c>
      <x:c r="E199" s="78" t="n">
        <x:f aca="0">IF(C199&lt;等级门槛!$D$14,1,MATCH(C199,等级门槛!$D$14:$D$113,1))</x:f>
        <x:v>8</x:v>
      </x:c>
      <x:c r="F199" s="79" t="n">
        <x:f aca="0">MIN(5,ROUNDUP(E199/20,0))</x:f>
        <x:v>1</x:v>
      </x:c>
      <x:c r="G199" s="24" t="n">
        <x:f aca="0">IF(E199=100,"已达Lv100",INDEX(等级门槛!$D$14:$D$113,E199+1))</x:f>
        <x:v>6400</x:v>
      </x:c>
      <x:c r="H199" s="23" t="str">
        <x:f aca="0">IF(D199="否","特殊样本，仅迁移展示；不参与档位与分布统计",IF(C199=0,"有效存量CP；CP累计字段为0，需核验迁移",IF(C199&lt;1000,"有效存量CP；低于新门槛，统一映射Lv1","")))</x:f>
      </x:c>
    </x:row>
    <x:row r="200" ht="19" hidden="0" customHeight="1">
      <x:c r="A200" s="1" t="n">
        <x:v>194</x:v>
      </x:c>
      <x:c r="B200" s="23" t="s">
        <x:v>805</x:v>
      </x:c>
      <x:c r="C200" s="24" t="n">
        <x:v>5792</x:v>
      </x:c>
      <x:c r="D200" s="1" t="s">
        <x:v>613</x:v>
      </x:c>
      <x:c r="E200" s="78" t="n">
        <x:f aca="0">IF(C200&lt;等级门槛!$D$14,1,MATCH(C200,等级门槛!$D$14:$D$113,1))</x:f>
        <x:v>8</x:v>
      </x:c>
      <x:c r="F200" s="79" t="n">
        <x:f aca="0">MIN(5,ROUNDUP(E200/20,0))</x:f>
        <x:v>1</x:v>
      </x:c>
      <x:c r="G200" s="24" t="n">
        <x:f aca="0">IF(E200=100,"已达Lv100",INDEX(等级门槛!$D$14:$D$113,E200+1))</x:f>
        <x:v>6400</x:v>
      </x:c>
      <x:c r="H200" s="23" t="str">
        <x:f aca="0">IF(D200="否","特殊样本，仅迁移展示；不参与档位与分布统计",IF(C200=0,"有效存量CP；CP累计字段为0，需核验迁移",IF(C200&lt;1000,"有效存量CP；低于新门槛，统一映射Lv1","")))</x:f>
      </x:c>
    </x:row>
    <x:row r="201" ht="19" hidden="0" customHeight="1">
      <x:c r="A201" s="1" t="n">
        <x:v>195</x:v>
      </x:c>
      <x:c r="B201" s="23" t="s">
        <x:v>806</x:v>
      </x:c>
      <x:c r="C201" s="24" t="n">
        <x:v>5651</x:v>
      </x:c>
      <x:c r="D201" s="1" t="s">
        <x:v>613</x:v>
      </x:c>
      <x:c r="E201" s="78" t="n">
        <x:f aca="0">IF(C201&lt;等级门槛!$D$14,1,MATCH(C201,等级门槛!$D$14:$D$113,1))</x:f>
        <x:v>8</x:v>
      </x:c>
      <x:c r="F201" s="79" t="n">
        <x:f aca="0">MIN(5,ROUNDUP(E201/20,0))</x:f>
        <x:v>1</x:v>
      </x:c>
      <x:c r="G201" s="24" t="n">
        <x:f aca="0">IF(E201=100,"已达Lv100",INDEX(等级门槛!$D$14:$D$113,E201+1))</x:f>
        <x:v>6400</x:v>
      </x:c>
      <x:c r="H201" s="23" t="str">
        <x:f aca="0">IF(D201="否","特殊样本，仅迁移展示；不参与档位与分布统计",IF(C201=0,"有效存量CP；CP累计字段为0，需核验迁移",IF(C201&lt;1000,"有效存量CP；低于新门槛，统一映射Lv1","")))</x:f>
      </x:c>
    </x:row>
    <x:row r="202" ht="19" hidden="0" customHeight="1">
      <x:c r="A202" s="1" t="n">
        <x:v>196</x:v>
      </x:c>
      <x:c r="B202" s="23" t="s">
        <x:v>807</x:v>
      </x:c>
      <x:c r="C202" s="24" t="n">
        <x:v>5646</x:v>
      </x:c>
      <x:c r="D202" s="1" t="s">
        <x:v>613</x:v>
      </x:c>
      <x:c r="E202" s="78" t="n">
        <x:f aca="0">IF(C202&lt;等级门槛!$D$14,1,MATCH(C202,等级门槛!$D$14:$D$113,1))</x:f>
        <x:v>8</x:v>
      </x:c>
      <x:c r="F202" s="79" t="n">
        <x:f aca="0">MIN(5,ROUNDUP(E202/20,0))</x:f>
        <x:v>1</x:v>
      </x:c>
      <x:c r="G202" s="24" t="n">
        <x:f aca="0">IF(E202=100,"已达Lv100",INDEX(等级门槛!$D$14:$D$113,E202+1))</x:f>
        <x:v>6400</x:v>
      </x:c>
      <x:c r="H202" s="23" t="str">
        <x:f aca="0">IF(D202="否","特殊样本，仅迁移展示；不参与档位与分布统计",IF(C202=0,"有效存量CP；CP累计字段为0，需核验迁移",IF(C202&lt;1000,"有效存量CP；低于新门槛，统一映射Lv1","")))</x:f>
      </x:c>
    </x:row>
    <x:row r="203" ht="19" hidden="0" customHeight="1">
      <x:c r="A203" s="1" t="n">
        <x:v>197</x:v>
      </x:c>
      <x:c r="B203" s="23" t="s">
        <x:v>808</x:v>
      </x:c>
      <x:c r="C203" s="24" t="n">
        <x:v>5617</x:v>
      </x:c>
      <x:c r="D203" s="1" t="s">
        <x:v>613</x:v>
      </x:c>
      <x:c r="E203" s="78" t="n">
        <x:f aca="0">IF(C203&lt;等级门槛!$D$14,1,MATCH(C203,等级门槛!$D$14:$D$113,1))</x:f>
        <x:v>8</x:v>
      </x:c>
      <x:c r="F203" s="79" t="n">
        <x:f aca="0">MIN(5,ROUNDUP(E203/20,0))</x:f>
        <x:v>1</x:v>
      </x:c>
      <x:c r="G203" s="24" t="n">
        <x:f aca="0">IF(E203=100,"已达Lv100",INDEX(等级门槛!$D$14:$D$113,E203+1))</x:f>
        <x:v>6400</x:v>
      </x:c>
      <x:c r="H203" s="23" t="str">
        <x:f aca="0">IF(D203="否","特殊样本，仅迁移展示；不参与档位与分布统计",IF(C203=0,"有效存量CP；CP累计字段为0，需核验迁移",IF(C203&lt;1000,"有效存量CP；低于新门槛，统一映射Lv1","")))</x:f>
      </x:c>
    </x:row>
    <x:row r="204" ht="19" hidden="0" customHeight="1">
      <x:c r="A204" s="1" t="n">
        <x:v>198</x:v>
      </x:c>
      <x:c r="B204" s="23" t="s">
        <x:v>809</x:v>
      </x:c>
      <x:c r="C204" s="24" t="n">
        <x:v>5390</x:v>
      </x:c>
      <x:c r="D204" s="1" t="s">
        <x:v>613</x:v>
      </x:c>
      <x:c r="E204" s="78" t="n">
        <x:f aca="0">IF(C204&lt;等级门槛!$D$14,1,MATCH(C204,等级门槛!$D$14:$D$113,1))</x:f>
        <x:v>7</x:v>
      </x:c>
      <x:c r="F204" s="79" t="n">
        <x:f aca="0">MIN(5,ROUNDUP(E204/20,0))</x:f>
        <x:v>1</x:v>
      </x:c>
      <x:c r="G204" s="24" t="n">
        <x:f aca="0">IF(E204=100,"已达Lv100",INDEX(等级门槛!$D$14:$D$113,E204+1))</x:f>
        <x:v>5500</x:v>
      </x:c>
      <x:c r="H204" s="23" t="str">
        <x:f aca="0">IF(D204="否","特殊样本，仅迁移展示；不参与档位与分布统计",IF(C204=0,"有效存量CP；CP累计字段为0，需核验迁移",IF(C204&lt;1000,"有效存量CP；低于新门槛，统一映射Lv1","")))</x:f>
      </x:c>
    </x:row>
    <x:row r="205" ht="19" hidden="0" customHeight="1">
      <x:c r="A205" s="1" t="n">
        <x:v>199</x:v>
      </x:c>
      <x:c r="B205" s="23" t="s">
        <x:v>810</x:v>
      </x:c>
      <x:c r="C205" s="24" t="n">
        <x:v>5299</x:v>
      </x:c>
      <x:c r="D205" s="1" t="s">
        <x:v>613</x:v>
      </x:c>
      <x:c r="E205" s="78" t="n">
        <x:f aca="0">IF(C205&lt;等级门槛!$D$14,1,MATCH(C205,等级门槛!$D$14:$D$113,1))</x:f>
        <x:v>7</x:v>
      </x:c>
      <x:c r="F205" s="79" t="n">
        <x:f aca="0">MIN(5,ROUNDUP(E205/20,0))</x:f>
        <x:v>1</x:v>
      </x:c>
      <x:c r="G205" s="24" t="n">
        <x:f aca="0">IF(E205=100,"已达Lv100",INDEX(等级门槛!$D$14:$D$113,E205+1))</x:f>
        <x:v>5500</x:v>
      </x:c>
      <x:c r="H205" s="23" t="str">
        <x:f aca="0">IF(D205="否","特殊样本，仅迁移展示；不参与档位与分布统计",IF(C205=0,"有效存量CP；CP累计字段为0，需核验迁移",IF(C205&lt;1000,"有效存量CP；低于新门槛，统一映射Lv1","")))</x:f>
      </x:c>
    </x:row>
    <x:row r="206" ht="19" hidden="0" customHeight="1">
      <x:c r="A206" s="1" t="n">
        <x:v>200</x:v>
      </x:c>
      <x:c r="B206" s="23" t="s">
        <x:v>811</x:v>
      </x:c>
      <x:c r="C206" s="24" t="n">
        <x:v>4976</x:v>
      </x:c>
      <x:c r="D206" s="1" t="s">
        <x:v>613</x:v>
      </x:c>
      <x:c r="E206" s="78" t="n">
        <x:f aca="0">IF(C206&lt;等级门槛!$D$14,1,MATCH(C206,等级门槛!$D$14:$D$113,1))</x:f>
        <x:v>7</x:v>
      </x:c>
      <x:c r="F206" s="79" t="n">
        <x:f aca="0">MIN(5,ROUNDUP(E206/20,0))</x:f>
        <x:v>1</x:v>
      </x:c>
      <x:c r="G206" s="24" t="n">
        <x:f aca="0">IF(E206=100,"已达Lv100",INDEX(等级门槛!$D$14:$D$113,E206+1))</x:f>
        <x:v>5500</x:v>
      </x:c>
      <x:c r="H206" s="23" t="str">
        <x:f aca="0">IF(D206="否","特殊样本，仅迁移展示；不参与档位与分布统计",IF(C206=0,"有效存量CP；CP累计字段为0，需核验迁移",IF(C206&lt;1000,"有效存量CP；低于新门槛，统一映射Lv1","")))</x:f>
      </x:c>
    </x:row>
    <x:row r="207" ht="19" hidden="0" customHeight="1">
      <x:c r="A207" s="1" t="n">
        <x:v>201</x:v>
      </x:c>
      <x:c r="B207" s="23" t="s">
        <x:v>812</x:v>
      </x:c>
      <x:c r="C207" s="24" t="n">
        <x:v>4967</x:v>
      </x:c>
      <x:c r="D207" s="1" t="s">
        <x:v>613</x:v>
      </x:c>
      <x:c r="E207" s="78" t="n">
        <x:f aca="0">IF(C207&lt;等级门槛!$D$14,1,MATCH(C207,等级门槛!$D$14:$D$113,1))</x:f>
        <x:v>7</x:v>
      </x:c>
      <x:c r="F207" s="79" t="n">
        <x:f aca="0">MIN(5,ROUNDUP(E207/20,0))</x:f>
        <x:v>1</x:v>
      </x:c>
      <x:c r="G207" s="24" t="n">
        <x:f aca="0">IF(E207=100,"已达Lv100",INDEX(等级门槛!$D$14:$D$113,E207+1))</x:f>
        <x:v>5500</x:v>
      </x:c>
      <x:c r="H207" s="23" t="str">
        <x:f aca="0">IF(D207="否","特殊样本，仅迁移展示；不参与档位与分布统计",IF(C207=0,"有效存量CP；CP累计字段为0，需核验迁移",IF(C207&lt;1000,"有效存量CP；低于新门槛，统一映射Lv1","")))</x:f>
      </x:c>
    </x:row>
    <x:row r="208" ht="19" hidden="0" customHeight="1">
      <x:c r="A208" s="1" t="n">
        <x:v>202</x:v>
      </x:c>
      <x:c r="B208" s="23" t="s">
        <x:v>813</x:v>
      </x:c>
      <x:c r="C208" s="24" t="n">
        <x:v>4653</x:v>
      </x:c>
      <x:c r="D208" s="1" t="s">
        <x:v>613</x:v>
      </x:c>
      <x:c r="E208" s="78" t="n">
        <x:f aca="0">IF(C208&lt;等级门槛!$D$14,1,MATCH(C208,等级门槛!$D$14:$D$113,1))</x:f>
        <x:v>6</x:v>
      </x:c>
      <x:c r="F208" s="79" t="n">
        <x:f aca="0">MIN(5,ROUNDUP(E208/20,0))</x:f>
        <x:v>1</x:v>
      </x:c>
      <x:c r="G208" s="24" t="n">
        <x:f aca="0">IF(E208=100,"已达Lv100",INDEX(等级门槛!$D$14:$D$113,E208+1))</x:f>
        <x:v>4700</x:v>
      </x:c>
      <x:c r="H208" s="23" t="str">
        <x:f aca="0">IF(D208="否","特殊样本，仅迁移展示；不参与档位与分布统计",IF(C208=0,"有效存量CP；CP累计字段为0，需核验迁移",IF(C208&lt;1000,"有效存量CP；低于新门槛，统一映射Lv1","")))</x:f>
      </x:c>
    </x:row>
    <x:row r="209" ht="19" hidden="0" customHeight="1">
      <x:c r="A209" s="1" t="n">
        <x:v>203</x:v>
      </x:c>
      <x:c r="B209" s="23" t="s">
        <x:v>814</x:v>
      </x:c>
      <x:c r="C209" s="24" t="n">
        <x:v>4597</x:v>
      </x:c>
      <x:c r="D209" s="1" t="s">
        <x:v>613</x:v>
      </x:c>
      <x:c r="E209" s="78" t="n">
        <x:f aca="0">IF(C209&lt;等级门槛!$D$14,1,MATCH(C209,等级门槛!$D$14:$D$113,1))</x:f>
        <x:v>6</x:v>
      </x:c>
      <x:c r="F209" s="79" t="n">
        <x:f aca="0">MIN(5,ROUNDUP(E209/20,0))</x:f>
        <x:v>1</x:v>
      </x:c>
      <x:c r="G209" s="24" t="n">
        <x:f aca="0">IF(E209=100,"已达Lv100",INDEX(等级门槛!$D$14:$D$113,E209+1))</x:f>
        <x:v>4700</x:v>
      </x:c>
      <x:c r="H209" s="23" t="str">
        <x:f aca="0">IF(D209="否","特殊样本，仅迁移展示；不参与档位与分布统计",IF(C209=0,"有效存量CP；CP累计字段为0，需核验迁移",IF(C209&lt;1000,"有效存量CP；低于新门槛，统一映射Lv1","")))</x:f>
      </x:c>
    </x:row>
    <x:row r="210" ht="19" hidden="0" customHeight="1">
      <x:c r="A210" s="1" t="n">
        <x:v>204</x:v>
      </x:c>
      <x:c r="B210" s="23" t="s">
        <x:v>815</x:v>
      </x:c>
      <x:c r="C210" s="24" t="n">
        <x:v>4565</x:v>
      </x:c>
      <x:c r="D210" s="1" t="s">
        <x:v>613</x:v>
      </x:c>
      <x:c r="E210" s="78" t="n">
        <x:f aca="0">IF(C210&lt;等级门槛!$D$14,1,MATCH(C210,等级门槛!$D$14:$D$113,1))</x:f>
        <x:v>6</x:v>
      </x:c>
      <x:c r="F210" s="79" t="n">
        <x:f aca="0">MIN(5,ROUNDUP(E210/20,0))</x:f>
        <x:v>1</x:v>
      </x:c>
      <x:c r="G210" s="24" t="n">
        <x:f aca="0">IF(E210=100,"已达Lv100",INDEX(等级门槛!$D$14:$D$113,E210+1))</x:f>
        <x:v>4700</x:v>
      </x:c>
      <x:c r="H210" s="23" t="str">
        <x:f aca="0">IF(D210="否","特殊样本，仅迁移展示；不参与档位与分布统计",IF(C210=0,"有效存量CP；CP累计字段为0，需核验迁移",IF(C210&lt;1000,"有效存量CP；低于新门槛，统一映射Lv1","")))</x:f>
      </x:c>
    </x:row>
    <x:row r="211" ht="19" hidden="0" customHeight="1">
      <x:c r="A211" s="1" t="n">
        <x:v>205</x:v>
      </x:c>
      <x:c r="B211" s="23" t="s">
        <x:v>816</x:v>
      </x:c>
      <x:c r="C211" s="24" t="n">
        <x:v>4461</x:v>
      </x:c>
      <x:c r="D211" s="1" t="s">
        <x:v>613</x:v>
      </x:c>
      <x:c r="E211" s="78" t="n">
        <x:f aca="0">IF(C211&lt;等级门槛!$D$14,1,MATCH(C211,等级门槛!$D$14:$D$113,1))</x:f>
        <x:v>6</x:v>
      </x:c>
      <x:c r="F211" s="79" t="n">
        <x:f aca="0">MIN(5,ROUNDUP(E211/20,0))</x:f>
        <x:v>1</x:v>
      </x:c>
      <x:c r="G211" s="24" t="n">
        <x:f aca="0">IF(E211=100,"已达Lv100",INDEX(等级门槛!$D$14:$D$113,E211+1))</x:f>
        <x:v>4700</x:v>
      </x:c>
      <x:c r="H211" s="23" t="str">
        <x:f aca="0">IF(D211="否","特殊样本，仅迁移展示；不参与档位与分布统计",IF(C211=0,"有效存量CP；CP累计字段为0，需核验迁移",IF(C211&lt;1000,"有效存量CP；低于新门槛，统一映射Lv1","")))</x:f>
      </x:c>
    </x:row>
    <x:row r="212" ht="19" hidden="0" customHeight="1">
      <x:c r="A212" s="1" t="n">
        <x:v>206</x:v>
      </x:c>
      <x:c r="B212" s="23" t="s">
        <x:v>817</x:v>
      </x:c>
      <x:c r="C212" s="24" t="n">
        <x:v>4451</x:v>
      </x:c>
      <x:c r="D212" s="1" t="s">
        <x:v>613</x:v>
      </x:c>
      <x:c r="E212" s="78" t="n">
        <x:f aca="0">IF(C212&lt;等级门槛!$D$14,1,MATCH(C212,等级门槛!$D$14:$D$113,1))</x:f>
        <x:v>6</x:v>
      </x:c>
      <x:c r="F212" s="79" t="n">
        <x:f aca="0">MIN(5,ROUNDUP(E212/20,0))</x:f>
        <x:v>1</x:v>
      </x:c>
      <x:c r="G212" s="24" t="n">
        <x:f aca="0">IF(E212=100,"已达Lv100",INDEX(等级门槛!$D$14:$D$113,E212+1))</x:f>
        <x:v>4700</x:v>
      </x:c>
      <x:c r="H212" s="23" t="str">
        <x:f aca="0">IF(D212="否","特殊样本，仅迁移展示；不参与档位与分布统计",IF(C212=0,"有效存量CP；CP累计字段为0，需核验迁移",IF(C212&lt;1000,"有效存量CP；低于新门槛，统一映射Lv1","")))</x:f>
      </x:c>
    </x:row>
    <x:row r="213" ht="19" hidden="0" customHeight="1">
      <x:c r="A213" s="1" t="n">
        <x:v>207</x:v>
      </x:c>
      <x:c r="B213" s="23" t="s">
        <x:v>818</x:v>
      </x:c>
      <x:c r="C213" s="24" t="n">
        <x:v>4443</x:v>
      </x:c>
      <x:c r="D213" s="1" t="s">
        <x:v>613</x:v>
      </x:c>
      <x:c r="E213" s="78" t="n">
        <x:f aca="0">IF(C213&lt;等级门槛!$D$14,1,MATCH(C213,等级门槛!$D$14:$D$113,1))</x:f>
        <x:v>6</x:v>
      </x:c>
      <x:c r="F213" s="79" t="n">
        <x:f aca="0">MIN(5,ROUNDUP(E213/20,0))</x:f>
        <x:v>1</x:v>
      </x:c>
      <x:c r="G213" s="24" t="n">
        <x:f aca="0">IF(E213=100,"已达Lv100",INDEX(等级门槛!$D$14:$D$113,E213+1))</x:f>
        <x:v>4700</x:v>
      </x:c>
      <x:c r="H213" s="23" t="str">
        <x:f aca="0">IF(D213="否","特殊样本，仅迁移展示；不参与档位与分布统计",IF(C213=0,"有效存量CP；CP累计字段为0，需核验迁移",IF(C213&lt;1000,"有效存量CP；低于新门槛，统一映射Lv1","")))</x:f>
      </x:c>
    </x:row>
    <x:row r="214" ht="19" hidden="0" customHeight="1">
      <x:c r="A214" s="1" t="n">
        <x:v>208</x:v>
      </x:c>
      <x:c r="B214" s="23" t="s">
        <x:v>819</x:v>
      </x:c>
      <x:c r="C214" s="24" t="n">
        <x:v>4338</x:v>
      </x:c>
      <x:c r="D214" s="1" t="s">
        <x:v>613</x:v>
      </x:c>
      <x:c r="E214" s="78" t="n">
        <x:f aca="0">IF(C214&lt;等级门槛!$D$14,1,MATCH(C214,等级门槛!$D$14:$D$113,1))</x:f>
        <x:v>6</x:v>
      </x:c>
      <x:c r="F214" s="79" t="n">
        <x:f aca="0">MIN(5,ROUNDUP(E214/20,0))</x:f>
        <x:v>1</x:v>
      </x:c>
      <x:c r="G214" s="24" t="n">
        <x:f aca="0">IF(E214=100,"已达Lv100",INDEX(等级门槛!$D$14:$D$113,E214+1))</x:f>
        <x:v>4700</x:v>
      </x:c>
      <x:c r="H214" s="23" t="str">
        <x:f aca="0">IF(D214="否","特殊样本，仅迁移展示；不参与档位与分布统计",IF(C214=0,"有效存量CP；CP累计字段为0，需核验迁移",IF(C214&lt;1000,"有效存量CP；低于新门槛，统一映射Lv1","")))</x:f>
      </x:c>
    </x:row>
    <x:row r="215" ht="19" hidden="0" customHeight="1">
      <x:c r="A215" s="1" t="n">
        <x:v>209</x:v>
      </x:c>
      <x:c r="B215" s="23" t="s">
        <x:v>820</x:v>
      </x:c>
      <x:c r="C215" s="24" t="n">
        <x:v>4257</x:v>
      </x:c>
      <x:c r="D215" s="1" t="s">
        <x:v>613</x:v>
      </x:c>
      <x:c r="E215" s="78" t="n">
        <x:f aca="0">IF(C215&lt;等级门槛!$D$14,1,MATCH(C215,等级门槛!$D$14:$D$113,1))</x:f>
        <x:v>6</x:v>
      </x:c>
      <x:c r="F215" s="79" t="n">
        <x:f aca="0">MIN(5,ROUNDUP(E215/20,0))</x:f>
        <x:v>1</x:v>
      </x:c>
      <x:c r="G215" s="24" t="n">
        <x:f aca="0">IF(E215=100,"已达Lv100",INDEX(等级门槛!$D$14:$D$113,E215+1))</x:f>
        <x:v>4700</x:v>
      </x:c>
      <x:c r="H215" s="23" t="str">
        <x:f aca="0">IF(D215="否","特殊样本，仅迁移展示；不参与档位与分布统计",IF(C215=0,"有效存量CP；CP累计字段为0，需核验迁移",IF(C215&lt;1000,"有效存量CP；低于新门槛，统一映射Lv1","")))</x:f>
      </x:c>
    </x:row>
    <x:row r="216" ht="19" hidden="0" customHeight="1">
      <x:c r="A216" s="1" t="n">
        <x:v>210</x:v>
      </x:c>
      <x:c r="B216" s="23" t="s">
        <x:v>821</x:v>
      </x:c>
      <x:c r="C216" s="24" t="n">
        <x:v>4131</x:v>
      </x:c>
      <x:c r="D216" s="1" t="s">
        <x:v>613</x:v>
      </x:c>
      <x:c r="E216" s="78" t="n">
        <x:f aca="0">IF(C216&lt;等级门槛!$D$14,1,MATCH(C216,等级门槛!$D$14:$D$113,1))</x:f>
        <x:v>6</x:v>
      </x:c>
      <x:c r="F216" s="79" t="n">
        <x:f aca="0">MIN(5,ROUNDUP(E216/20,0))</x:f>
        <x:v>1</x:v>
      </x:c>
      <x:c r="G216" s="24" t="n">
        <x:f aca="0">IF(E216=100,"已达Lv100",INDEX(等级门槛!$D$14:$D$113,E216+1))</x:f>
        <x:v>4700</x:v>
      </x:c>
      <x:c r="H216" s="23" t="str">
        <x:f aca="0">IF(D216="否","特殊样本，仅迁移展示；不参与档位与分布统计",IF(C216=0,"有效存量CP；CP累计字段为0，需核验迁移",IF(C216&lt;1000,"有效存量CP；低于新门槛，统一映射Lv1","")))</x:f>
      </x:c>
    </x:row>
    <x:row r="217" ht="19" hidden="0" customHeight="1">
      <x:c r="A217" s="1" t="n">
        <x:v>211</x:v>
      </x:c>
      <x:c r="B217" s="23" t="s">
        <x:v>822</x:v>
      </x:c>
      <x:c r="C217" s="24" t="n">
        <x:v>3992</x:v>
      </x:c>
      <x:c r="D217" s="1" t="s">
        <x:v>613</x:v>
      </x:c>
      <x:c r="E217" s="78" t="n">
        <x:f aca="0">IF(C217&lt;等级门槛!$D$14,1,MATCH(C217,等级门槛!$D$14:$D$113,1))</x:f>
        <x:v>6</x:v>
      </x:c>
      <x:c r="F217" s="79" t="n">
        <x:f aca="0">MIN(5,ROUNDUP(E217/20,0))</x:f>
        <x:v>1</x:v>
      </x:c>
      <x:c r="G217" s="24" t="n">
        <x:f aca="0">IF(E217=100,"已达Lv100",INDEX(等级门槛!$D$14:$D$113,E217+1))</x:f>
        <x:v>4700</x:v>
      </x:c>
      <x:c r="H217" s="23" t="str">
        <x:f aca="0">IF(D217="否","特殊样本，仅迁移展示；不参与档位与分布统计",IF(C217=0,"有效存量CP；CP累计字段为0，需核验迁移",IF(C217&lt;1000,"有效存量CP；低于新门槛，统一映射Lv1","")))</x:f>
      </x:c>
    </x:row>
    <x:row r="218" ht="19" hidden="0" customHeight="1">
      <x:c r="A218" s="1" t="n">
        <x:v>212</x:v>
      </x:c>
      <x:c r="B218" s="23" t="s">
        <x:v>823</x:v>
      </x:c>
      <x:c r="C218" s="24" t="n">
        <x:v>3985</x:v>
      </x:c>
      <x:c r="D218" s="1" t="s">
        <x:v>613</x:v>
      </x:c>
      <x:c r="E218" s="78" t="n">
        <x:f aca="0">IF(C218&lt;等级门槛!$D$14,1,MATCH(C218,等级门槛!$D$14:$D$113,1))</x:f>
        <x:v>6</x:v>
      </x:c>
      <x:c r="F218" s="79" t="n">
        <x:f aca="0">MIN(5,ROUNDUP(E218/20,0))</x:f>
        <x:v>1</x:v>
      </x:c>
      <x:c r="G218" s="24" t="n">
        <x:f aca="0">IF(E218=100,"已达Lv100",INDEX(等级门槛!$D$14:$D$113,E218+1))</x:f>
        <x:v>4700</x:v>
      </x:c>
      <x:c r="H218" s="23" t="str">
        <x:f aca="0">IF(D218="否","特殊样本，仅迁移展示；不参与档位与分布统计",IF(C218=0,"有效存量CP；CP累计字段为0，需核验迁移",IF(C218&lt;1000,"有效存量CP；低于新门槛，统一映射Lv1","")))</x:f>
      </x:c>
    </x:row>
    <x:row r="219" ht="19" hidden="0" customHeight="1">
      <x:c r="A219" s="1" t="n">
        <x:v>213</x:v>
      </x:c>
      <x:c r="B219" s="23" t="s">
        <x:v>824</x:v>
      </x:c>
      <x:c r="C219" s="24" t="n">
        <x:v>3905</x:v>
      </x:c>
      <x:c r="D219" s="1" t="s">
        <x:v>613</x:v>
      </x:c>
      <x:c r="E219" s="78" t="n">
        <x:f aca="0">IF(C219&lt;等级门槛!$D$14,1,MATCH(C219,等级门槛!$D$14:$D$113,1))</x:f>
        <x:v>6</x:v>
      </x:c>
      <x:c r="F219" s="79" t="n">
        <x:f aca="0">MIN(5,ROUNDUP(E219/20,0))</x:f>
        <x:v>1</x:v>
      </x:c>
      <x:c r="G219" s="24" t="n">
        <x:f aca="0">IF(E219=100,"已达Lv100",INDEX(等级门槛!$D$14:$D$113,E219+1))</x:f>
        <x:v>4700</x:v>
      </x:c>
      <x:c r="H219" s="23" t="str">
        <x:f aca="0">IF(D219="否","特殊样本，仅迁移展示；不参与档位与分布统计",IF(C219=0,"有效存量CP；CP累计字段为0，需核验迁移",IF(C219&lt;1000,"有效存量CP；低于新门槛，统一映射Lv1","")))</x:f>
      </x:c>
    </x:row>
    <x:row r="220" ht="19" hidden="0" customHeight="1">
      <x:c r="A220" s="1" t="n">
        <x:v>214</x:v>
      </x:c>
      <x:c r="B220" s="23" t="s">
        <x:v>825</x:v>
      </x:c>
      <x:c r="C220" s="24" t="n">
        <x:v>3634</x:v>
      </x:c>
      <x:c r="D220" s="1" t="s">
        <x:v>613</x:v>
      </x:c>
      <x:c r="E220" s="78" t="n">
        <x:f aca="0">IF(C220&lt;等级门槛!$D$14,1,MATCH(C220,等级门槛!$D$14:$D$113,1))</x:f>
        <x:v>5</x:v>
      </x:c>
      <x:c r="F220" s="79" t="n">
        <x:f aca="0">MIN(5,ROUNDUP(E220/20,0))</x:f>
        <x:v>1</x:v>
      </x:c>
      <x:c r="G220" s="24" t="n">
        <x:f aca="0">IF(E220=100,"已达Lv100",INDEX(等级门槛!$D$14:$D$113,E220+1))</x:f>
        <x:v>3900</x:v>
      </x:c>
      <x:c r="H220" s="23" t="str">
        <x:f aca="0">IF(D220="否","特殊样本，仅迁移展示；不参与档位与分布统计",IF(C220=0,"有效存量CP；CP累计字段为0，需核验迁移",IF(C220&lt;1000,"有效存量CP；低于新门槛，统一映射Lv1","")))</x:f>
      </x:c>
    </x:row>
    <x:row r="221" ht="19" hidden="0" customHeight="1">
      <x:c r="A221" s="1" t="n">
        <x:v>215</x:v>
      </x:c>
      <x:c r="B221" s="23" t="s">
        <x:v>826</x:v>
      </x:c>
      <x:c r="C221" s="24" t="n">
        <x:v>3596</x:v>
      </x:c>
      <x:c r="D221" s="1" t="s">
        <x:v>613</x:v>
      </x:c>
      <x:c r="E221" s="78" t="n">
        <x:f aca="0">IF(C221&lt;等级门槛!$D$14,1,MATCH(C221,等级门槛!$D$14:$D$113,1))</x:f>
        <x:v>5</x:v>
      </x:c>
      <x:c r="F221" s="79" t="n">
        <x:f aca="0">MIN(5,ROUNDUP(E221/20,0))</x:f>
        <x:v>1</x:v>
      </x:c>
      <x:c r="G221" s="24" t="n">
        <x:f aca="0">IF(E221=100,"已达Lv100",INDEX(等级门槛!$D$14:$D$113,E221+1))</x:f>
        <x:v>3900</x:v>
      </x:c>
      <x:c r="H221" s="23" t="str">
        <x:f aca="0">IF(D221="否","特殊样本，仅迁移展示；不参与档位与分布统计",IF(C221=0,"有效存量CP；CP累计字段为0，需核验迁移",IF(C221&lt;1000,"有效存量CP；低于新门槛，统一映射Lv1","")))</x:f>
      </x:c>
    </x:row>
    <x:row r="222" ht="19" hidden="0" customHeight="1">
      <x:c r="A222" s="1" t="n">
        <x:v>216</x:v>
      </x:c>
      <x:c r="B222" s="23" t="s">
        <x:v>827</x:v>
      </x:c>
      <x:c r="C222" s="24" t="n">
        <x:v>3322</x:v>
      </x:c>
      <x:c r="D222" s="1" t="s">
        <x:v>613</x:v>
      </x:c>
      <x:c r="E222" s="78" t="n">
        <x:f aca="0">IF(C222&lt;等级门槛!$D$14,1,MATCH(C222,等级门槛!$D$14:$D$113,1))</x:f>
        <x:v>5</x:v>
      </x:c>
      <x:c r="F222" s="79" t="n">
        <x:f aca="0">MIN(5,ROUNDUP(E222/20,0))</x:f>
        <x:v>1</x:v>
      </x:c>
      <x:c r="G222" s="24" t="n">
        <x:f aca="0">IF(E222=100,"已达Lv100",INDEX(等级门槛!$D$14:$D$113,E222+1))</x:f>
        <x:v>3900</x:v>
      </x:c>
      <x:c r="H222" s="23" t="str">
        <x:f aca="0">IF(D222="否","特殊样本，仅迁移展示；不参与档位与分布统计",IF(C222=0,"有效存量CP；CP累计字段为0，需核验迁移",IF(C222&lt;1000,"有效存量CP；低于新门槛，统一映射Lv1","")))</x:f>
      </x:c>
    </x:row>
    <x:row r="223" ht="19" hidden="0" customHeight="1">
      <x:c r="A223" s="1" t="n">
        <x:v>217</x:v>
      </x:c>
      <x:c r="B223" s="23" t="s">
        <x:v>828</x:v>
      </x:c>
      <x:c r="C223" s="24" t="n">
        <x:v>3305</x:v>
      </x:c>
      <x:c r="D223" s="1" t="s">
        <x:v>613</x:v>
      </x:c>
      <x:c r="E223" s="78" t="n">
        <x:f aca="0">IF(C223&lt;等级门槛!$D$14,1,MATCH(C223,等级门槛!$D$14:$D$113,1))</x:f>
        <x:v>5</x:v>
      </x:c>
      <x:c r="F223" s="79" t="n">
        <x:f aca="0">MIN(5,ROUNDUP(E223/20,0))</x:f>
        <x:v>1</x:v>
      </x:c>
      <x:c r="G223" s="24" t="n">
        <x:f aca="0">IF(E223=100,"已达Lv100",INDEX(等级门槛!$D$14:$D$113,E223+1))</x:f>
        <x:v>3900</x:v>
      </x:c>
      <x:c r="H223" s="23" t="str">
        <x:f aca="0">IF(D223="否","特殊样本，仅迁移展示；不参与档位与分布统计",IF(C223=0,"有效存量CP；CP累计字段为0，需核验迁移",IF(C223&lt;1000,"有效存量CP；低于新门槛，统一映射Lv1","")))</x:f>
      </x:c>
    </x:row>
    <x:row r="224" ht="19" hidden="0" customHeight="1">
      <x:c r="A224" s="1" t="n">
        <x:v>218</x:v>
      </x:c>
      <x:c r="B224" s="23" t="s">
        <x:v>829</x:v>
      </x:c>
      <x:c r="C224" s="24" t="n">
        <x:v>3185</x:v>
      </x:c>
      <x:c r="D224" s="1" t="s">
        <x:v>613</x:v>
      </x:c>
      <x:c r="E224" s="78" t="n">
        <x:f aca="0">IF(C224&lt;等级门槛!$D$14,1,MATCH(C224,等级门槛!$D$14:$D$113,1))</x:f>
        <x:v>4</x:v>
      </x:c>
      <x:c r="F224" s="79" t="n">
        <x:f aca="0">MIN(5,ROUNDUP(E224/20,0))</x:f>
        <x:v>1</x:v>
      </x:c>
      <x:c r="G224" s="24" t="n">
        <x:f aca="0">IF(E224=100,"已达Lv100",INDEX(等级门槛!$D$14:$D$113,E224+1))</x:f>
        <x:v>3200</x:v>
      </x:c>
      <x:c r="H224" s="23" t="str">
        <x:f aca="0">IF(D224="否","特殊样本，仅迁移展示；不参与档位与分布统计",IF(C224=0,"有效存量CP；CP累计字段为0，需核验迁移",IF(C224&lt;1000,"有效存量CP；低于新门槛，统一映射Lv1","")))</x:f>
      </x:c>
    </x:row>
    <x:row r="225" ht="19" hidden="0" customHeight="1">
      <x:c r="A225" s="1" t="n">
        <x:v>219</x:v>
      </x:c>
      <x:c r="B225" s="23" t="s">
        <x:v>830</x:v>
      </x:c>
      <x:c r="C225" s="24" t="n">
        <x:v>3106</x:v>
      </x:c>
      <x:c r="D225" s="1" t="s">
        <x:v>613</x:v>
      </x:c>
      <x:c r="E225" s="78" t="n">
        <x:f aca="0">IF(C225&lt;等级门槛!$D$14,1,MATCH(C225,等级门槛!$D$14:$D$113,1))</x:f>
        <x:v>4</x:v>
      </x:c>
      <x:c r="F225" s="79" t="n">
        <x:f aca="0">MIN(5,ROUNDUP(E225/20,0))</x:f>
        <x:v>1</x:v>
      </x:c>
      <x:c r="G225" s="24" t="n">
        <x:f aca="0">IF(E225=100,"已达Lv100",INDEX(等级门槛!$D$14:$D$113,E225+1))</x:f>
        <x:v>3200</x:v>
      </x:c>
      <x:c r="H225" s="23" t="str">
        <x:f aca="0">IF(D225="否","特殊样本，仅迁移展示；不参与档位与分布统计",IF(C225=0,"有效存量CP；CP累计字段为0，需核验迁移",IF(C225&lt;1000,"有效存量CP；低于新门槛，统一映射Lv1","")))</x:f>
      </x:c>
    </x:row>
    <x:row r="226" ht="19" hidden="0" customHeight="1">
      <x:c r="A226" s="1" t="n">
        <x:v>220</x:v>
      </x:c>
      <x:c r="B226" s="23" t="s">
        <x:v>831</x:v>
      </x:c>
      <x:c r="C226" s="24" t="n">
        <x:v>3073</x:v>
      </x:c>
      <x:c r="D226" s="1" t="s">
        <x:v>613</x:v>
      </x:c>
      <x:c r="E226" s="78" t="n">
        <x:f aca="0">IF(C226&lt;等级门槛!$D$14,1,MATCH(C226,等级门槛!$D$14:$D$113,1))</x:f>
        <x:v>4</x:v>
      </x:c>
      <x:c r="F226" s="79" t="n">
        <x:f aca="0">MIN(5,ROUNDUP(E226/20,0))</x:f>
        <x:v>1</x:v>
      </x:c>
      <x:c r="G226" s="24" t="n">
        <x:f aca="0">IF(E226=100,"已达Lv100",INDEX(等级门槛!$D$14:$D$113,E226+1))</x:f>
        <x:v>3200</x:v>
      </x:c>
      <x:c r="H226" s="23" t="str">
        <x:f aca="0">IF(D226="否","特殊样本，仅迁移展示；不参与档位与分布统计",IF(C226=0,"有效存量CP；CP累计字段为0，需核验迁移",IF(C226&lt;1000,"有效存量CP；低于新门槛，统一映射Lv1","")))</x:f>
      </x:c>
    </x:row>
    <x:row r="227" ht="19" hidden="0" customHeight="1">
      <x:c r="A227" s="1" t="n">
        <x:v>221</x:v>
      </x:c>
      <x:c r="B227" s="23" t="s">
        <x:v>832</x:v>
      </x:c>
      <x:c r="C227" s="24" t="n">
        <x:v>2933</x:v>
      </x:c>
      <x:c r="D227" s="1" t="s">
        <x:v>613</x:v>
      </x:c>
      <x:c r="E227" s="78" t="n">
        <x:f aca="0">IF(C227&lt;等级门槛!$D$14,1,MATCH(C227,等级门槛!$D$14:$D$113,1))</x:f>
        <x:v>4</x:v>
      </x:c>
      <x:c r="F227" s="79" t="n">
        <x:f aca="0">MIN(5,ROUNDUP(E227/20,0))</x:f>
        <x:v>1</x:v>
      </x:c>
      <x:c r="G227" s="24" t="n">
        <x:f aca="0">IF(E227=100,"已达Lv100",INDEX(等级门槛!$D$14:$D$113,E227+1))</x:f>
        <x:v>3200</x:v>
      </x:c>
      <x:c r="H227" s="23" t="str">
        <x:f aca="0">IF(D227="否","特殊样本，仅迁移展示；不参与档位与分布统计",IF(C227=0,"有效存量CP；CP累计字段为0，需核验迁移",IF(C227&lt;1000,"有效存量CP；低于新门槛，统一映射Lv1","")))</x:f>
      </x:c>
    </x:row>
    <x:row r="228" ht="19" hidden="0" customHeight="1">
      <x:c r="A228" s="1" t="n">
        <x:v>222</x:v>
      </x:c>
      <x:c r="B228" s="23" t="s">
        <x:v>833</x:v>
      </x:c>
      <x:c r="C228" s="24" t="n">
        <x:v>2673</x:v>
      </x:c>
      <x:c r="D228" s="1" t="s">
        <x:v>613</x:v>
      </x:c>
      <x:c r="E228" s="78" t="n">
        <x:f aca="0">IF(C228&lt;等级门槛!$D$14,1,MATCH(C228,等级门槛!$D$14:$D$113,1))</x:f>
        <x:v>4</x:v>
      </x:c>
      <x:c r="F228" s="79" t="n">
        <x:f aca="0">MIN(5,ROUNDUP(E228/20,0))</x:f>
        <x:v>1</x:v>
      </x:c>
      <x:c r="G228" s="24" t="n">
        <x:f aca="0">IF(E228=100,"已达Lv100",INDEX(等级门槛!$D$14:$D$113,E228+1))</x:f>
        <x:v>3200</x:v>
      </x:c>
      <x:c r="H228" s="23" t="str">
        <x:f aca="0">IF(D228="否","特殊样本，仅迁移展示；不参与档位与分布统计",IF(C228=0,"有效存量CP；CP累计字段为0，需核验迁移",IF(C228&lt;1000,"有效存量CP；低于新门槛，统一映射Lv1","")))</x:f>
      </x:c>
    </x:row>
    <x:row r="229" ht="19" hidden="0" customHeight="1">
      <x:c r="A229" s="1" t="n">
        <x:v>223</x:v>
      </x:c>
      <x:c r="B229" s="23" t="s">
        <x:v>834</x:v>
      </x:c>
      <x:c r="C229" s="24" t="n">
        <x:v>2648</x:v>
      </x:c>
      <x:c r="D229" s="1" t="s">
        <x:v>613</x:v>
      </x:c>
      <x:c r="E229" s="78" t="n">
        <x:f aca="0">IF(C229&lt;等级门槛!$D$14,1,MATCH(C229,等级门槛!$D$14:$D$113,1))</x:f>
        <x:v>4</x:v>
      </x:c>
      <x:c r="F229" s="79" t="n">
        <x:f aca="0">MIN(5,ROUNDUP(E229/20,0))</x:f>
        <x:v>1</x:v>
      </x:c>
      <x:c r="G229" s="24" t="n">
        <x:f aca="0">IF(E229=100,"已达Lv100",INDEX(等级门槛!$D$14:$D$113,E229+1))</x:f>
        <x:v>3200</x:v>
      </x:c>
      <x:c r="H229" s="23" t="str">
        <x:f aca="0">IF(D229="否","特殊样本，仅迁移展示；不参与档位与分布统计",IF(C229=0,"有效存量CP；CP累计字段为0，需核验迁移",IF(C229&lt;1000,"有效存量CP；低于新门槛，统一映射Lv1","")))</x:f>
      </x:c>
    </x:row>
    <x:row r="230" ht="19" hidden="0" customHeight="1">
      <x:c r="A230" s="1" t="n">
        <x:v>224</x:v>
      </x:c>
      <x:c r="B230" s="23" t="s">
        <x:v>835</x:v>
      </x:c>
      <x:c r="C230" s="24" t="n">
        <x:v>2647</x:v>
      </x:c>
      <x:c r="D230" s="1" t="s">
        <x:v>613</x:v>
      </x:c>
      <x:c r="E230" s="78" t="n">
        <x:f aca="0">IF(C230&lt;等级门槛!$D$14,1,MATCH(C230,等级门槛!$D$14:$D$113,1))</x:f>
        <x:v>4</x:v>
      </x:c>
      <x:c r="F230" s="79" t="n">
        <x:f aca="0">MIN(5,ROUNDUP(E230/20,0))</x:f>
        <x:v>1</x:v>
      </x:c>
      <x:c r="G230" s="24" t="n">
        <x:f aca="0">IF(E230=100,"已达Lv100",INDEX(等级门槛!$D$14:$D$113,E230+1))</x:f>
        <x:v>3200</x:v>
      </x:c>
      <x:c r="H230" s="23" t="str">
        <x:f aca="0">IF(D230="否","特殊样本，仅迁移展示；不参与档位与分布统计",IF(C230=0,"有效存量CP；CP累计字段为0，需核验迁移",IF(C230&lt;1000,"有效存量CP；低于新门槛，统一映射Lv1","")))</x:f>
      </x:c>
    </x:row>
    <x:row r="231" ht="19" hidden="0" customHeight="1">
      <x:c r="A231" s="1" t="n">
        <x:v>225</x:v>
      </x:c>
      <x:c r="B231" s="23" t="s">
        <x:v>836</x:v>
      </x:c>
      <x:c r="C231" s="24" t="n">
        <x:v>2618</x:v>
      </x:c>
      <x:c r="D231" s="1" t="s">
        <x:v>613</x:v>
      </x:c>
      <x:c r="E231" s="78" t="n">
        <x:f aca="0">IF(C231&lt;等级门槛!$D$14,1,MATCH(C231,等级门槛!$D$14:$D$113,1))</x:f>
        <x:v>4</x:v>
      </x:c>
      <x:c r="F231" s="79" t="n">
        <x:f aca="0">MIN(5,ROUNDUP(E231/20,0))</x:f>
        <x:v>1</x:v>
      </x:c>
      <x:c r="G231" s="24" t="n">
        <x:f aca="0">IF(E231=100,"已达Lv100",INDEX(等级门槛!$D$14:$D$113,E231+1))</x:f>
        <x:v>3200</x:v>
      </x:c>
      <x:c r="H231" s="23" t="str">
        <x:f aca="0">IF(D231="否","特殊样本，仅迁移展示；不参与档位与分布统计",IF(C231=0,"有效存量CP；CP累计字段为0，需核验迁移",IF(C231&lt;1000,"有效存量CP；低于新门槛，统一映射Lv1","")))</x:f>
      </x:c>
    </x:row>
    <x:row r="232" ht="19" hidden="0" customHeight="1">
      <x:c r="A232" s="1" t="n">
        <x:v>226</x:v>
      </x:c>
      <x:c r="B232" s="23" t="s">
        <x:v>837</x:v>
      </x:c>
      <x:c r="C232" s="24" t="n">
        <x:v>2580</x:v>
      </x:c>
      <x:c r="D232" s="1" t="s">
        <x:v>613</x:v>
      </x:c>
      <x:c r="E232" s="78" t="n">
        <x:f aca="0">IF(C232&lt;等级门槛!$D$14,1,MATCH(C232,等级门槛!$D$14:$D$113,1))</x:f>
        <x:v>3</x:v>
      </x:c>
      <x:c r="F232" s="79" t="n">
        <x:f aca="0">MIN(5,ROUNDUP(E232/20,0))</x:f>
        <x:v>1</x:v>
      </x:c>
      <x:c r="G232" s="24" t="n">
        <x:f aca="0">IF(E232=100,"已达Lv100",INDEX(等级门槛!$D$14:$D$113,E232+1))</x:f>
        <x:v>2600</x:v>
      </x:c>
      <x:c r="H232" s="23" t="str">
        <x:f aca="0">IF(D232="否","特殊样本，仅迁移展示；不参与档位与分布统计",IF(C232=0,"有效存量CP；CP累计字段为0，需核验迁移",IF(C232&lt;1000,"有效存量CP；低于新门槛，统一映射Lv1","")))</x:f>
      </x:c>
    </x:row>
    <x:row r="233" ht="19" hidden="0" customHeight="1">
      <x:c r="A233" s="1" t="n">
        <x:v>227</x:v>
      </x:c>
      <x:c r="B233" s="23" t="s">
        <x:v>838</x:v>
      </x:c>
      <x:c r="C233" s="24" t="n">
        <x:v>2484</x:v>
      </x:c>
      <x:c r="D233" s="1" t="s">
        <x:v>613</x:v>
      </x:c>
      <x:c r="E233" s="78" t="n">
        <x:f aca="0">IF(C233&lt;等级门槛!$D$14,1,MATCH(C233,等级门槛!$D$14:$D$113,1))</x:f>
        <x:v>3</x:v>
      </x:c>
      <x:c r="F233" s="79" t="n">
        <x:f aca="0">MIN(5,ROUNDUP(E233/20,0))</x:f>
        <x:v>1</x:v>
      </x:c>
      <x:c r="G233" s="24" t="n">
        <x:f aca="0">IF(E233=100,"已达Lv100",INDEX(等级门槛!$D$14:$D$113,E233+1))</x:f>
        <x:v>2600</x:v>
      </x:c>
      <x:c r="H233" s="23" t="str">
        <x:f aca="0">IF(D233="否","特殊样本，仅迁移展示；不参与档位与分布统计",IF(C233=0,"有效存量CP；CP累计字段为0，需核验迁移",IF(C233&lt;1000,"有效存量CP；低于新门槛，统一映射Lv1","")))</x:f>
      </x:c>
    </x:row>
    <x:row r="234" ht="19" hidden="0" customHeight="1">
      <x:c r="A234" s="1" t="n">
        <x:v>228</x:v>
      </x:c>
      <x:c r="B234" s="23" t="s">
        <x:v>839</x:v>
      </x:c>
      <x:c r="C234" s="24" t="n">
        <x:v>2237</x:v>
      </x:c>
      <x:c r="D234" s="1" t="s">
        <x:v>613</x:v>
      </x:c>
      <x:c r="E234" s="78" t="n">
        <x:f aca="0">IF(C234&lt;等级门槛!$D$14,1,MATCH(C234,等级门槛!$D$14:$D$113,1))</x:f>
        <x:v>3</x:v>
      </x:c>
      <x:c r="F234" s="79" t="n">
        <x:f aca="0">MIN(5,ROUNDUP(E234/20,0))</x:f>
        <x:v>1</x:v>
      </x:c>
      <x:c r="G234" s="24" t="n">
        <x:f aca="0">IF(E234=100,"已达Lv100",INDEX(等级门槛!$D$14:$D$113,E234+1))</x:f>
        <x:v>2600</x:v>
      </x:c>
      <x:c r="H234" s="23" t="str">
        <x:f aca="0">IF(D234="否","特殊样本，仅迁移展示；不参与档位与分布统计",IF(C234=0,"有效存量CP；CP累计字段为0，需核验迁移",IF(C234&lt;1000,"有效存量CP；低于新门槛，统一映射Lv1","")))</x:f>
      </x:c>
    </x:row>
    <x:row r="235" ht="19" hidden="0" customHeight="1">
      <x:c r="A235" s="1" t="n">
        <x:v>229</x:v>
      </x:c>
      <x:c r="B235" s="23" t="s">
        <x:v>840</x:v>
      </x:c>
      <x:c r="C235" s="24" t="n">
        <x:v>2236</x:v>
      </x:c>
      <x:c r="D235" s="1" t="s">
        <x:v>613</x:v>
      </x:c>
      <x:c r="E235" s="78" t="n">
        <x:f aca="0">IF(C235&lt;等级门槛!$D$14,1,MATCH(C235,等级门槛!$D$14:$D$113,1))</x:f>
        <x:v>3</x:v>
      </x:c>
      <x:c r="F235" s="79" t="n">
        <x:f aca="0">MIN(5,ROUNDUP(E235/20,0))</x:f>
        <x:v>1</x:v>
      </x:c>
      <x:c r="G235" s="24" t="n">
        <x:f aca="0">IF(E235=100,"已达Lv100",INDEX(等级门槛!$D$14:$D$113,E235+1))</x:f>
        <x:v>2600</x:v>
      </x:c>
      <x:c r="H235" s="23" t="str">
        <x:f aca="0">IF(D235="否","特殊样本，仅迁移展示；不参与档位与分布统计",IF(C235=0,"有效存量CP；CP累计字段为0，需核验迁移",IF(C235&lt;1000,"有效存量CP；低于新门槛，统一映射Lv1","")))</x:f>
      </x:c>
    </x:row>
    <x:row r="236" ht="19" hidden="0" customHeight="1">
      <x:c r="A236" s="1" t="n">
        <x:v>230</x:v>
      </x:c>
      <x:c r="B236" s="23" t="s">
        <x:v>841</x:v>
      </x:c>
      <x:c r="C236" s="24" t="n">
        <x:v>2233</x:v>
      </x:c>
      <x:c r="D236" s="1" t="s">
        <x:v>613</x:v>
      </x:c>
      <x:c r="E236" s="78" t="n">
        <x:f aca="0">IF(C236&lt;等级门槛!$D$14,1,MATCH(C236,等级门槛!$D$14:$D$113,1))</x:f>
        <x:v>3</x:v>
      </x:c>
      <x:c r="F236" s="79" t="n">
        <x:f aca="0">MIN(5,ROUNDUP(E236/20,0))</x:f>
        <x:v>1</x:v>
      </x:c>
      <x:c r="G236" s="24" t="n">
        <x:f aca="0">IF(E236=100,"已达Lv100",INDEX(等级门槛!$D$14:$D$113,E236+1))</x:f>
        <x:v>2600</x:v>
      </x:c>
      <x:c r="H236" s="23" t="str">
        <x:f aca="0">IF(D236="否","特殊样本，仅迁移展示；不参与档位与分布统计",IF(C236=0,"有效存量CP；CP累计字段为0，需核验迁移",IF(C236&lt;1000,"有效存量CP；低于新门槛，统一映射Lv1","")))</x:f>
      </x:c>
    </x:row>
    <x:row r="237" ht="19" hidden="0" customHeight="1">
      <x:c r="A237" s="1" t="n">
        <x:v>231</x:v>
      </x:c>
      <x:c r="B237" s="23" t="s">
        <x:v>842</x:v>
      </x:c>
      <x:c r="C237" s="24" t="n">
        <x:v>2167</x:v>
      </x:c>
      <x:c r="D237" s="1" t="s">
        <x:v>613</x:v>
      </x:c>
      <x:c r="E237" s="78" t="n">
        <x:f aca="0">IF(C237&lt;等级门槛!$D$14,1,MATCH(C237,等级门槛!$D$14:$D$113,1))</x:f>
        <x:v>3</x:v>
      </x:c>
      <x:c r="F237" s="79" t="n">
        <x:f aca="0">MIN(5,ROUNDUP(E237/20,0))</x:f>
        <x:v>1</x:v>
      </x:c>
      <x:c r="G237" s="24" t="n">
        <x:f aca="0">IF(E237=100,"已达Lv100",INDEX(等级门槛!$D$14:$D$113,E237+1))</x:f>
        <x:v>2600</x:v>
      </x:c>
      <x:c r="H237" s="23" t="str">
        <x:f aca="0">IF(D237="否","特殊样本，仅迁移展示；不参与档位与分布统计",IF(C237=0,"有效存量CP；CP累计字段为0，需核验迁移",IF(C237&lt;1000,"有效存量CP；低于新门槛，统一映射Lv1","")))</x:f>
      </x:c>
    </x:row>
    <x:row r="238" ht="19" hidden="0" customHeight="1">
      <x:c r="A238" s="1" t="n">
        <x:v>232</x:v>
      </x:c>
      <x:c r="B238" s="23" t="s">
        <x:v>843</x:v>
      </x:c>
      <x:c r="C238" s="24" t="n">
        <x:v>2154</x:v>
      </x:c>
      <x:c r="D238" s="1" t="s">
        <x:v>613</x:v>
      </x:c>
      <x:c r="E238" s="78" t="n">
        <x:f aca="0">IF(C238&lt;等级门槛!$D$14,1,MATCH(C238,等级门槛!$D$14:$D$113,1))</x:f>
        <x:v>3</x:v>
      </x:c>
      <x:c r="F238" s="79" t="n">
        <x:f aca="0">MIN(5,ROUNDUP(E238/20,0))</x:f>
        <x:v>1</x:v>
      </x:c>
      <x:c r="G238" s="24" t="n">
        <x:f aca="0">IF(E238=100,"已达Lv100",INDEX(等级门槛!$D$14:$D$113,E238+1))</x:f>
        <x:v>2600</x:v>
      </x:c>
      <x:c r="H238" s="23" t="str">
        <x:f aca="0">IF(D238="否","特殊样本，仅迁移展示；不参与档位与分布统计",IF(C238=0,"有效存量CP；CP累计字段为0，需核验迁移",IF(C238&lt;1000,"有效存量CP；低于新门槛，统一映射Lv1","")))</x:f>
      </x:c>
    </x:row>
    <x:row r="239" ht="19" hidden="0" customHeight="1">
      <x:c r="A239" s="1" t="n">
        <x:v>233</x:v>
      </x:c>
      <x:c r="B239" s="23" t="s">
        <x:v>844</x:v>
      </x:c>
      <x:c r="C239" s="24" t="n">
        <x:v>2152</x:v>
      </x:c>
      <x:c r="D239" s="1" t="s">
        <x:v>613</x:v>
      </x:c>
      <x:c r="E239" s="78" t="n">
        <x:f aca="0">IF(C239&lt;等级门槛!$D$14,1,MATCH(C239,等级门槛!$D$14:$D$113,1))</x:f>
        <x:v>3</x:v>
      </x:c>
      <x:c r="F239" s="79" t="n">
        <x:f aca="0">MIN(5,ROUNDUP(E239/20,0))</x:f>
        <x:v>1</x:v>
      </x:c>
      <x:c r="G239" s="24" t="n">
        <x:f aca="0">IF(E239=100,"已达Lv100",INDEX(等级门槛!$D$14:$D$113,E239+1))</x:f>
        <x:v>2600</x:v>
      </x:c>
      <x:c r="H239" s="23" t="str">
        <x:f aca="0">IF(D239="否","特殊样本，仅迁移展示；不参与档位与分布统计",IF(C239=0,"有效存量CP；CP累计字段为0，需核验迁移",IF(C239&lt;1000,"有效存量CP；低于新门槛，统一映射Lv1","")))</x:f>
      </x:c>
    </x:row>
    <x:row r="240" ht="19" hidden="0" customHeight="1">
      <x:c r="A240" s="1" t="n">
        <x:v>234</x:v>
      </x:c>
      <x:c r="B240" s="23" t="s">
        <x:v>845</x:v>
      </x:c>
      <x:c r="C240" s="24" t="n">
        <x:v>2086</x:v>
      </x:c>
      <x:c r="D240" s="1" t="s">
        <x:v>613</x:v>
      </x:c>
      <x:c r="E240" s="78" t="n">
        <x:f aca="0">IF(C240&lt;等级门槛!$D$14,1,MATCH(C240,等级门槛!$D$14:$D$113,1))</x:f>
        <x:v>3</x:v>
      </x:c>
      <x:c r="F240" s="79" t="n">
        <x:f aca="0">MIN(5,ROUNDUP(E240/20,0))</x:f>
        <x:v>1</x:v>
      </x:c>
      <x:c r="G240" s="24" t="n">
        <x:f aca="0">IF(E240=100,"已达Lv100",INDEX(等级门槛!$D$14:$D$113,E240+1))</x:f>
        <x:v>2600</x:v>
      </x:c>
      <x:c r="H240" s="23" t="str">
        <x:f aca="0">IF(D240="否","特殊样本，仅迁移展示；不参与档位与分布统计",IF(C240=0,"有效存量CP；CP累计字段为0，需核验迁移",IF(C240&lt;1000,"有效存量CP；低于新门槛，统一映射Lv1","")))</x:f>
      </x:c>
    </x:row>
    <x:row r="241" ht="19" hidden="0" customHeight="1">
      <x:c r="A241" s="1" t="n">
        <x:v>235</x:v>
      </x:c>
      <x:c r="B241" s="23" t="s">
        <x:v>846</x:v>
      </x:c>
      <x:c r="C241" s="24" t="n">
        <x:v>1703</x:v>
      </x:c>
      <x:c r="D241" s="1" t="s">
        <x:v>613</x:v>
      </x:c>
      <x:c r="E241" s="78" t="n">
        <x:f aca="0">IF(C241&lt;等级门槛!$D$14,1,MATCH(C241,等级门槛!$D$14:$D$113,1))</x:f>
        <x:v>2</x:v>
      </x:c>
      <x:c r="F241" s="79" t="n">
        <x:f aca="0">MIN(5,ROUNDUP(E241/20,0))</x:f>
        <x:v>1</x:v>
      </x:c>
      <x:c r="G241" s="24" t="n">
        <x:f aca="0">IF(E241=100,"已达Lv100",INDEX(等级门槛!$D$14:$D$113,E241+1))</x:f>
        <x:v>2000</x:v>
      </x:c>
      <x:c r="H241" s="23" t="str">
        <x:f aca="0">IF(D241="否","特殊样本，仅迁移展示；不参与档位与分布统计",IF(C241=0,"有效存量CP；CP累计字段为0，需核验迁移",IF(C241&lt;1000,"有效存量CP；低于新门槛，统一映射Lv1","")))</x:f>
      </x:c>
    </x:row>
    <x:row r="242" ht="19" hidden="0" customHeight="1">
      <x:c r="A242" s="1" t="n">
        <x:v>236</x:v>
      </x:c>
      <x:c r="B242" s="23" t="s">
        <x:v>847</x:v>
      </x:c>
      <x:c r="C242" s="24" t="n">
        <x:v>1497</x:v>
      </x:c>
      <x:c r="D242" s="1" t="s">
        <x:v>613</x:v>
      </x:c>
      <x:c r="E242" s="78" t="n">
        <x:f aca="0">IF(C242&lt;等级门槛!$D$14,1,MATCH(C242,等级门槛!$D$14:$D$113,1))</x:f>
        <x:v>1</x:v>
      </x:c>
      <x:c r="F242" s="79" t="n">
        <x:f aca="0">MIN(5,ROUNDUP(E242/20,0))</x:f>
        <x:v>1</x:v>
      </x:c>
      <x:c r="G242" s="24" t="n">
        <x:f aca="0">IF(E242=100,"已达Lv100",INDEX(等级门槛!$D$14:$D$113,E242+1))</x:f>
        <x:v>1500</x:v>
      </x:c>
      <x:c r="H242" s="23" t="str">
        <x:f aca="0">IF(D242="否","特殊样本，仅迁移展示；不参与档位与分布统计",IF(C242=0,"有效存量CP；CP累计字段为0，需核验迁移",IF(C242&lt;1000,"有效存量CP；低于新门槛，统一映射Lv1","")))</x:f>
      </x:c>
    </x:row>
    <x:row r="243" ht="19" hidden="0" customHeight="1">
      <x:c r="A243" s="1" t="n">
        <x:v>237</x:v>
      </x:c>
      <x:c r="B243" s="23" t="s">
        <x:v>848</x:v>
      </x:c>
      <x:c r="C243" s="24" t="n">
        <x:v>1201</x:v>
      </x:c>
      <x:c r="D243" s="1" t="s">
        <x:v>613</x:v>
      </x:c>
      <x:c r="E243" s="78" t="n">
        <x:f aca="0">IF(C243&lt;等级门槛!$D$14,1,MATCH(C243,等级门槛!$D$14:$D$113,1))</x:f>
        <x:v>1</x:v>
      </x:c>
      <x:c r="F243" s="79" t="n">
        <x:f aca="0">MIN(5,ROUNDUP(E243/20,0))</x:f>
        <x:v>1</x:v>
      </x:c>
      <x:c r="G243" s="24" t="n">
        <x:f aca="0">IF(E243=100,"已达Lv100",INDEX(等级门槛!$D$14:$D$113,E243+1))</x:f>
        <x:v>1500</x:v>
      </x:c>
      <x:c r="H243" s="23" t="str">
        <x:f aca="0">IF(D243="否","特殊样本，仅迁移展示；不参与档位与分布统计",IF(C243=0,"有效存量CP；CP累计字段为0，需核验迁移",IF(C243&lt;1000,"有效存量CP；低于新门槛，统一映射Lv1","")))</x:f>
      </x:c>
    </x:row>
    <x:row r="244" ht="19" hidden="0" customHeight="1">
      <x:c r="A244" s="1" t="n">
        <x:v>238</x:v>
      </x:c>
      <x:c r="B244" s="23" t="s">
        <x:v>849</x:v>
      </x:c>
      <x:c r="C244" s="24" t="n">
        <x:v>1087</x:v>
      </x:c>
      <x:c r="D244" s="1" t="s">
        <x:v>613</x:v>
      </x:c>
      <x:c r="E244" s="78" t="n">
        <x:f aca="0">IF(C244&lt;等级门槛!$D$14,1,MATCH(C244,等级门槛!$D$14:$D$113,1))</x:f>
        <x:v>1</x:v>
      </x:c>
      <x:c r="F244" s="79" t="n">
        <x:f aca="0">MIN(5,ROUNDUP(E244/20,0))</x:f>
        <x:v>1</x:v>
      </x:c>
      <x:c r="G244" s="24" t="n">
        <x:f aca="0">IF(E244=100,"已达Lv100",INDEX(等级门槛!$D$14:$D$113,E244+1))</x:f>
        <x:v>1500</x:v>
      </x:c>
      <x:c r="H244" s="23" t="str">
        <x:f aca="0">IF(D244="否","特殊样本，仅迁移展示；不参与档位与分布统计",IF(C244=0,"有效存量CP；CP累计字段为0，需核验迁移",IF(C244&lt;1000,"有效存量CP；低于新门槛，统一映射Lv1","")))</x:f>
      </x:c>
    </x:row>
    <x:row r="245" ht="19" hidden="0" customHeight="1">
      <x:c r="A245" s="1" t="n">
        <x:v>239</x:v>
      </x:c>
      <x:c r="B245" s="23" t="s">
        <x:v>850</x:v>
      </x:c>
      <x:c r="C245" s="24" t="n">
        <x:v>985</x:v>
      </x:c>
      <x:c r="D245" s="1" t="s">
        <x:v>613</x:v>
      </x:c>
      <x:c r="E245" s="78" t="n">
        <x:f aca="0">IF(C245&lt;等级门槛!$D$14,1,MATCH(C245,等级门槛!$D$14:$D$113,1))</x:f>
        <x:v>1</x:v>
      </x:c>
      <x:c r="F245" s="79" t="n">
        <x:f aca="0">MIN(5,ROUNDUP(E245/20,0))</x:f>
        <x:v>1</x:v>
      </x:c>
      <x:c r="G245" s="24" t="n">
        <x:f aca="0">IF(E245=100,"已达Lv100",INDEX(等级门槛!$D$14:$D$113,E245+1))</x:f>
        <x:v>1500</x:v>
      </x:c>
      <x:c r="H245" s="23" t="str">
        <x:f aca="0">IF(D245="否","特殊样本，仅迁移展示；不参与档位与分布统计",IF(C245=0,"有效存量CP；CP累计字段为0，需核验迁移",IF(C245&lt;1000,"有效存量CP；低于新门槛，统一映射Lv1","")))</x:f>
        <x:v>有效存量CP；低于新门槛，统一映射Lv1</x:v>
      </x:c>
    </x:row>
    <x:row r="246" ht="19" hidden="0" customHeight="1">
      <x:c r="A246" s="1" t="n">
        <x:v>240</x:v>
      </x:c>
      <x:c r="B246" s="23" t="s">
        <x:v>851</x:v>
      </x:c>
      <x:c r="C246" s="24" t="n">
        <x:v>956</x:v>
      </x:c>
      <x:c r="D246" s="1" t="s">
        <x:v>613</x:v>
      </x:c>
      <x:c r="E246" s="78" t="n">
        <x:f aca="0">IF(C246&lt;等级门槛!$D$14,1,MATCH(C246,等级门槛!$D$14:$D$113,1))</x:f>
        <x:v>1</x:v>
      </x:c>
      <x:c r="F246" s="79" t="n">
        <x:f aca="0">MIN(5,ROUNDUP(E246/20,0))</x:f>
        <x:v>1</x:v>
      </x:c>
      <x:c r="G246" s="24" t="n">
        <x:f aca="0">IF(E246=100,"已达Lv100",INDEX(等级门槛!$D$14:$D$113,E246+1))</x:f>
        <x:v>1500</x:v>
      </x:c>
      <x:c r="H246" s="23" t="str">
        <x:f aca="0">IF(D246="否","特殊样本，仅迁移展示；不参与档位与分布统计",IF(C246=0,"有效存量CP；CP累计字段为0，需核验迁移",IF(C246&lt;1000,"有效存量CP；低于新门槛，统一映射Lv1","")))</x:f>
        <x:v>有效存量CP；低于新门槛，统一映射Lv1</x:v>
      </x:c>
    </x:row>
    <x:row r="247" ht="19" hidden="0" customHeight="1">
      <x:c r="A247" s="1" t="n">
        <x:v>241</x:v>
      </x:c>
      <x:c r="B247" s="23" t="s">
        <x:v>852</x:v>
      </x:c>
      <x:c r="C247" s="24" t="n">
        <x:v>947</x:v>
      </x:c>
      <x:c r="D247" s="1" t="s">
        <x:v>613</x:v>
      </x:c>
      <x:c r="E247" s="78" t="n">
        <x:f aca="0">IF(C247&lt;等级门槛!$D$14,1,MATCH(C247,等级门槛!$D$14:$D$113,1))</x:f>
        <x:v>1</x:v>
      </x:c>
      <x:c r="F247" s="79" t="n">
        <x:f aca="0">MIN(5,ROUNDUP(E247/20,0))</x:f>
        <x:v>1</x:v>
      </x:c>
      <x:c r="G247" s="24" t="n">
        <x:f aca="0">IF(E247=100,"已达Lv100",INDEX(等级门槛!$D$14:$D$113,E247+1))</x:f>
        <x:v>1500</x:v>
      </x:c>
      <x:c r="H247" s="23" t="str">
        <x:f aca="0">IF(D247="否","特殊样本，仅迁移展示；不参与档位与分布统计",IF(C247=0,"有效存量CP；CP累计字段为0，需核验迁移",IF(C247&lt;1000,"有效存量CP；低于新门槛，统一映射Lv1","")))</x:f>
        <x:v>有效存量CP；低于新门槛，统一映射Lv1</x:v>
      </x:c>
    </x:row>
    <x:row r="248" ht="19" hidden="0" customHeight="1">
      <x:c r="A248" s="1" t="n">
        <x:v>242</x:v>
      </x:c>
      <x:c r="B248" s="23" t="s">
        <x:v>853</x:v>
      </x:c>
      <x:c r="C248" s="24" t="n">
        <x:v>588</x:v>
      </x:c>
      <x:c r="D248" s="1" t="s">
        <x:v>613</x:v>
      </x:c>
      <x:c r="E248" s="78" t="n">
        <x:f aca="0">IF(C248&lt;等级门槛!$D$14,1,MATCH(C248,等级门槛!$D$14:$D$113,1))</x:f>
        <x:v>1</x:v>
      </x:c>
      <x:c r="F248" s="79" t="n">
        <x:f aca="0">MIN(5,ROUNDUP(E248/20,0))</x:f>
        <x:v>1</x:v>
      </x:c>
      <x:c r="G248" s="24" t="n">
        <x:f aca="0">IF(E248=100,"已达Lv100",INDEX(等级门槛!$D$14:$D$113,E248+1))</x:f>
        <x:v>1500</x:v>
      </x:c>
      <x:c r="H248" s="23" t="str">
        <x:f aca="0">IF(D248="否","特殊样本，仅迁移展示；不参与档位与分布统计",IF(C248=0,"有效存量CP；CP累计字段为0，需核验迁移",IF(C248&lt;1000,"有效存量CP；低于新门槛，统一映射Lv1","")))</x:f>
        <x:v>有效存量CP；低于新门槛，统一映射Lv1</x:v>
      </x:c>
    </x:row>
    <x:row r="249" ht="19" hidden="0" customHeight="1">
      <x:c r="A249" s="1" t="n">
        <x:v>243</x:v>
      </x:c>
      <x:c r="B249" s="23" t="s">
        <x:v>854</x:v>
      </x:c>
      <x:c r="C249" s="24" t="n">
        <x:v>585</x:v>
      </x:c>
      <x:c r="D249" s="1" t="s">
        <x:v>613</x:v>
      </x:c>
      <x:c r="E249" s="78" t="n">
        <x:f aca="0">IF(C249&lt;等级门槛!$D$14,1,MATCH(C249,等级门槛!$D$14:$D$113,1))</x:f>
        <x:v>1</x:v>
      </x:c>
      <x:c r="F249" s="79" t="n">
        <x:f aca="0">MIN(5,ROUNDUP(E249/20,0))</x:f>
        <x:v>1</x:v>
      </x:c>
      <x:c r="G249" s="24" t="n">
        <x:f aca="0">IF(E249=100,"已达Lv100",INDEX(等级门槛!$D$14:$D$113,E249+1))</x:f>
        <x:v>1500</x:v>
      </x:c>
      <x:c r="H249" s="23" t="str">
        <x:f aca="0">IF(D249="否","特殊样本，仅迁移展示；不参与档位与分布统计",IF(C249=0,"有效存量CP；CP累计字段为0，需核验迁移",IF(C249&lt;1000,"有效存量CP；低于新门槛，统一映射Lv1","")))</x:f>
        <x:v>有效存量CP；低于新门槛，统一映射Lv1</x:v>
      </x:c>
    </x:row>
    <x:row r="250" ht="19" hidden="0" customHeight="1">
      <x:c r="A250" s="1" t="n">
        <x:v>244</x:v>
      </x:c>
      <x:c r="B250" s="23" t="s">
        <x:v>855</x:v>
      </x:c>
      <x:c r="C250" s="24" t="n">
        <x:v>534</x:v>
      </x:c>
      <x:c r="D250" s="1" t="s">
        <x:v>613</x:v>
      </x:c>
      <x:c r="E250" s="78" t="n">
        <x:f aca="0">IF(C250&lt;等级门槛!$D$14,1,MATCH(C250,等级门槛!$D$14:$D$113,1))</x:f>
        <x:v>1</x:v>
      </x:c>
      <x:c r="F250" s="79" t="n">
        <x:f aca="0">MIN(5,ROUNDUP(E250/20,0))</x:f>
        <x:v>1</x:v>
      </x:c>
      <x:c r="G250" s="24" t="n">
        <x:f aca="0">IF(E250=100,"已达Lv100",INDEX(等级门槛!$D$14:$D$113,E250+1))</x:f>
        <x:v>1500</x:v>
      </x:c>
      <x:c r="H250" s="23" t="str">
        <x:f aca="0">IF(D250="否","特殊样本，仅迁移展示；不参与档位与分布统计",IF(C250=0,"有效存量CP；CP累计字段为0，需核验迁移",IF(C250&lt;1000,"有效存量CP；低于新门槛，统一映射Lv1","")))</x:f>
        <x:v>有效存量CP；低于新门槛，统一映射Lv1</x:v>
      </x:c>
    </x:row>
    <x:row r="251" ht="19" hidden="0" customHeight="1">
      <x:c r="A251" s="1" t="n">
        <x:v>245</x:v>
      </x:c>
      <x:c r="B251" s="23" t="s">
        <x:v>856</x:v>
      </x:c>
      <x:c r="C251" s="24" t="n">
        <x:v>0</x:v>
      </x:c>
      <x:c r="D251" s="1" t="s">
        <x:v>613</x:v>
      </x:c>
      <x:c r="E251" s="78" t="n">
        <x:f aca="0">IF(C251&lt;等级门槛!$D$14,1,MATCH(C251,等级门槛!$D$14:$D$113,1))</x:f>
        <x:v>1</x:v>
      </x:c>
      <x:c r="F251" s="79" t="n">
        <x:f aca="0">MIN(5,ROUNDUP(E251/20,0))</x:f>
        <x:v>1</x:v>
      </x:c>
      <x:c r="G251" s="24" t="n">
        <x:f aca="0">IF(E251=100,"已达Lv100",INDEX(等级门槛!$D$14:$D$113,E251+1))</x:f>
        <x:v>1500</x:v>
      </x:c>
      <x:c r="H251" s="23" t="str">
        <x:f aca="0">IF(D251="否","特殊样本，仅迁移展示；不参与档位与分布统计",IF(C251=0,"有效存量CP；CP累计字段为0，需核验迁移",IF(C251&lt;1000,"有效存量CP；低于新门槛，统一映射Lv1","")))</x:f>
        <x:v>有效存量CP；CP累计字段为0，需核验迁移</x:v>
      </x:c>
    </x:row>
    <x:row r="252" ht="19" hidden="0" customHeight="1">
      <x:c r="A252" s="1" t="n">
        <x:v>246</x:v>
      </x:c>
      <x:c r="B252" s="23" t="s">
        <x:v>857</x:v>
      </x:c>
      <x:c r="C252" s="24" t="n">
        <x:v>0</x:v>
      </x:c>
      <x:c r="D252" s="1" t="s">
        <x:v>613</x:v>
      </x:c>
      <x:c r="E252" s="78" t="n">
        <x:f aca="0">IF(C252&lt;等级门槛!$D$14,1,MATCH(C252,等级门槛!$D$14:$D$113,1))</x:f>
        <x:v>1</x:v>
      </x:c>
      <x:c r="F252" s="79" t="n">
        <x:f aca="0">MIN(5,ROUNDUP(E252/20,0))</x:f>
        <x:v>1</x:v>
      </x:c>
      <x:c r="G252" s="24" t="n">
        <x:f aca="0">IF(E252=100,"已达Lv100",INDEX(等级门槛!$D$14:$D$113,E252+1))</x:f>
        <x:v>1500</x:v>
      </x:c>
      <x:c r="H252" s="23" t="str">
        <x:f aca="0">IF(D252="否","特殊样本，仅迁移展示；不参与档位与分布统计",IF(C252=0,"有效存量CP；CP累计字段为0，需核验迁移",IF(C252&lt;1000,"有效存量CP；低于新门槛，统一映射Lv1","")))</x:f>
        <x:v>有效存量CP；CP累计字段为0，需核验迁移</x:v>
      </x:c>
    </x:row>
    <x:row r="253" ht="19" hidden="0" customHeight="1">
      <x:c r="A253" s="1" t="n">
        <x:v>247</x:v>
      </x:c>
      <x:c r="B253" s="23" t="s">
        <x:v>858</x:v>
      </x:c>
      <x:c r="C253" s="24" t="n">
        <x:v>0</x:v>
      </x:c>
      <x:c r="D253" s="1" t="s">
        <x:v>613</x:v>
      </x:c>
      <x:c r="E253" s="78" t="n">
        <x:f aca="0">IF(C253&lt;等级门槛!$D$14,1,MATCH(C253,等级门槛!$D$14:$D$113,1))</x:f>
        <x:v>1</x:v>
      </x:c>
      <x:c r="F253" s="79" t="n">
        <x:f aca="0">MIN(5,ROUNDUP(E253/20,0))</x:f>
        <x:v>1</x:v>
      </x:c>
      <x:c r="G253" s="24" t="n">
        <x:f aca="0">IF(E253=100,"已达Lv100",INDEX(等级门槛!$D$14:$D$113,E253+1))</x:f>
        <x:v>1500</x:v>
      </x:c>
      <x:c r="H253" s="23" t="str">
        <x:f aca="0">IF(D253="否","特殊样本，仅迁移展示；不参与档位与分布统计",IF(C253=0,"有效存量CP；CP累计字段为0，需核验迁移",IF(C253&lt;1000,"有效存量CP；低于新门槛，统一映射Lv1","")))</x:f>
        <x:v>有效存量CP；CP累计字段为0，需核验迁移</x:v>
      </x:c>
    </x:row>
    <x:row r="254" ht="19" hidden="0" customHeight="1">
      <x:c r="A254" s="1" t="n">
        <x:v>248</x:v>
      </x:c>
      <x:c r="B254" s="23" t="s">
        <x:v>859</x:v>
      </x:c>
      <x:c r="C254" s="24" t="n">
        <x:v>0</x:v>
      </x:c>
      <x:c r="D254" s="1" t="s">
        <x:v>613</x:v>
      </x:c>
      <x:c r="E254" s="78" t="n">
        <x:f aca="0">IF(C254&lt;等级门槛!$D$14,1,MATCH(C254,等级门槛!$D$14:$D$113,1))</x:f>
        <x:v>1</x:v>
      </x:c>
      <x:c r="F254" s="79" t="n">
        <x:f aca="0">MIN(5,ROUNDUP(E254/20,0))</x:f>
        <x:v>1</x:v>
      </x:c>
      <x:c r="G254" s="24" t="n">
        <x:f aca="0">IF(E254=100,"已达Lv100",INDEX(等级门槛!$D$14:$D$113,E254+1))</x:f>
        <x:v>1500</x:v>
      </x:c>
      <x:c r="H254" s="23" t="str">
        <x:f aca="0">IF(D254="否","特殊样本，仅迁移展示；不参与档位与分布统计",IF(C254=0,"有效存量CP；CP累计字段为0，需核验迁移",IF(C254&lt;1000,"有效存量CP；低于新门槛，统一映射Lv1","")))</x:f>
        <x:v>有效存量CP；CP累计字段为0，需核验迁移</x:v>
      </x:c>
    </x:row>
    <x:row r="255" ht="19" hidden="0" customHeight="1">
      <x:c r="A255" s="1" t="n">
        <x:v>249</x:v>
      </x:c>
      <x:c r="B255" s="23" t="s">
        <x:v>860</x:v>
      </x:c>
      <x:c r="C255" s="24" t="n">
        <x:v>0</x:v>
      </x:c>
      <x:c r="D255" s="1" t="s">
        <x:v>613</x:v>
      </x:c>
      <x:c r="E255" s="78" t="n">
        <x:f aca="0">IF(C255&lt;等级门槛!$D$14,1,MATCH(C255,等级门槛!$D$14:$D$113,1))</x:f>
        <x:v>1</x:v>
      </x:c>
      <x:c r="F255" s="79" t="n">
        <x:f aca="0">MIN(5,ROUNDUP(E255/20,0))</x:f>
        <x:v>1</x:v>
      </x:c>
      <x:c r="G255" s="24" t="n">
        <x:f aca="0">IF(E255=100,"已达Lv100",INDEX(等级门槛!$D$14:$D$113,E255+1))</x:f>
        <x:v>1500</x:v>
      </x:c>
      <x:c r="H255" s="23" t="str">
        <x:f aca="0">IF(D255="否","特殊样本，仅迁移展示；不参与档位与分布统计",IF(C255=0,"有效存量CP；CP累计字段为0，需核验迁移",IF(C255&lt;1000,"有效存量CP；低于新门槛，统一映射Lv1","")))</x:f>
        <x:v>有效存量CP；CP累计字段为0，需核验迁移</x:v>
      </x:c>
    </x:row>
    <x:row r="256" ht="19" hidden="0" customHeight="1">
      <x:c r="A256" s="1" t="n">
        <x:v>250</x:v>
      </x:c>
      <x:c r="B256" s="23" t="s">
        <x:v>861</x:v>
      </x:c>
      <x:c r="C256" s="24" t="n">
        <x:v>0</x:v>
      </x:c>
      <x:c r="D256" s="1" t="s">
        <x:v>613</x:v>
      </x:c>
      <x:c r="E256" s="78" t="n">
        <x:f aca="0">IF(C256&lt;等级门槛!$D$14,1,MATCH(C256,等级门槛!$D$14:$D$113,1))</x:f>
        <x:v>1</x:v>
      </x:c>
      <x:c r="F256" s="79" t="n">
        <x:f aca="0">MIN(5,ROUNDUP(E256/20,0))</x:f>
        <x:v>1</x:v>
      </x:c>
      <x:c r="G256" s="24" t="n">
        <x:f aca="0">IF(E256=100,"已达Lv100",INDEX(等级门槛!$D$14:$D$113,E256+1))</x:f>
        <x:v>1500</x:v>
      </x:c>
      <x:c r="H256" s="23" t="str">
        <x:f aca="0">IF(D256="否","特殊样本，仅迁移展示；不参与档位与分布统计",IF(C256=0,"有效存量CP；CP累计字段为0，需核验迁移",IF(C256&lt;1000,"有效存量CP；低于新门槛，统一映射Lv1","")))</x:f>
        <x:v>有效存量CP；CP累计字段为0，需核验迁移</x:v>
      </x:c>
    </x:row>
    <x:row r="257" ht="19" hidden="0" customHeight="1">
      <x:c r="A257" s="1" t="n">
        <x:v>251</x:v>
      </x:c>
      <x:c r="B257" s="23" t="s">
        <x:v>862</x:v>
      </x:c>
      <x:c r="C257" s="24" t="n">
        <x:v>0</x:v>
      </x:c>
      <x:c r="D257" s="1" t="s">
        <x:v>613</x:v>
      </x:c>
      <x:c r="E257" s="78" t="n">
        <x:f aca="0">IF(C257&lt;等级门槛!$D$14,1,MATCH(C257,等级门槛!$D$14:$D$113,1))</x:f>
        <x:v>1</x:v>
      </x:c>
      <x:c r="F257" s="79" t="n">
        <x:f aca="0">MIN(5,ROUNDUP(E257/20,0))</x:f>
        <x:v>1</x:v>
      </x:c>
      <x:c r="G257" s="24" t="n">
        <x:f aca="0">IF(E257=100,"已达Lv100",INDEX(等级门槛!$D$14:$D$113,E257+1))</x:f>
        <x:v>1500</x:v>
      </x:c>
      <x:c r="H257" s="23" t="str">
        <x:f aca="0">IF(D257="否","特殊样本，仅迁移展示；不参与档位与分布统计",IF(C257=0,"有效存量CP；CP累计字段为0，需核验迁移",IF(C257&lt;1000,"有效存量CP；低于新门槛，统一映射Lv1","")))</x:f>
        <x:v>有效存量CP；CP累计字段为0，需核验迁移</x:v>
      </x:c>
    </x:row>
    <x:row r="258" ht="19" hidden="0" customHeight="1">
      <x:c r="A258" s="1" t="n">
        <x:v>252</x:v>
      </x:c>
      <x:c r="B258" s="23" t="s">
        <x:v>863</x:v>
      </x:c>
      <x:c r="C258" s="24" t="n">
        <x:v>0</x:v>
      </x:c>
      <x:c r="D258" s="1" t="s">
        <x:v>613</x:v>
      </x:c>
      <x:c r="E258" s="78" t="n">
        <x:f aca="0">IF(C258&lt;等级门槛!$D$14,1,MATCH(C258,等级门槛!$D$14:$D$113,1))</x:f>
        <x:v>1</x:v>
      </x:c>
      <x:c r="F258" s="79" t="n">
        <x:f aca="0">MIN(5,ROUNDUP(E258/20,0))</x:f>
        <x:v>1</x:v>
      </x:c>
      <x:c r="G258" s="24" t="n">
        <x:f aca="0">IF(E258=100,"已达Lv100",INDEX(等级门槛!$D$14:$D$113,E258+1))</x:f>
        <x:v>1500</x:v>
      </x:c>
      <x:c r="H258" s="23" t="str">
        <x:f aca="0">IF(D258="否","特殊样本，仅迁移展示；不参与档位与分布统计",IF(C258=0,"有效存量CP；CP累计字段为0，需核验迁移",IF(C258&lt;1000,"有效存量CP；低于新门槛，统一映射Lv1","")))</x:f>
        <x:v>有效存量CP；CP累计字段为0，需核验迁移</x:v>
      </x:c>
    </x:row>
    <x:row r="259" ht="19" hidden="0" customHeight="1">
      <x:c r="A259" s="1" t="n">
        <x:v>253</x:v>
      </x:c>
      <x:c r="B259" s="23" t="s">
        <x:v>864</x:v>
      </x:c>
      <x:c r="C259" s="24" t="n">
        <x:v>0</x:v>
      </x:c>
      <x:c r="D259" s="1" t="s">
        <x:v>613</x:v>
      </x:c>
      <x:c r="E259" s="78" t="n">
        <x:f aca="0">IF(C259&lt;等级门槛!$D$14,1,MATCH(C259,等级门槛!$D$14:$D$113,1))</x:f>
        <x:v>1</x:v>
      </x:c>
      <x:c r="F259" s="79" t="n">
        <x:f aca="0">MIN(5,ROUNDUP(E259/20,0))</x:f>
        <x:v>1</x:v>
      </x:c>
      <x:c r="G259" s="24" t="n">
        <x:f aca="0">IF(E259=100,"已达Lv100",INDEX(等级门槛!$D$14:$D$113,E259+1))</x:f>
        <x:v>1500</x:v>
      </x:c>
      <x:c r="H259" s="23" t="str">
        <x:f aca="0">IF(D259="否","特殊样本，仅迁移展示；不参与档位与分布统计",IF(C259=0,"有效存量CP；CP累计字段为0，需核验迁移",IF(C259&lt;1000,"有效存量CP；低于新门槛，统一映射Lv1","")))</x:f>
        <x:v>有效存量CP；CP累计字段为0，需核验迁移</x:v>
      </x:c>
    </x:row>
    <x:row r="260" ht="19" hidden="0" customHeight="1">
      <x:c r="A260" s="1" t="n">
        <x:v>254</x:v>
      </x:c>
      <x:c r="B260" s="23" t="s">
        <x:v>865</x:v>
      </x:c>
      <x:c r="C260" s="24" t="n">
        <x:v>0</x:v>
      </x:c>
      <x:c r="D260" s="1" t="s">
        <x:v>613</x:v>
      </x:c>
      <x:c r="E260" s="78" t="n">
        <x:f aca="0">IF(C260&lt;等级门槛!$D$14,1,MATCH(C260,等级门槛!$D$14:$D$113,1))</x:f>
        <x:v>1</x:v>
      </x:c>
      <x:c r="F260" s="79" t="n">
        <x:f aca="0">MIN(5,ROUNDUP(E260/20,0))</x:f>
        <x:v>1</x:v>
      </x:c>
      <x:c r="G260" s="24" t="n">
        <x:f aca="0">IF(E260=100,"已达Lv100",INDEX(等级门槛!$D$14:$D$113,E260+1))</x:f>
        <x:v>1500</x:v>
      </x:c>
      <x:c r="H260" s="23" t="str">
        <x:f aca="0">IF(D260="否","特殊样本，仅迁移展示；不参与档位与分布统计",IF(C260=0,"有效存量CP；CP累计字段为0，需核验迁移",IF(C260&lt;1000,"有效存量CP；低于新门槛，统一映射Lv1","")))</x:f>
        <x:v>有效存量CP；CP累计字段为0，需核验迁移</x:v>
      </x:c>
    </x:row>
    <x:row r="261" ht="19" hidden="0" customHeight="1">
      <x:c r="A261" s="1" t="n">
        <x:v>255</x:v>
      </x:c>
      <x:c r="B261" s="23" t="s">
        <x:v>866</x:v>
      </x:c>
      <x:c r="C261" s="24" t="n">
        <x:v>0</x:v>
      </x:c>
      <x:c r="D261" s="1" t="s">
        <x:v>613</x:v>
      </x:c>
      <x:c r="E261" s="78" t="n">
        <x:f aca="0">IF(C261&lt;等级门槛!$D$14,1,MATCH(C261,等级门槛!$D$14:$D$113,1))</x:f>
        <x:v>1</x:v>
      </x:c>
      <x:c r="F261" s="79" t="n">
        <x:f aca="0">MIN(5,ROUNDUP(E261/20,0))</x:f>
        <x:v>1</x:v>
      </x:c>
      <x:c r="G261" s="24" t="n">
        <x:f aca="0">IF(E261=100,"已达Lv100",INDEX(等级门槛!$D$14:$D$113,E261+1))</x:f>
        <x:v>1500</x:v>
      </x:c>
      <x:c r="H261" s="23" t="str">
        <x:f aca="0">IF(D261="否","特殊样本，仅迁移展示；不参与档位与分布统计",IF(C261=0,"有效存量CP；CP累计字段为0，需核验迁移",IF(C261&lt;1000,"有效存量CP；低于新门槛，统一映射Lv1","")))</x:f>
        <x:v>有效存量CP；CP累计字段为0，需核验迁移</x:v>
      </x:c>
    </x:row>
    <x:row r="262" ht="19" hidden="0" customHeight="1">
      <x:c r="A262" s="1" t="n">
        <x:v>256</x:v>
      </x:c>
      <x:c r="B262" s="23" t="s">
        <x:v>867</x:v>
      </x:c>
      <x:c r="C262" s="24" t="n">
        <x:v>0</x:v>
      </x:c>
      <x:c r="D262" s="1" t="s">
        <x:v>613</x:v>
      </x:c>
      <x:c r="E262" s="78" t="n">
        <x:f aca="0">IF(C262&lt;等级门槛!$D$14,1,MATCH(C262,等级门槛!$D$14:$D$113,1))</x:f>
        <x:v>1</x:v>
      </x:c>
      <x:c r="F262" s="79" t="n">
        <x:f aca="0">MIN(5,ROUNDUP(E262/20,0))</x:f>
        <x:v>1</x:v>
      </x:c>
      <x:c r="G262" s="24" t="n">
        <x:f aca="0">IF(E262=100,"已达Lv100",INDEX(等级门槛!$D$14:$D$113,E262+1))</x:f>
        <x:v>1500</x:v>
      </x:c>
      <x:c r="H262" s="23" t="str">
        <x:f aca="0">IF(D262="否","特殊样本，仅迁移展示；不参与档位与分布统计",IF(C262=0,"有效存量CP；CP累计字段为0，需核验迁移",IF(C262&lt;1000,"有效存量CP；低于新门槛，统一映射Lv1","")))</x:f>
        <x:v>有效存量CP；CP累计字段为0，需核验迁移</x:v>
      </x:c>
    </x:row>
    <x:row r="263" ht="19" hidden="0" customHeight="1">
      <x:c r="A263" s="1" t="n">
        <x:v>257</x:v>
      </x:c>
      <x:c r="B263" s="23" t="s">
        <x:v>868</x:v>
      </x:c>
      <x:c r="C263" s="24" t="n">
        <x:v>0</x:v>
      </x:c>
      <x:c r="D263" s="1" t="s">
        <x:v>613</x:v>
      </x:c>
      <x:c r="E263" s="78" t="n">
        <x:f aca="0">IF(C263&lt;等级门槛!$D$14,1,MATCH(C263,等级门槛!$D$14:$D$113,1))</x:f>
        <x:v>1</x:v>
      </x:c>
      <x:c r="F263" s="79" t="n">
        <x:f aca="0">MIN(5,ROUNDUP(E263/20,0))</x:f>
        <x:v>1</x:v>
      </x:c>
      <x:c r="G263" s="24" t="n">
        <x:f aca="0">IF(E263=100,"已达Lv100",INDEX(等级门槛!$D$14:$D$113,E263+1))</x:f>
        <x:v>1500</x:v>
      </x:c>
      <x:c r="H263" s="23" t="str">
        <x:f aca="0">IF(D263="否","特殊样本，仅迁移展示；不参与档位与分布统计",IF(C263=0,"有效存量CP；CP累计字段为0，需核验迁移",IF(C263&lt;1000,"有效存量CP；低于新门槛，统一映射Lv1","")))</x:f>
        <x:v>有效存量CP；CP累计字段为0，需核验迁移</x:v>
      </x:c>
    </x:row>
    <x:row r="264" ht="19" hidden="0" customHeight="1">
      <x:c r="A264" s="1" t="n">
        <x:v>258</x:v>
      </x:c>
      <x:c r="B264" s="23" t="s">
        <x:v>869</x:v>
      </x:c>
      <x:c r="C264" s="24" t="n">
        <x:v>0</x:v>
      </x:c>
      <x:c r="D264" s="1" t="s">
        <x:v>613</x:v>
      </x:c>
      <x:c r="E264" s="78" t="n">
        <x:f aca="0">IF(C264&lt;等级门槛!$D$14,1,MATCH(C264,等级门槛!$D$14:$D$113,1))</x:f>
        <x:v>1</x:v>
      </x:c>
      <x:c r="F264" s="79" t="n">
        <x:f aca="0">MIN(5,ROUNDUP(E264/20,0))</x:f>
        <x:v>1</x:v>
      </x:c>
      <x:c r="G264" s="24" t="n">
        <x:f aca="0">IF(E264=100,"已达Lv100",INDEX(等级门槛!$D$14:$D$113,E264+1))</x:f>
        <x:v>1500</x:v>
      </x:c>
      <x:c r="H264" s="23" t="str">
        <x:f aca="0">IF(D264="否","特殊样本，仅迁移展示；不参与档位与分布统计",IF(C264=0,"有效存量CP；CP累计字段为0，需核验迁移",IF(C264&lt;1000,"有效存量CP；低于新门槛，统一映射Lv1","")))</x:f>
        <x:v>有效存量CP；CP累计字段为0，需核验迁移</x:v>
      </x:c>
    </x:row>
    <x:row r="265" ht="19" hidden="0" customHeight="1">
      <x:c r="A265" s="1" t="n">
        <x:v>259</x:v>
      </x:c>
      <x:c r="B265" s="23" t="s">
        <x:v>870</x:v>
      </x:c>
      <x:c r="C265" s="24" t="n">
        <x:v>0</x:v>
      </x:c>
      <x:c r="D265" s="1" t="s">
        <x:v>613</x:v>
      </x:c>
      <x:c r="E265" s="78" t="n">
        <x:f aca="0">IF(C265&lt;等级门槛!$D$14,1,MATCH(C265,等级门槛!$D$14:$D$113,1))</x:f>
        <x:v>1</x:v>
      </x:c>
      <x:c r="F265" s="79" t="n">
        <x:f aca="0">MIN(5,ROUNDUP(E265/20,0))</x:f>
        <x:v>1</x:v>
      </x:c>
      <x:c r="G265" s="24" t="n">
        <x:f aca="0">IF(E265=100,"已达Lv100",INDEX(等级门槛!$D$14:$D$113,E265+1))</x:f>
        <x:v>1500</x:v>
      </x:c>
      <x:c r="H265" s="23" t="str">
        <x:f aca="0">IF(D265="否","特殊样本，仅迁移展示；不参与档位与分布统计",IF(C265=0,"有效存量CP；CP累计字段为0，需核验迁移",IF(C265&lt;1000,"有效存量CP；低于新门槛，统一映射Lv1","")))</x:f>
        <x:v>有效存量CP；CP累计字段为0，需核验迁移</x:v>
      </x:c>
    </x:row>
    <x:row r="266" ht="19" hidden="0" customHeight="1">
      <x:c r="A266" s="1" t="n">
        <x:v>260</x:v>
      </x:c>
      <x:c r="B266" s="23" t="s">
        <x:v>871</x:v>
      </x:c>
      <x:c r="C266" s="24" t="n">
        <x:v>0</x:v>
      </x:c>
      <x:c r="D266" s="1" t="s">
        <x:v>613</x:v>
      </x:c>
      <x:c r="E266" s="78" t="n">
        <x:f aca="0">IF(C266&lt;等级门槛!$D$14,1,MATCH(C266,等级门槛!$D$14:$D$113,1))</x:f>
        <x:v>1</x:v>
      </x:c>
      <x:c r="F266" s="79" t="n">
        <x:f aca="0">MIN(5,ROUNDUP(E266/20,0))</x:f>
        <x:v>1</x:v>
      </x:c>
      <x:c r="G266" s="24" t="n">
        <x:f aca="0">IF(E266=100,"已达Lv100",INDEX(等级门槛!$D$14:$D$113,E266+1))</x:f>
        <x:v>1500</x:v>
      </x:c>
      <x:c r="H266" s="23" t="str">
        <x:f aca="0">IF(D266="否","特殊样本，仅迁移展示；不参与档位与分布统计",IF(C266=0,"有效存量CP；CP累计字段为0，需核验迁移",IF(C266&lt;1000,"有效存量CP；低于新门槛，统一映射Lv1","")))</x:f>
        <x:v>有效存量CP；CP累计字段为0，需核验迁移</x:v>
      </x:c>
    </x:row>
    <x:row r="267" ht="19" hidden="0" customHeight="1">
      <x:c r="A267" s="1" t="n">
        <x:v>261</x:v>
      </x:c>
      <x:c r="B267" s="23" t="s">
        <x:v>872</x:v>
      </x:c>
      <x:c r="C267" s="24" t="n">
        <x:v>0</x:v>
      </x:c>
      <x:c r="D267" s="1" t="s">
        <x:v>613</x:v>
      </x:c>
      <x:c r="E267" s="78" t="n">
        <x:f aca="0">IF(C267&lt;等级门槛!$D$14,1,MATCH(C267,等级门槛!$D$14:$D$113,1))</x:f>
        <x:v>1</x:v>
      </x:c>
      <x:c r="F267" s="79" t="n">
        <x:f aca="0">MIN(5,ROUNDUP(E267/20,0))</x:f>
        <x:v>1</x:v>
      </x:c>
      <x:c r="G267" s="24" t="n">
        <x:f aca="0">IF(E267=100,"已达Lv100",INDEX(等级门槛!$D$14:$D$113,E267+1))</x:f>
        <x:v>1500</x:v>
      </x:c>
      <x:c r="H267" s="23" t="str">
        <x:f aca="0">IF(D267="否","特殊样本，仅迁移展示；不参与档位与分布统计",IF(C267=0,"有效存量CP；CP累计字段为0，需核验迁移",IF(C267&lt;1000,"有效存量CP；低于新门槛，统一映射Lv1","")))</x:f>
        <x:v>有效存量CP；CP累计字段为0，需核验迁移</x:v>
      </x:c>
    </x:row>
    <x:row r="268" ht="19" hidden="0" customHeight="1">
      <x:c r="A268" s="1" t="n">
        <x:v>262</x:v>
      </x:c>
      <x:c r="B268" s="23" t="s">
        <x:v>873</x:v>
      </x:c>
      <x:c r="C268" s="24" t="n">
        <x:v>0</x:v>
      </x:c>
      <x:c r="D268" s="1" t="s">
        <x:v>613</x:v>
      </x:c>
      <x:c r="E268" s="78" t="n">
        <x:f aca="0">IF(C268&lt;等级门槛!$D$14,1,MATCH(C268,等级门槛!$D$14:$D$113,1))</x:f>
        <x:v>1</x:v>
      </x:c>
      <x:c r="F268" s="79" t="n">
        <x:f aca="0">MIN(5,ROUNDUP(E268/20,0))</x:f>
        <x:v>1</x:v>
      </x:c>
      <x:c r="G268" s="24" t="n">
        <x:f aca="0">IF(E268=100,"已达Lv100",INDEX(等级门槛!$D$14:$D$113,E268+1))</x:f>
        <x:v>1500</x:v>
      </x:c>
      <x:c r="H268" s="23" t="str">
        <x:f aca="0">IF(D268="否","特殊样本，仅迁移展示；不参与档位与分布统计",IF(C268=0,"有效存量CP；CP累计字段为0，需核验迁移",IF(C268&lt;1000,"有效存量CP；低于新门槛，统一映射Lv1","")))</x:f>
        <x:v>有效存量CP；CP累计字段为0，需核验迁移</x:v>
      </x:c>
    </x:row>
    <x:row r="269" ht="19" hidden="0" customHeight="1">
      <x:c r="A269" s="1" t="n">
        <x:v>263</x:v>
      </x:c>
      <x:c r="B269" s="23" t="s">
        <x:v>874</x:v>
      </x:c>
      <x:c r="C269" s="24" t="n">
        <x:v>0</x:v>
      </x:c>
      <x:c r="D269" s="1" t="s">
        <x:v>613</x:v>
      </x:c>
      <x:c r="E269" s="78" t="n">
        <x:f aca="0">IF(C269&lt;等级门槛!$D$14,1,MATCH(C269,等级门槛!$D$14:$D$113,1))</x:f>
        <x:v>1</x:v>
      </x:c>
      <x:c r="F269" s="79" t="n">
        <x:f aca="0">MIN(5,ROUNDUP(E269/20,0))</x:f>
        <x:v>1</x:v>
      </x:c>
      <x:c r="G269" s="24" t="n">
        <x:f aca="0">IF(E269=100,"已达Lv100",INDEX(等级门槛!$D$14:$D$113,E269+1))</x:f>
        <x:v>1500</x:v>
      </x:c>
      <x:c r="H269" s="23" t="str">
        <x:f aca="0">IF(D269="否","特殊样本，仅迁移展示；不参与档位与分布统计",IF(C269=0,"有效存量CP；CP累计字段为0，需核验迁移",IF(C269&lt;1000,"有效存量CP；低于新门槛，统一映射Lv1","")))</x:f>
        <x:v>有效存量CP；CP累计字段为0，需核验迁移</x:v>
      </x:c>
    </x:row>
    <x:row r="270" ht="19" hidden="0" customHeight="1">
      <x:c r="A270" s="1" t="n">
        <x:v>264</x:v>
      </x:c>
      <x:c r="B270" s="23" t="s">
        <x:v>875</x:v>
      </x:c>
      <x:c r="C270" s="24" t="n">
        <x:v>0</x:v>
      </x:c>
      <x:c r="D270" s="1" t="s">
        <x:v>613</x:v>
      </x:c>
      <x:c r="E270" s="78" t="n">
        <x:f aca="0">IF(C270&lt;等级门槛!$D$14,1,MATCH(C270,等级门槛!$D$14:$D$113,1))</x:f>
        <x:v>1</x:v>
      </x:c>
      <x:c r="F270" s="79" t="n">
        <x:f aca="0">MIN(5,ROUNDUP(E270/20,0))</x:f>
        <x:v>1</x:v>
      </x:c>
      <x:c r="G270" s="24" t="n">
        <x:f aca="0">IF(E270=100,"已达Lv100",INDEX(等级门槛!$D$14:$D$113,E270+1))</x:f>
        <x:v>1500</x:v>
      </x:c>
      <x:c r="H270" s="23" t="str">
        <x:f aca="0">IF(D270="否","特殊样本，仅迁移展示；不参与档位与分布统计",IF(C270=0,"有效存量CP；CP累计字段为0，需核验迁移",IF(C270&lt;1000,"有效存量CP；低于新门槛，统一映射Lv1","")))</x:f>
        <x:v>有效存量CP；CP累计字段为0，需核验迁移</x:v>
      </x:c>
    </x:row>
    <x:row r="271" ht="19" hidden="0" customHeight="1">
      <x:c r="A271" s="1" t="n">
        <x:v>265</x:v>
      </x:c>
      <x:c r="B271" s="23" t="s">
        <x:v>876</x:v>
      </x:c>
      <x:c r="C271" s="24" t="n">
        <x:v>0</x:v>
      </x:c>
      <x:c r="D271" s="1" t="s">
        <x:v>613</x:v>
      </x:c>
      <x:c r="E271" s="78" t="n">
        <x:f aca="0">IF(C271&lt;等级门槛!$D$14,1,MATCH(C271,等级门槛!$D$14:$D$113,1))</x:f>
        <x:v>1</x:v>
      </x:c>
      <x:c r="F271" s="79" t="n">
        <x:f aca="0">MIN(5,ROUNDUP(E271/20,0))</x:f>
        <x:v>1</x:v>
      </x:c>
      <x:c r="G271" s="24" t="n">
        <x:f aca="0">IF(E271=100,"已达Lv100",INDEX(等级门槛!$D$14:$D$113,E271+1))</x:f>
        <x:v>1500</x:v>
      </x:c>
      <x:c r="H271" s="23" t="str">
        <x:f aca="0">IF(D271="否","特殊样本，仅迁移展示；不参与档位与分布统计",IF(C271=0,"有效存量CP；CP累计字段为0，需核验迁移",IF(C271&lt;1000,"有效存量CP；低于新门槛，统一映射Lv1","")))</x:f>
        <x:v>有效存量CP；CP累计字段为0，需核验迁移</x:v>
      </x:c>
    </x:row>
    <x:row r="272" ht="19" hidden="0" customHeight="1">
      <x:c r="A272" s="1" t="n">
        <x:v>266</x:v>
      </x:c>
      <x:c r="B272" s="23" t="s">
        <x:v>877</x:v>
      </x:c>
      <x:c r="C272" s="24" t="n">
        <x:v>0</x:v>
      </x:c>
      <x:c r="D272" s="1" t="s">
        <x:v>613</x:v>
      </x:c>
      <x:c r="E272" s="78" t="n">
        <x:f aca="0">IF(C272&lt;等级门槛!$D$14,1,MATCH(C272,等级门槛!$D$14:$D$113,1))</x:f>
        <x:v>1</x:v>
      </x:c>
      <x:c r="F272" s="79" t="n">
        <x:f aca="0">MIN(5,ROUNDUP(E272/20,0))</x:f>
        <x:v>1</x:v>
      </x:c>
      <x:c r="G272" s="24" t="n">
        <x:f aca="0">IF(E272=100,"已达Lv100",INDEX(等级门槛!$D$14:$D$113,E272+1))</x:f>
        <x:v>1500</x:v>
      </x:c>
      <x:c r="H272" s="23" t="str">
        <x:f aca="0">IF(D272="否","特殊样本，仅迁移展示；不参与档位与分布统计",IF(C272=0,"有效存量CP；CP累计字段为0，需核验迁移",IF(C272&lt;1000,"有效存量CP；低于新门槛，统一映射Lv1","")))</x:f>
        <x:v>有效存量CP；CP累计字段为0，需核验迁移</x:v>
      </x:c>
    </x:row>
    <x:row r="273" ht="19" hidden="0" customHeight="1">
      <x:c r="A273" s="1" t="n">
        <x:v>267</x:v>
      </x:c>
      <x:c r="B273" s="23" t="s">
        <x:v>878</x:v>
      </x:c>
      <x:c r="C273" s="24" t="n">
        <x:v>0</x:v>
      </x:c>
      <x:c r="D273" s="1" t="s">
        <x:v>613</x:v>
      </x:c>
      <x:c r="E273" s="78" t="n">
        <x:f aca="0">IF(C273&lt;等级门槛!$D$14,1,MATCH(C273,等级门槛!$D$14:$D$113,1))</x:f>
        <x:v>1</x:v>
      </x:c>
      <x:c r="F273" s="79" t="n">
        <x:f aca="0">MIN(5,ROUNDUP(E273/20,0))</x:f>
        <x:v>1</x:v>
      </x:c>
      <x:c r="G273" s="24" t="n">
        <x:f aca="0">IF(E273=100,"已达Lv100",INDEX(等级门槛!$D$14:$D$113,E273+1))</x:f>
        <x:v>1500</x:v>
      </x:c>
      <x:c r="H273" s="23" t="str">
        <x:f aca="0">IF(D273="否","特殊样本，仅迁移展示；不参与档位与分布统计",IF(C273=0,"有效存量CP；CP累计字段为0，需核验迁移",IF(C273&lt;1000,"有效存量CP；低于新门槛，统一映射Lv1","")))</x:f>
        <x:v>有效存量CP；CP累计字段为0，需核验迁移</x:v>
      </x:c>
    </x:row>
    <x:row r="274" ht="19" hidden="0" customHeight="1">
      <x:c r="A274" s="1" t="n">
        <x:v>268</x:v>
      </x:c>
      <x:c r="B274" s="23" t="s">
        <x:v>879</x:v>
      </x:c>
      <x:c r="C274" s="24" t="n">
        <x:v>0</x:v>
      </x:c>
      <x:c r="D274" s="1" t="s">
        <x:v>613</x:v>
      </x:c>
      <x:c r="E274" s="78" t="n">
        <x:f aca="0">IF(C274&lt;等级门槛!$D$14,1,MATCH(C274,等级门槛!$D$14:$D$113,1))</x:f>
        <x:v>1</x:v>
      </x:c>
      <x:c r="F274" s="79" t="n">
        <x:f aca="0">MIN(5,ROUNDUP(E274/20,0))</x:f>
        <x:v>1</x:v>
      </x:c>
      <x:c r="G274" s="24" t="n">
        <x:f aca="0">IF(E274=100,"已达Lv100",INDEX(等级门槛!$D$14:$D$113,E274+1))</x:f>
        <x:v>1500</x:v>
      </x:c>
      <x:c r="H274" s="23" t="str">
        <x:f aca="0">IF(D274="否","特殊样本，仅迁移展示；不参与档位与分布统计",IF(C274=0,"有效存量CP；CP累计字段为0，需核验迁移",IF(C274&lt;1000,"有效存量CP；低于新门槛，统一映射Lv1","")))</x:f>
        <x:v>有效存量CP；CP累计字段为0，需核验迁移</x:v>
      </x:c>
    </x:row>
    <x:row r="275" ht="19" hidden="0" customHeight="1">
      <x:c r="A275" s="1" t="n">
        <x:v>269</x:v>
      </x:c>
      <x:c r="B275" s="23" t="s">
        <x:v>880</x:v>
      </x:c>
      <x:c r="C275" s="24" t="n">
        <x:v>0</x:v>
      </x:c>
      <x:c r="D275" s="1" t="s">
        <x:v>613</x:v>
      </x:c>
      <x:c r="E275" s="78" t="n">
        <x:f aca="0">IF(C275&lt;等级门槛!$D$14,1,MATCH(C275,等级门槛!$D$14:$D$113,1))</x:f>
        <x:v>1</x:v>
      </x:c>
      <x:c r="F275" s="79" t="n">
        <x:f aca="0">MIN(5,ROUNDUP(E275/20,0))</x:f>
        <x:v>1</x:v>
      </x:c>
      <x:c r="G275" s="24" t="n">
        <x:f aca="0">IF(E275=100,"已达Lv100",INDEX(等级门槛!$D$14:$D$113,E275+1))</x:f>
        <x:v>1500</x:v>
      </x:c>
      <x:c r="H275" s="23" t="str">
        <x:f aca="0">IF(D275="否","特殊样本，仅迁移展示；不参与档位与分布统计",IF(C275=0,"有效存量CP；CP累计字段为0，需核验迁移",IF(C275&lt;1000,"有效存量CP；低于新门槛，统一映射Lv1","")))</x:f>
        <x:v>有效存量CP；CP累计字段为0，需核验迁移</x:v>
      </x:c>
    </x:row>
    <x:row r="276" ht="19" hidden="0" customHeight="1">
      <x:c r="A276" s="1" t="n">
        <x:v>270</x:v>
      </x:c>
      <x:c r="B276" s="23" t="s">
        <x:v>881</x:v>
      </x:c>
      <x:c r="C276" s="24" t="n">
        <x:v>0</x:v>
      </x:c>
      <x:c r="D276" s="1" t="s">
        <x:v>613</x:v>
      </x:c>
      <x:c r="E276" s="78" t="n">
        <x:f aca="0">IF(C276&lt;等级门槛!$D$14,1,MATCH(C276,等级门槛!$D$14:$D$113,1))</x:f>
        <x:v>1</x:v>
      </x:c>
      <x:c r="F276" s="79" t="n">
        <x:f aca="0">MIN(5,ROUNDUP(E276/20,0))</x:f>
        <x:v>1</x:v>
      </x:c>
      <x:c r="G276" s="24" t="n">
        <x:f aca="0">IF(E276=100,"已达Lv100",INDEX(等级门槛!$D$14:$D$113,E276+1))</x:f>
        <x:v>1500</x:v>
      </x:c>
      <x:c r="H276" s="23" t="str">
        <x:f aca="0">IF(D276="否","特殊样本，仅迁移展示；不参与档位与分布统计",IF(C276=0,"有效存量CP；CP累计字段为0，需核验迁移",IF(C276&lt;1000,"有效存量CP；低于新门槛，统一映射Lv1","")))</x:f>
        <x:v>有效存量CP；CP累计字段为0，需核验迁移</x:v>
      </x:c>
    </x:row>
    <x:row r="277" ht="19" hidden="0" customHeight="1">
      <x:c r="A277" s="1" t="n">
        <x:v>271</x:v>
      </x:c>
      <x:c r="B277" s="23" t="s">
        <x:v>882</x:v>
      </x:c>
      <x:c r="C277" s="24" t="n">
        <x:v>0</x:v>
      </x:c>
      <x:c r="D277" s="1" t="s">
        <x:v>613</x:v>
      </x:c>
      <x:c r="E277" s="78" t="n">
        <x:f aca="0">IF(C277&lt;等级门槛!$D$14,1,MATCH(C277,等级门槛!$D$14:$D$113,1))</x:f>
        <x:v>1</x:v>
      </x:c>
      <x:c r="F277" s="79" t="n">
        <x:f aca="0">MIN(5,ROUNDUP(E277/20,0))</x:f>
        <x:v>1</x:v>
      </x:c>
      <x:c r="G277" s="24" t="n">
        <x:f aca="0">IF(E277=100,"已达Lv100",INDEX(等级门槛!$D$14:$D$113,E277+1))</x:f>
        <x:v>1500</x:v>
      </x:c>
      <x:c r="H277" s="23" t="str">
        <x:f aca="0">IF(D277="否","特殊样本，仅迁移展示；不参与档位与分布统计",IF(C277=0,"有效存量CP；CP累计字段为0，需核验迁移",IF(C277&lt;1000,"有效存量CP；低于新门槛，统一映射Lv1","")))</x:f>
        <x:v>有效存量CP；CP累计字段为0，需核验迁移</x:v>
      </x:c>
    </x:row>
    <x:row r="278" ht="19" hidden="0" customHeight="1">
      <x:c r="A278" s="1" t="n">
        <x:v>272</x:v>
      </x:c>
      <x:c r="B278" s="23" t="s">
        <x:v>883</x:v>
      </x:c>
      <x:c r="C278" s="24" t="n">
        <x:v>0</x:v>
      </x:c>
      <x:c r="D278" s="1" t="s">
        <x:v>613</x:v>
      </x:c>
      <x:c r="E278" s="78" t="n">
        <x:f aca="0">IF(C278&lt;等级门槛!$D$14,1,MATCH(C278,等级门槛!$D$14:$D$113,1))</x:f>
        <x:v>1</x:v>
      </x:c>
      <x:c r="F278" s="79" t="n">
        <x:f aca="0">MIN(5,ROUNDUP(E278/20,0))</x:f>
        <x:v>1</x:v>
      </x:c>
      <x:c r="G278" s="24" t="n">
        <x:f aca="0">IF(E278=100,"已达Lv100",INDEX(等级门槛!$D$14:$D$113,E278+1))</x:f>
        <x:v>1500</x:v>
      </x:c>
      <x:c r="H278" s="23" t="str">
        <x:f aca="0">IF(D278="否","特殊样本，仅迁移展示；不参与档位与分布统计",IF(C278=0,"有效存量CP；CP累计字段为0，需核验迁移",IF(C278&lt;1000,"有效存量CP；低于新门槛，统一映射Lv1","")))</x:f>
        <x:v>有效存量CP；CP累计字段为0，需核验迁移</x:v>
      </x:c>
    </x:row>
    <x:row r="279" ht="19" hidden="0" customHeight="1">
      <x:c r="A279" s="1" t="n">
        <x:v>273</x:v>
      </x:c>
      <x:c r="B279" s="23" t="s">
        <x:v>884</x:v>
      </x:c>
      <x:c r="C279" s="24" t="n">
        <x:v>0</x:v>
      </x:c>
      <x:c r="D279" s="1" t="s">
        <x:v>613</x:v>
      </x:c>
      <x:c r="E279" s="78" t="n">
        <x:f aca="0">IF(C279&lt;等级门槛!$D$14,1,MATCH(C279,等级门槛!$D$14:$D$113,1))</x:f>
        <x:v>1</x:v>
      </x:c>
      <x:c r="F279" s="79" t="n">
        <x:f aca="0">MIN(5,ROUNDUP(E279/20,0))</x:f>
        <x:v>1</x:v>
      </x:c>
      <x:c r="G279" s="24" t="n">
        <x:f aca="0">IF(E279=100,"已达Lv100",INDEX(等级门槛!$D$14:$D$113,E279+1))</x:f>
        <x:v>1500</x:v>
      </x:c>
      <x:c r="H279" s="23" t="str">
        <x:f aca="0">IF(D279="否","特殊样本，仅迁移展示；不参与档位与分布统计",IF(C279=0,"有效存量CP；CP累计字段为0，需核验迁移",IF(C279&lt;1000,"有效存量CP；低于新门槛，统一映射Lv1","")))</x:f>
        <x:v>有效存量CP；CP累计字段为0，需核验迁移</x:v>
      </x:c>
    </x:row>
    <x:row r="280" ht="19" hidden="0" customHeight="1">
      <x:c r="A280" s="1" t="n">
        <x:v>274</x:v>
      </x:c>
      <x:c r="B280" s="23" t="s">
        <x:v>885</x:v>
      </x:c>
      <x:c r="C280" s="24" t="n">
        <x:v>0</x:v>
      </x:c>
      <x:c r="D280" s="1" t="s">
        <x:v>613</x:v>
      </x:c>
      <x:c r="E280" s="78" t="n">
        <x:f aca="0">IF(C280&lt;等级门槛!$D$14,1,MATCH(C280,等级门槛!$D$14:$D$113,1))</x:f>
        <x:v>1</x:v>
      </x:c>
      <x:c r="F280" s="79" t="n">
        <x:f aca="0">MIN(5,ROUNDUP(E280/20,0))</x:f>
        <x:v>1</x:v>
      </x:c>
      <x:c r="G280" s="24" t="n">
        <x:f aca="0">IF(E280=100,"已达Lv100",INDEX(等级门槛!$D$14:$D$113,E280+1))</x:f>
        <x:v>1500</x:v>
      </x:c>
      <x:c r="H280" s="23" t="str">
        <x:f aca="0">IF(D280="否","特殊样本，仅迁移展示；不参与档位与分布统计",IF(C280=0,"有效存量CP；CP累计字段为0，需核验迁移",IF(C280&lt;1000,"有效存量CP；低于新门槛，统一映射Lv1","")))</x:f>
        <x:v>有效存量CP；CP累计字段为0，需核验迁移</x:v>
      </x:c>
    </x:row>
    <x:row r="281" ht="19" hidden="0" customHeight="1">
      <x:c r="A281" s="1" t="n">
        <x:v>275</x:v>
      </x:c>
      <x:c r="B281" s="23" t="s">
        <x:v>886</x:v>
      </x:c>
      <x:c r="C281" s="24" t="n">
        <x:v>0</x:v>
      </x:c>
      <x:c r="D281" s="1" t="s">
        <x:v>613</x:v>
      </x:c>
      <x:c r="E281" s="78" t="n">
        <x:f aca="0">IF(C281&lt;等级门槛!$D$14,1,MATCH(C281,等级门槛!$D$14:$D$113,1))</x:f>
        <x:v>1</x:v>
      </x:c>
      <x:c r="F281" s="79" t="n">
        <x:f aca="0">MIN(5,ROUNDUP(E281/20,0))</x:f>
        <x:v>1</x:v>
      </x:c>
      <x:c r="G281" s="24" t="n">
        <x:f aca="0">IF(E281=100,"已达Lv100",INDEX(等级门槛!$D$14:$D$113,E281+1))</x:f>
        <x:v>1500</x:v>
      </x:c>
      <x:c r="H281" s="23" t="str">
        <x:f aca="0">IF(D281="否","特殊样本，仅迁移展示；不参与档位与分布统计",IF(C281=0,"有效存量CP；CP累计字段为0，需核验迁移",IF(C281&lt;1000,"有效存量CP；低于新门槛，统一映射Lv1","")))</x:f>
        <x:v>有效存量CP；CP累计字段为0，需核验迁移</x:v>
      </x:c>
    </x:row>
    <x:row r="282" ht="19" hidden="0" customHeight="1">
      <x:c r="A282" s="1" t="n">
        <x:v>276</x:v>
      </x:c>
      <x:c r="B282" s="23" t="s">
        <x:v>887</x:v>
      </x:c>
      <x:c r="C282" s="24" t="n">
        <x:v>0</x:v>
      </x:c>
      <x:c r="D282" s="1" t="s">
        <x:v>613</x:v>
      </x:c>
      <x:c r="E282" s="78" t="n">
        <x:f aca="0">IF(C282&lt;等级门槛!$D$14,1,MATCH(C282,等级门槛!$D$14:$D$113,1))</x:f>
        <x:v>1</x:v>
      </x:c>
      <x:c r="F282" s="79" t="n">
        <x:f aca="0">MIN(5,ROUNDUP(E282/20,0))</x:f>
        <x:v>1</x:v>
      </x:c>
      <x:c r="G282" s="24" t="n">
        <x:f aca="0">IF(E282=100,"已达Lv100",INDEX(等级门槛!$D$14:$D$113,E282+1))</x:f>
        <x:v>1500</x:v>
      </x:c>
      <x:c r="H282" s="23" t="str">
        <x:f aca="0">IF(D282="否","特殊样本，仅迁移展示；不参与档位与分布统计",IF(C282=0,"有效存量CP；CP累计字段为0，需核验迁移",IF(C282&lt;1000,"有效存量CP；低于新门槛，统一映射Lv1","")))</x:f>
        <x:v>有效存量CP；CP累计字段为0，需核验迁移</x:v>
      </x:c>
    </x:row>
    <x:row r="283" ht="19" hidden="0" customHeight="1">
      <x:c r="A283" s="1" t="n">
        <x:v>277</x:v>
      </x:c>
      <x:c r="B283" s="23" t="s">
        <x:v>888</x:v>
      </x:c>
      <x:c r="C283" s="24" t="n">
        <x:v>0</x:v>
      </x:c>
      <x:c r="D283" s="1" t="s">
        <x:v>613</x:v>
      </x:c>
      <x:c r="E283" s="78" t="n">
        <x:f aca="0">IF(C283&lt;等级门槛!$D$14,1,MATCH(C283,等级门槛!$D$14:$D$113,1))</x:f>
        <x:v>1</x:v>
      </x:c>
      <x:c r="F283" s="79" t="n">
        <x:f aca="0">MIN(5,ROUNDUP(E283/20,0))</x:f>
        <x:v>1</x:v>
      </x:c>
      <x:c r="G283" s="24" t="n">
        <x:f aca="0">IF(E283=100,"已达Lv100",INDEX(等级门槛!$D$14:$D$113,E283+1))</x:f>
        <x:v>1500</x:v>
      </x:c>
      <x:c r="H283" s="23" t="str">
        <x:f aca="0">IF(D283="否","特殊样本，仅迁移展示；不参与档位与分布统计",IF(C283=0,"有效存量CP；CP累计字段为0，需核验迁移",IF(C283&lt;1000,"有效存量CP；低于新门槛，统一映射Lv1","")))</x:f>
        <x:v>有效存量CP；CP累计字段为0，需核验迁移</x:v>
      </x:c>
    </x:row>
    <x:row r="284" ht="19" hidden="0" customHeight="1">
      <x:c r="A284" s="1" t="n">
        <x:v>278</x:v>
      </x:c>
      <x:c r="B284" s="23" t="s">
        <x:v>889</x:v>
      </x:c>
      <x:c r="C284" s="24" t="n">
        <x:v>0</x:v>
      </x:c>
      <x:c r="D284" s="1" t="s">
        <x:v>613</x:v>
      </x:c>
      <x:c r="E284" s="78" t="n">
        <x:f aca="0">IF(C284&lt;等级门槛!$D$14,1,MATCH(C284,等级门槛!$D$14:$D$113,1))</x:f>
        <x:v>1</x:v>
      </x:c>
      <x:c r="F284" s="79" t="n">
        <x:f aca="0">MIN(5,ROUNDUP(E284/20,0))</x:f>
        <x:v>1</x:v>
      </x:c>
      <x:c r="G284" s="24" t="n">
        <x:f aca="0">IF(E284=100,"已达Lv100",INDEX(等级门槛!$D$14:$D$113,E284+1))</x:f>
        <x:v>1500</x:v>
      </x:c>
      <x:c r="H284" s="23" t="str">
        <x:f aca="0">IF(D284="否","特殊样本，仅迁移展示；不参与档位与分布统计",IF(C284=0,"有效存量CP；CP累计字段为0，需核验迁移",IF(C284&lt;1000,"有效存量CP；低于新门槛，统一映射Lv1","")))</x:f>
        <x:v>有效存量CP；CP累计字段为0，需核验迁移</x:v>
      </x:c>
    </x:row>
    <x:row r="285" ht="19" hidden="0" customHeight="1">
      <x:c r="A285" s="1" t="n">
        <x:v>279</x:v>
      </x:c>
      <x:c r="B285" s="23" t="s">
        <x:v>890</x:v>
      </x:c>
      <x:c r="C285" s="24" t="n">
        <x:v>0</x:v>
      </x:c>
      <x:c r="D285" s="1" t="s">
        <x:v>613</x:v>
      </x:c>
      <x:c r="E285" s="78" t="n">
        <x:f aca="0">IF(C285&lt;等级门槛!$D$14,1,MATCH(C285,等级门槛!$D$14:$D$113,1))</x:f>
        <x:v>1</x:v>
      </x:c>
      <x:c r="F285" s="79" t="n">
        <x:f aca="0">MIN(5,ROUNDUP(E285/20,0))</x:f>
        <x:v>1</x:v>
      </x:c>
      <x:c r="G285" s="24" t="n">
        <x:f aca="0">IF(E285=100,"已达Lv100",INDEX(等级门槛!$D$14:$D$113,E285+1))</x:f>
        <x:v>1500</x:v>
      </x:c>
      <x:c r="H285" s="23" t="str">
        <x:f aca="0">IF(D285="否","特殊样本，仅迁移展示；不参与档位与分布统计",IF(C285=0,"有效存量CP；CP累计字段为0，需核验迁移",IF(C285&lt;1000,"有效存量CP；低于新门槛，统一映射Lv1","")))</x:f>
        <x:v>有效存量CP；CP累计字段为0，需核验迁移</x:v>
      </x:c>
    </x:row>
    <x:row r="286" ht="19" hidden="0" customHeight="1">
      <x:c r="A286" s="1" t="n">
        <x:v>280</x:v>
      </x:c>
      <x:c r="B286" s="23" t="s">
        <x:v>891</x:v>
      </x:c>
      <x:c r="C286" s="24" t="n">
        <x:v>0</x:v>
      </x:c>
      <x:c r="D286" s="1" t="s">
        <x:v>613</x:v>
      </x:c>
      <x:c r="E286" s="78" t="n">
        <x:f aca="0">IF(C286&lt;等级门槛!$D$14,1,MATCH(C286,等级门槛!$D$14:$D$113,1))</x:f>
        <x:v>1</x:v>
      </x:c>
      <x:c r="F286" s="79" t="n">
        <x:f aca="0">MIN(5,ROUNDUP(E286/20,0))</x:f>
        <x:v>1</x:v>
      </x:c>
      <x:c r="G286" s="24" t="n">
        <x:f aca="0">IF(E286=100,"已达Lv100",INDEX(等级门槛!$D$14:$D$113,E286+1))</x:f>
        <x:v>1500</x:v>
      </x:c>
      <x:c r="H286" s="23" t="str">
        <x:f aca="0">IF(D286="否","特殊样本，仅迁移展示；不参与档位与分布统计",IF(C286=0,"有效存量CP；CP累计字段为0，需核验迁移",IF(C286&lt;1000,"有效存量CP；低于新门槛，统一映射Lv1","")))</x:f>
        <x:v>有效存量CP；CP累计字段为0，需核验迁移</x:v>
      </x:c>
    </x:row>
    <x:row r="287" ht="19" hidden="0" customHeight="1">
      <x:c r="A287" s="1" t="n">
        <x:v>281</x:v>
      </x:c>
      <x:c r="B287" s="23" t="s">
        <x:v>892</x:v>
      </x:c>
      <x:c r="C287" s="24" t="n">
        <x:v>0</x:v>
      </x:c>
      <x:c r="D287" s="1" t="s">
        <x:v>613</x:v>
      </x:c>
      <x:c r="E287" s="78" t="n">
        <x:f aca="0">IF(C287&lt;等级门槛!$D$14,1,MATCH(C287,等级门槛!$D$14:$D$113,1))</x:f>
        <x:v>1</x:v>
      </x:c>
      <x:c r="F287" s="79" t="n">
        <x:f aca="0">MIN(5,ROUNDUP(E287/20,0))</x:f>
        <x:v>1</x:v>
      </x:c>
      <x:c r="G287" s="24" t="n">
        <x:f aca="0">IF(E287=100,"已达Lv100",INDEX(等级门槛!$D$14:$D$113,E287+1))</x:f>
        <x:v>1500</x:v>
      </x:c>
      <x:c r="H287" s="23" t="str">
        <x:f aca="0">IF(D287="否","特殊样本，仅迁移展示；不参与档位与分布统计",IF(C287=0,"有效存量CP；CP累计字段为0，需核验迁移",IF(C287&lt;1000,"有效存量CP；低于新门槛，统一映射Lv1","")))</x:f>
        <x:v>有效存量CP；CP累计字段为0，需核验迁移</x:v>
      </x:c>
    </x:row>
    <x:row r="288" ht="19" hidden="0" customHeight="1">
      <x:c r="A288" s="1" t="n">
        <x:v>282</x:v>
      </x:c>
      <x:c r="B288" s="23" t="s">
        <x:v>893</x:v>
      </x:c>
      <x:c r="C288" s="24" t="n">
        <x:v>0</x:v>
      </x:c>
      <x:c r="D288" s="1" t="s">
        <x:v>613</x:v>
      </x:c>
      <x:c r="E288" s="78" t="n">
        <x:f aca="0">IF(C288&lt;等级门槛!$D$14,1,MATCH(C288,等级门槛!$D$14:$D$113,1))</x:f>
        <x:v>1</x:v>
      </x:c>
      <x:c r="F288" s="79" t="n">
        <x:f aca="0">MIN(5,ROUNDUP(E288/20,0))</x:f>
        <x:v>1</x:v>
      </x:c>
      <x:c r="G288" s="24" t="n">
        <x:f aca="0">IF(E288=100,"已达Lv100",INDEX(等级门槛!$D$14:$D$113,E288+1))</x:f>
        <x:v>1500</x:v>
      </x:c>
      <x:c r="H288" s="23" t="str">
        <x:f aca="0">IF(D288="否","特殊样本，仅迁移展示；不参与档位与分布统计",IF(C288=0,"有效存量CP；CP累计字段为0，需核验迁移",IF(C288&lt;1000,"有效存量CP；低于新门槛，统一映射Lv1","")))</x:f>
        <x:v>有效存量CP；CP累计字段为0，需核验迁移</x:v>
      </x:c>
    </x:row>
    <x:row r="289" ht="19" hidden="0" customHeight="1">
      <x:c r="A289" s="1" t="n">
        <x:v>283</x:v>
      </x:c>
      <x:c r="B289" s="23" t="s">
        <x:v>894</x:v>
      </x:c>
      <x:c r="C289" s="24" t="n">
        <x:v>0</x:v>
      </x:c>
      <x:c r="D289" s="1" t="s">
        <x:v>613</x:v>
      </x:c>
      <x:c r="E289" s="78" t="n">
        <x:f aca="0">IF(C289&lt;等级门槛!$D$14,1,MATCH(C289,等级门槛!$D$14:$D$113,1))</x:f>
        <x:v>1</x:v>
      </x:c>
      <x:c r="F289" s="79" t="n">
        <x:f aca="0">MIN(5,ROUNDUP(E289/20,0))</x:f>
        <x:v>1</x:v>
      </x:c>
      <x:c r="G289" s="24" t="n">
        <x:f aca="0">IF(E289=100,"已达Lv100",INDEX(等级门槛!$D$14:$D$113,E289+1))</x:f>
        <x:v>1500</x:v>
      </x:c>
      <x:c r="H289" s="23" t="str">
        <x:f aca="0">IF(D289="否","特殊样本，仅迁移展示；不参与档位与分布统计",IF(C289=0,"有效存量CP；CP累计字段为0，需核验迁移",IF(C289&lt;1000,"有效存量CP；低于新门槛，统一映射Lv1","")))</x:f>
        <x:v>有效存量CP；CP累计字段为0，需核验迁移</x:v>
      </x:c>
    </x:row>
    <x:row r="290" ht="19" hidden="0" customHeight="1">
      <x:c r="A290" s="1" t="n">
        <x:v>284</x:v>
      </x:c>
      <x:c r="B290" s="23" t="s">
        <x:v>895</x:v>
      </x:c>
      <x:c r="C290" s="24" t="n">
        <x:v>0</x:v>
      </x:c>
      <x:c r="D290" s="1" t="s">
        <x:v>613</x:v>
      </x:c>
      <x:c r="E290" s="78" t="n">
        <x:f aca="0">IF(C290&lt;等级门槛!$D$14,1,MATCH(C290,等级门槛!$D$14:$D$113,1))</x:f>
        <x:v>1</x:v>
      </x:c>
      <x:c r="F290" s="79" t="n">
        <x:f aca="0">MIN(5,ROUNDUP(E290/20,0))</x:f>
        <x:v>1</x:v>
      </x:c>
      <x:c r="G290" s="24" t="n">
        <x:f aca="0">IF(E290=100,"已达Lv100",INDEX(等级门槛!$D$14:$D$113,E290+1))</x:f>
        <x:v>1500</x:v>
      </x:c>
      <x:c r="H290" s="23" t="str">
        <x:f aca="0">IF(D290="否","特殊样本，仅迁移展示；不参与档位与分布统计",IF(C290=0,"有效存量CP；CP累计字段为0，需核验迁移",IF(C290&lt;1000,"有效存量CP；低于新门槛，统一映射Lv1","")))</x:f>
        <x:v>有效存量CP；CP累计字段为0，需核验迁移</x:v>
      </x:c>
    </x:row>
    <x:row r="291" ht="19" hidden="0" customHeight="1">
      <x:c r="A291" s="1" t="n">
        <x:v>285</x:v>
      </x:c>
      <x:c r="B291" s="23" t="s">
        <x:v>896</x:v>
      </x:c>
      <x:c r="C291" s="24" t="n">
        <x:v>0</x:v>
      </x:c>
      <x:c r="D291" s="1" t="s">
        <x:v>613</x:v>
      </x:c>
      <x:c r="E291" s="78" t="n">
        <x:f aca="0">IF(C291&lt;等级门槛!$D$14,1,MATCH(C291,等级门槛!$D$14:$D$113,1))</x:f>
        <x:v>1</x:v>
      </x:c>
      <x:c r="F291" s="79" t="n">
        <x:f aca="0">MIN(5,ROUNDUP(E291/20,0))</x:f>
        <x:v>1</x:v>
      </x:c>
      <x:c r="G291" s="24" t="n">
        <x:f aca="0">IF(E291=100,"已达Lv100",INDEX(等级门槛!$D$14:$D$113,E291+1))</x:f>
        <x:v>1500</x:v>
      </x:c>
      <x:c r="H291" s="23" t="str">
        <x:f aca="0">IF(D291="否","特殊样本，仅迁移展示；不参与档位与分布统计",IF(C291=0,"有效存量CP；CP累计字段为0，需核验迁移",IF(C291&lt;1000,"有效存量CP；低于新门槛，统一映射Lv1","")))</x:f>
        <x:v>有效存量CP；CP累计字段为0，需核验迁移</x:v>
      </x:c>
    </x:row>
    <x:row r="292" ht="19" hidden="0" customHeight="1">
      <x:c r="A292" s="1" t="n">
        <x:v>286</x:v>
      </x:c>
      <x:c r="B292" s="23" t="s">
        <x:v>897</x:v>
      </x:c>
      <x:c r="C292" s="24" t="n">
        <x:v>0</x:v>
      </x:c>
      <x:c r="D292" s="1" t="s">
        <x:v>613</x:v>
      </x:c>
      <x:c r="E292" s="78" t="n">
        <x:f aca="0">IF(C292&lt;等级门槛!$D$14,1,MATCH(C292,等级门槛!$D$14:$D$113,1))</x:f>
        <x:v>1</x:v>
      </x:c>
      <x:c r="F292" s="79" t="n">
        <x:f aca="0">MIN(5,ROUNDUP(E292/20,0))</x:f>
        <x:v>1</x:v>
      </x:c>
      <x:c r="G292" s="24" t="n">
        <x:f aca="0">IF(E292=100,"已达Lv100",INDEX(等级门槛!$D$14:$D$113,E292+1))</x:f>
        <x:v>1500</x:v>
      </x:c>
      <x:c r="H292" s="23" t="str">
        <x:f aca="0">IF(D292="否","特殊样本，仅迁移展示；不参与档位与分布统计",IF(C292=0,"有效存量CP；CP累计字段为0，需核验迁移",IF(C292&lt;1000,"有效存量CP；低于新门槛，统一映射Lv1","")))</x:f>
        <x:v>有效存量CP；CP累计字段为0，需核验迁移</x:v>
      </x:c>
    </x:row>
    <x:row r="293" ht="19" hidden="0" customHeight="1">
      <x:c r="A293" s="1" t="n">
        <x:v>287</x:v>
      </x:c>
      <x:c r="B293" s="23" t="s">
        <x:v>898</x:v>
      </x:c>
      <x:c r="C293" s="24" t="n">
        <x:v>0</x:v>
      </x:c>
      <x:c r="D293" s="1" t="s">
        <x:v>613</x:v>
      </x:c>
      <x:c r="E293" s="78" t="n">
        <x:f aca="0">IF(C293&lt;等级门槛!$D$14,1,MATCH(C293,等级门槛!$D$14:$D$113,1))</x:f>
        <x:v>1</x:v>
      </x:c>
      <x:c r="F293" s="79" t="n">
        <x:f aca="0">MIN(5,ROUNDUP(E293/20,0))</x:f>
        <x:v>1</x:v>
      </x:c>
      <x:c r="G293" s="24" t="n">
        <x:f aca="0">IF(E293=100,"已达Lv100",INDEX(等级门槛!$D$14:$D$113,E293+1))</x:f>
        <x:v>1500</x:v>
      </x:c>
      <x:c r="H293" s="23" t="str">
        <x:f aca="0">IF(D293="否","特殊样本，仅迁移展示；不参与档位与分布统计",IF(C293=0,"有效存量CP；CP累计字段为0，需核验迁移",IF(C293&lt;1000,"有效存量CP；低于新门槛，统一映射Lv1","")))</x:f>
        <x:v>有效存量CP；CP累计字段为0，需核验迁移</x:v>
      </x:c>
    </x:row>
    <x:row r="294" ht="19" hidden="0" customHeight="1">
      <x:c r="A294" s="1" t="n">
        <x:v>288</x:v>
      </x:c>
      <x:c r="B294" s="23" t="s">
        <x:v>899</x:v>
      </x:c>
      <x:c r="C294" s="24" t="n">
        <x:v>0</x:v>
      </x:c>
      <x:c r="D294" s="1" t="s">
        <x:v>613</x:v>
      </x:c>
      <x:c r="E294" s="78" t="n">
        <x:f aca="0">IF(C294&lt;等级门槛!$D$14,1,MATCH(C294,等级门槛!$D$14:$D$113,1))</x:f>
        <x:v>1</x:v>
      </x:c>
      <x:c r="F294" s="79" t="n">
        <x:f aca="0">MIN(5,ROUNDUP(E294/20,0))</x:f>
        <x:v>1</x:v>
      </x:c>
      <x:c r="G294" s="24" t="n">
        <x:f aca="0">IF(E294=100,"已达Lv100",INDEX(等级门槛!$D$14:$D$113,E294+1))</x:f>
        <x:v>1500</x:v>
      </x:c>
      <x:c r="H294" s="23" t="str">
        <x:f aca="0">IF(D294="否","特殊样本，仅迁移展示；不参与档位与分布统计",IF(C294=0,"有效存量CP；CP累计字段为0，需核验迁移",IF(C294&lt;1000,"有效存量CP；低于新门槛，统一映射Lv1","")))</x:f>
        <x:v>有效存量CP；CP累计字段为0，需核验迁移</x:v>
      </x:c>
    </x:row>
    <x:row r="295" ht="19" hidden="0" customHeight="1">
      <x:c r="A295" s="1" t="n">
        <x:v>289</x:v>
      </x:c>
      <x:c r="B295" s="23" t="s">
        <x:v>900</x:v>
      </x:c>
      <x:c r="C295" s="24" t="n">
        <x:v>0</x:v>
      </x:c>
      <x:c r="D295" s="1" t="s">
        <x:v>613</x:v>
      </x:c>
      <x:c r="E295" s="78" t="n">
        <x:f aca="0">IF(C295&lt;等级门槛!$D$14,1,MATCH(C295,等级门槛!$D$14:$D$113,1))</x:f>
        <x:v>1</x:v>
      </x:c>
      <x:c r="F295" s="79" t="n">
        <x:f aca="0">MIN(5,ROUNDUP(E295/20,0))</x:f>
        <x:v>1</x:v>
      </x:c>
      <x:c r="G295" s="24" t="n">
        <x:f aca="0">IF(E295=100,"已达Lv100",INDEX(等级门槛!$D$14:$D$113,E295+1))</x:f>
        <x:v>1500</x:v>
      </x:c>
      <x:c r="H295" s="23" t="str">
        <x:f aca="0">IF(D295="否","特殊样本，仅迁移展示；不参与档位与分布统计",IF(C295=0,"有效存量CP；CP累计字段为0，需核验迁移",IF(C295&lt;1000,"有效存量CP；低于新门槛，统一映射Lv1","")))</x:f>
        <x:v>有效存量CP；CP累计字段为0，需核验迁移</x:v>
      </x:c>
    </x:row>
    <x:row r="296" ht="19" hidden="0" customHeight="1">
      <x:c r="A296" s="1" t="n">
        <x:v>290</x:v>
      </x:c>
      <x:c r="B296" s="23" t="s">
        <x:v>901</x:v>
      </x:c>
      <x:c r="C296" s="24" t="n">
        <x:v>0</x:v>
      </x:c>
      <x:c r="D296" s="1" t="s">
        <x:v>613</x:v>
      </x:c>
      <x:c r="E296" s="78" t="n">
        <x:f aca="0">IF(C296&lt;等级门槛!$D$14,1,MATCH(C296,等级门槛!$D$14:$D$113,1))</x:f>
        <x:v>1</x:v>
      </x:c>
      <x:c r="F296" s="79" t="n">
        <x:f aca="0">MIN(5,ROUNDUP(E296/20,0))</x:f>
        <x:v>1</x:v>
      </x:c>
      <x:c r="G296" s="24" t="n">
        <x:f aca="0">IF(E296=100,"已达Lv100",INDEX(等级门槛!$D$14:$D$113,E296+1))</x:f>
        <x:v>1500</x:v>
      </x:c>
      <x:c r="H296" s="23" t="str">
        <x:f aca="0">IF(D296="否","特殊样本，仅迁移展示；不参与档位与分布统计",IF(C296=0,"有效存量CP；CP累计字段为0，需核验迁移",IF(C296&lt;1000,"有效存量CP；低于新门槛，统一映射Lv1","")))</x:f>
        <x:v>有效存量CP；CP累计字段为0，需核验迁移</x:v>
      </x:c>
    </x:row>
    <x:row r="297" ht="19" hidden="0" customHeight="1">
      <x:c r="A297" s="1" t="n">
        <x:v>291</x:v>
      </x:c>
      <x:c r="B297" s="23" t="s">
        <x:v>902</x:v>
      </x:c>
      <x:c r="C297" s="24" t="n">
        <x:v>0</x:v>
      </x:c>
      <x:c r="D297" s="1" t="s">
        <x:v>613</x:v>
      </x:c>
      <x:c r="E297" s="78" t="n">
        <x:f aca="0">IF(C297&lt;等级门槛!$D$14,1,MATCH(C297,等级门槛!$D$14:$D$113,1))</x:f>
        <x:v>1</x:v>
      </x:c>
      <x:c r="F297" s="79" t="n">
        <x:f aca="0">MIN(5,ROUNDUP(E297/20,0))</x:f>
        <x:v>1</x:v>
      </x:c>
      <x:c r="G297" s="24" t="n">
        <x:f aca="0">IF(E297=100,"已达Lv100",INDEX(等级门槛!$D$14:$D$113,E297+1))</x:f>
        <x:v>1500</x:v>
      </x:c>
      <x:c r="H297" s="23" t="str">
        <x:f aca="0">IF(D297="否","特殊样本，仅迁移展示；不参与档位与分布统计",IF(C297=0,"有效存量CP；CP累计字段为0，需核验迁移",IF(C297&lt;1000,"有效存量CP；低于新门槛，统一映射Lv1","")))</x:f>
        <x:v>有效存量CP；CP累计字段为0，需核验迁移</x:v>
      </x:c>
    </x:row>
    <x:row r="298" ht="19" hidden="0" customHeight="1">
      <x:c r="A298" s="1" t="n">
        <x:v>292</x:v>
      </x:c>
      <x:c r="B298" s="23" t="s">
        <x:v>903</x:v>
      </x:c>
      <x:c r="C298" s="24" t="n">
        <x:v>0</x:v>
      </x:c>
      <x:c r="D298" s="1" t="s">
        <x:v>613</x:v>
      </x:c>
      <x:c r="E298" s="78" t="n">
        <x:f aca="0">IF(C298&lt;等级门槛!$D$14,1,MATCH(C298,等级门槛!$D$14:$D$113,1))</x:f>
        <x:v>1</x:v>
      </x:c>
      <x:c r="F298" s="79" t="n">
        <x:f aca="0">MIN(5,ROUNDUP(E298/20,0))</x:f>
        <x:v>1</x:v>
      </x:c>
      <x:c r="G298" s="24" t="n">
        <x:f aca="0">IF(E298=100,"已达Lv100",INDEX(等级门槛!$D$14:$D$113,E298+1))</x:f>
        <x:v>1500</x:v>
      </x:c>
      <x:c r="H298" s="23" t="str">
        <x:f aca="0">IF(D298="否","特殊样本，仅迁移展示；不参与档位与分布统计",IF(C298=0,"有效存量CP；CP累计字段为0，需核验迁移",IF(C298&lt;1000,"有效存量CP；低于新门槛，统一映射Lv1","")))</x:f>
        <x:v>有效存量CP；CP累计字段为0，需核验迁移</x:v>
      </x:c>
    </x:row>
    <x:row r="299" ht="19" hidden="0" customHeight="1">
      <x:c r="A299" s="1" t="n">
        <x:v>293</x:v>
      </x:c>
      <x:c r="B299" s="23" t="s">
        <x:v>904</x:v>
      </x:c>
      <x:c r="C299" s="24" t="n">
        <x:v>0</x:v>
      </x:c>
      <x:c r="D299" s="1" t="s">
        <x:v>613</x:v>
      </x:c>
      <x:c r="E299" s="78" t="n">
        <x:f aca="0">IF(C299&lt;等级门槛!$D$14,1,MATCH(C299,等级门槛!$D$14:$D$113,1))</x:f>
        <x:v>1</x:v>
      </x:c>
      <x:c r="F299" s="79" t="n">
        <x:f aca="0">MIN(5,ROUNDUP(E299/20,0))</x:f>
        <x:v>1</x:v>
      </x:c>
      <x:c r="G299" s="24" t="n">
        <x:f aca="0">IF(E299=100,"已达Lv100",INDEX(等级门槛!$D$14:$D$113,E299+1))</x:f>
        <x:v>1500</x:v>
      </x:c>
      <x:c r="H299" s="23" t="str">
        <x:f aca="0">IF(D299="否","特殊样本，仅迁移展示；不参与档位与分布统计",IF(C299=0,"有效存量CP；CP累计字段为0，需核验迁移",IF(C299&lt;1000,"有效存量CP；低于新门槛，统一映射Lv1","")))</x:f>
        <x:v>有效存量CP；CP累计字段为0，需核验迁移</x:v>
      </x:c>
    </x:row>
    <x:row r="300" ht="19" hidden="0" customHeight="1">
      <x:c r="A300" s="1" t="n">
        <x:v>294</x:v>
      </x:c>
      <x:c r="B300" s="23" t="s">
        <x:v>905</x:v>
      </x:c>
      <x:c r="C300" s="24" t="n">
        <x:v>0</x:v>
      </x:c>
      <x:c r="D300" s="1" t="s">
        <x:v>613</x:v>
      </x:c>
      <x:c r="E300" s="78" t="n">
        <x:f aca="0">IF(C300&lt;等级门槛!$D$14,1,MATCH(C300,等级门槛!$D$14:$D$113,1))</x:f>
        <x:v>1</x:v>
      </x:c>
      <x:c r="F300" s="79" t="n">
        <x:f aca="0">MIN(5,ROUNDUP(E300/20,0))</x:f>
        <x:v>1</x:v>
      </x:c>
      <x:c r="G300" s="24" t="n">
        <x:f aca="0">IF(E300=100,"已达Lv100",INDEX(等级门槛!$D$14:$D$113,E300+1))</x:f>
        <x:v>1500</x:v>
      </x:c>
      <x:c r="H300" s="23" t="str">
        <x:f aca="0">IF(D300="否","特殊样本，仅迁移展示；不参与档位与分布统计",IF(C300=0,"有效存量CP；CP累计字段为0，需核验迁移",IF(C300&lt;1000,"有效存量CP；低于新门槛，统一映射Lv1","")))</x:f>
        <x:v>有效存量CP；CP累计字段为0，需核验迁移</x:v>
      </x:c>
    </x:row>
    <x:row r="301" ht="19" hidden="0" customHeight="1">
      <x:c r="A301" s="1" t="n">
        <x:v>295</x:v>
      </x:c>
      <x:c r="B301" s="23" t="s">
        <x:v>906</x:v>
      </x:c>
      <x:c r="C301" s="24" t="n">
        <x:v>0</x:v>
      </x:c>
      <x:c r="D301" s="1" t="s">
        <x:v>613</x:v>
      </x:c>
      <x:c r="E301" s="78" t="n">
        <x:f aca="0">IF(C301&lt;等级门槛!$D$14,1,MATCH(C301,等级门槛!$D$14:$D$113,1))</x:f>
        <x:v>1</x:v>
      </x:c>
      <x:c r="F301" s="79" t="n">
        <x:f aca="0">MIN(5,ROUNDUP(E301/20,0))</x:f>
        <x:v>1</x:v>
      </x:c>
      <x:c r="G301" s="24" t="n">
        <x:f aca="0">IF(E301=100,"已达Lv100",INDEX(等级门槛!$D$14:$D$113,E301+1))</x:f>
        <x:v>1500</x:v>
      </x:c>
      <x:c r="H301" s="23" t="str">
        <x:f aca="0">IF(D301="否","特殊样本，仅迁移展示；不参与档位与分布统计",IF(C301=0,"有效存量CP；CP累计字段为0，需核验迁移",IF(C301&lt;1000,"有效存量CP；低于新门槛，统一映射Lv1","")))</x:f>
        <x:v>有效存量CP；CP累计字段为0，需核验迁移</x:v>
      </x:c>
    </x:row>
    <x:row r="302" ht="19" hidden="0" customHeight="1">
      <x:c r="A302" s="1" t="n">
        <x:v>296</x:v>
      </x:c>
      <x:c r="B302" s="23" t="s">
        <x:v>907</x:v>
      </x:c>
      <x:c r="C302" s="24" t="n">
        <x:v>0</x:v>
      </x:c>
      <x:c r="D302" s="1" t="s">
        <x:v>613</x:v>
      </x:c>
      <x:c r="E302" s="78" t="n">
        <x:f aca="0">IF(C302&lt;等级门槛!$D$14,1,MATCH(C302,等级门槛!$D$14:$D$113,1))</x:f>
        <x:v>1</x:v>
      </x:c>
      <x:c r="F302" s="79" t="n">
        <x:f aca="0">MIN(5,ROUNDUP(E302/20,0))</x:f>
        <x:v>1</x:v>
      </x:c>
      <x:c r="G302" s="24" t="n">
        <x:f aca="0">IF(E302=100,"已达Lv100",INDEX(等级门槛!$D$14:$D$113,E302+1))</x:f>
        <x:v>1500</x:v>
      </x:c>
      <x:c r="H302" s="23" t="str">
        <x:f aca="0">IF(D302="否","特殊样本，仅迁移展示；不参与档位与分布统计",IF(C302=0,"有效存量CP；CP累计字段为0，需核验迁移",IF(C302&lt;1000,"有效存量CP；低于新门槛，统一映射Lv1","")))</x:f>
        <x:v>有效存量CP；CP累计字段为0，需核验迁移</x:v>
      </x:c>
    </x:row>
    <x:row r="303" ht="19" hidden="0" customHeight="1">
      <x:c r="A303" s="1" t="n">
        <x:v>297</x:v>
      </x:c>
      <x:c r="B303" s="23" t="s">
        <x:v>908</x:v>
      </x:c>
      <x:c r="C303" s="24" t="n">
        <x:v>0</x:v>
      </x:c>
      <x:c r="D303" s="1" t="s">
        <x:v>613</x:v>
      </x:c>
      <x:c r="E303" s="78" t="n">
        <x:f aca="0">IF(C303&lt;等级门槛!$D$14,1,MATCH(C303,等级门槛!$D$14:$D$113,1))</x:f>
        <x:v>1</x:v>
      </x:c>
      <x:c r="F303" s="79" t="n">
        <x:f aca="0">MIN(5,ROUNDUP(E303/20,0))</x:f>
        <x:v>1</x:v>
      </x:c>
      <x:c r="G303" s="24" t="n">
        <x:f aca="0">IF(E303=100,"已达Lv100",INDEX(等级门槛!$D$14:$D$113,E303+1))</x:f>
        <x:v>1500</x:v>
      </x:c>
      <x:c r="H303" s="23" t="str">
        <x:f aca="0">IF(D303="否","特殊样本，仅迁移展示；不参与档位与分布统计",IF(C303=0,"有效存量CP；CP累计字段为0，需核验迁移",IF(C303&lt;1000,"有效存量CP；低于新门槛，统一映射Lv1","")))</x:f>
        <x:v>有效存量CP；CP累计字段为0，需核验迁移</x:v>
      </x:c>
    </x:row>
    <x:row r="304" ht="19" hidden="0" customHeight="1">
      <x:c r="A304" s="1" t="n">
        <x:v>298</x:v>
      </x:c>
      <x:c r="B304" s="23" t="s">
        <x:v>909</x:v>
      </x:c>
      <x:c r="C304" s="24" t="n">
        <x:v>0</x:v>
      </x:c>
      <x:c r="D304" s="1" t="s">
        <x:v>613</x:v>
      </x:c>
      <x:c r="E304" s="78" t="n">
        <x:f aca="0">IF(C304&lt;等级门槛!$D$14,1,MATCH(C304,等级门槛!$D$14:$D$113,1))</x:f>
        <x:v>1</x:v>
      </x:c>
      <x:c r="F304" s="79" t="n">
        <x:f aca="0">MIN(5,ROUNDUP(E304/20,0))</x:f>
        <x:v>1</x:v>
      </x:c>
      <x:c r="G304" s="24" t="n">
        <x:f aca="0">IF(E304=100,"已达Lv100",INDEX(等级门槛!$D$14:$D$113,E304+1))</x:f>
        <x:v>1500</x:v>
      </x:c>
      <x:c r="H304" s="23" t="str">
        <x:f aca="0">IF(D304="否","特殊样本，仅迁移展示；不参与档位与分布统计",IF(C304=0,"有效存量CP；CP累计字段为0，需核验迁移",IF(C304&lt;1000,"有效存量CP；低于新门槛，统一映射Lv1","")))</x:f>
        <x:v>有效存量CP；CP累计字段为0，需核验迁移</x:v>
      </x:c>
    </x:row>
    <x:row r="305" ht="19" hidden="0" customHeight="1">
      <x:c r="A305" s="1" t="n">
        <x:v>299</x:v>
      </x:c>
      <x:c r="B305" s="23" t="s">
        <x:v>910</x:v>
      </x:c>
      <x:c r="C305" s="24" t="n">
        <x:v>0</x:v>
      </x:c>
      <x:c r="D305" s="1" t="s">
        <x:v>613</x:v>
      </x:c>
      <x:c r="E305" s="78" t="n">
        <x:f aca="0">IF(C305&lt;等级门槛!$D$14,1,MATCH(C305,等级门槛!$D$14:$D$113,1))</x:f>
        <x:v>1</x:v>
      </x:c>
      <x:c r="F305" s="79" t="n">
        <x:f aca="0">MIN(5,ROUNDUP(E305/20,0))</x:f>
        <x:v>1</x:v>
      </x:c>
      <x:c r="G305" s="24" t="n">
        <x:f aca="0">IF(E305=100,"已达Lv100",INDEX(等级门槛!$D$14:$D$113,E305+1))</x:f>
        <x:v>1500</x:v>
      </x:c>
      <x:c r="H305" s="23" t="str">
        <x:f aca="0">IF(D305="否","特殊样本，仅迁移展示；不参与档位与分布统计",IF(C305=0,"有效存量CP；CP累计字段为0，需核验迁移",IF(C305&lt;1000,"有效存量CP；低于新门槛，统一映射Lv1","")))</x:f>
        <x:v>有效存量CP；CP累计字段为0，需核验迁移</x:v>
      </x:c>
    </x:row>
    <x:row r="306" ht="19" hidden="0" customHeight="1">
      <x:c r="A306" s="1" t="n">
        <x:v>300</x:v>
      </x:c>
      <x:c r="B306" s="23" t="s">
        <x:v>911</x:v>
      </x:c>
      <x:c r="C306" s="24" t="n">
        <x:v>0</x:v>
      </x:c>
      <x:c r="D306" s="1" t="s">
        <x:v>613</x:v>
      </x:c>
      <x:c r="E306" s="78" t="n">
        <x:f aca="0">IF(C306&lt;等级门槛!$D$14,1,MATCH(C306,等级门槛!$D$14:$D$113,1))</x:f>
        <x:v>1</x:v>
      </x:c>
      <x:c r="F306" s="79" t="n">
        <x:f aca="0">MIN(5,ROUNDUP(E306/20,0))</x:f>
        <x:v>1</x:v>
      </x:c>
      <x:c r="G306" s="24" t="n">
        <x:f aca="0">IF(E306=100,"已达Lv100",INDEX(等级门槛!$D$14:$D$113,E306+1))</x:f>
        <x:v>1500</x:v>
      </x:c>
      <x:c r="H306" s="23" t="str">
        <x:f aca="0">IF(D306="否","特殊样本，仅迁移展示；不参与档位与分布统计",IF(C306=0,"有效存量CP；CP累计字段为0，需核验迁移",IF(C306&lt;1000,"有效存量CP；低于新门槛，统一映射Lv1","")))</x:f>
        <x:v>有效存量CP；CP累计字段为0，需核验迁移</x:v>
      </x:c>
    </x:row>
    <x:row r="307" ht="19" hidden="0" customHeight="1">
      <x:c r="A307" s="1" t="n">
        <x:v>301</x:v>
      </x:c>
      <x:c r="B307" s="23" t="s">
        <x:v>912</x:v>
      </x:c>
      <x:c r="C307" s="24" t="n">
        <x:v>0</x:v>
      </x:c>
      <x:c r="D307" s="1" t="s">
        <x:v>613</x:v>
      </x:c>
      <x:c r="E307" s="78" t="n">
        <x:f aca="0">IF(C307&lt;等级门槛!$D$14,1,MATCH(C307,等级门槛!$D$14:$D$113,1))</x:f>
        <x:v>1</x:v>
      </x:c>
      <x:c r="F307" s="79" t="n">
        <x:f aca="0">MIN(5,ROUNDUP(E307/20,0))</x:f>
        <x:v>1</x:v>
      </x:c>
      <x:c r="G307" s="24" t="n">
        <x:f aca="0">IF(E307=100,"已达Lv100",INDEX(等级门槛!$D$14:$D$113,E307+1))</x:f>
        <x:v>1500</x:v>
      </x:c>
      <x:c r="H307" s="23" t="str">
        <x:f aca="0">IF(D307="否","特殊样本，仅迁移展示；不参与档位与分布统计",IF(C307=0,"有效存量CP；CP累计字段为0，需核验迁移",IF(C307&lt;1000,"有效存量CP；低于新门槛，统一映射Lv1","")))</x:f>
        <x:v>有效存量CP；CP累计字段为0，需核验迁移</x:v>
      </x:c>
    </x:row>
    <x:row r="308" ht="19" hidden="0" customHeight="1">
      <x:c r="A308" s="1" t="n">
        <x:v>302</x:v>
      </x:c>
      <x:c r="B308" s="23" t="s">
        <x:v>913</x:v>
      </x:c>
      <x:c r="C308" s="24" t="n">
        <x:v>0</x:v>
      </x:c>
      <x:c r="D308" s="1" t="s">
        <x:v>613</x:v>
      </x:c>
      <x:c r="E308" s="78" t="n">
        <x:f aca="0">IF(C308&lt;等级门槛!$D$14,1,MATCH(C308,等级门槛!$D$14:$D$113,1))</x:f>
        <x:v>1</x:v>
      </x:c>
      <x:c r="F308" s="79" t="n">
        <x:f aca="0">MIN(5,ROUNDUP(E308/20,0))</x:f>
        <x:v>1</x:v>
      </x:c>
      <x:c r="G308" s="24" t="n">
        <x:f aca="0">IF(E308=100,"已达Lv100",INDEX(等级门槛!$D$14:$D$113,E308+1))</x:f>
        <x:v>1500</x:v>
      </x:c>
      <x:c r="H308" s="23" t="str">
        <x:f aca="0">IF(D308="否","特殊样本，仅迁移展示；不参与档位与分布统计",IF(C308=0,"有效存量CP；CP累计字段为0，需核验迁移",IF(C308&lt;1000,"有效存量CP；低于新门槛，统一映射Lv1","")))</x:f>
        <x:v>有效存量CP；CP累计字段为0，需核验迁移</x:v>
      </x:c>
    </x:row>
    <x:row r="309" ht="19" hidden="0" customHeight="1">
      <x:c r="A309" s="1" t="n">
        <x:v>303</x:v>
      </x:c>
      <x:c r="B309" s="23" t="s">
        <x:v>914</x:v>
      </x:c>
      <x:c r="C309" s="24" t="n">
        <x:v>0</x:v>
      </x:c>
      <x:c r="D309" s="1" t="s">
        <x:v>613</x:v>
      </x:c>
      <x:c r="E309" s="78" t="n">
        <x:f aca="0">IF(C309&lt;等级门槛!$D$14,1,MATCH(C309,等级门槛!$D$14:$D$113,1))</x:f>
        <x:v>1</x:v>
      </x:c>
      <x:c r="F309" s="79" t="n">
        <x:f aca="0">MIN(5,ROUNDUP(E309/20,0))</x:f>
        <x:v>1</x:v>
      </x:c>
      <x:c r="G309" s="24" t="n">
        <x:f aca="0">IF(E309=100,"已达Lv100",INDEX(等级门槛!$D$14:$D$113,E309+1))</x:f>
        <x:v>1500</x:v>
      </x:c>
      <x:c r="H309" s="23" t="str">
        <x:f aca="0">IF(D309="否","特殊样本，仅迁移展示；不参与档位与分布统计",IF(C309=0,"有效存量CP；CP累计字段为0，需核验迁移",IF(C309&lt;1000,"有效存量CP；低于新门槛，统一映射Lv1","")))</x:f>
        <x:v>有效存量CP；CP累计字段为0，需核验迁移</x:v>
      </x:c>
    </x:row>
    <x:row r="310" ht="19" hidden="0" customHeight="1">
      <x:c r="A310" s="1" t="n">
        <x:v>304</x:v>
      </x:c>
      <x:c r="B310" s="23" t="s">
        <x:v>915</x:v>
      </x:c>
      <x:c r="C310" s="24" t="n">
        <x:v>0</x:v>
      </x:c>
      <x:c r="D310" s="1" t="s">
        <x:v>613</x:v>
      </x:c>
      <x:c r="E310" s="78" t="n">
        <x:f aca="0">IF(C310&lt;等级门槛!$D$14,1,MATCH(C310,等级门槛!$D$14:$D$113,1))</x:f>
        <x:v>1</x:v>
      </x:c>
      <x:c r="F310" s="79" t="n">
        <x:f aca="0">MIN(5,ROUNDUP(E310/20,0))</x:f>
        <x:v>1</x:v>
      </x:c>
      <x:c r="G310" s="24" t="n">
        <x:f aca="0">IF(E310=100,"已达Lv100",INDEX(等级门槛!$D$14:$D$113,E310+1))</x:f>
        <x:v>1500</x:v>
      </x:c>
      <x:c r="H310" s="23" t="str">
        <x:f aca="0">IF(D310="否","特殊样本，仅迁移展示；不参与档位与分布统计",IF(C310=0,"有效存量CP；CP累计字段为0，需核验迁移",IF(C310&lt;1000,"有效存量CP；低于新门槛，统一映射Lv1","")))</x:f>
        <x:v>有效存量CP；CP累计字段为0，需核验迁移</x:v>
      </x:c>
    </x:row>
    <x:row r="311" ht="19" hidden="0" customHeight="1">
      <x:c r="A311" s="1" t="n">
        <x:v>305</x:v>
      </x:c>
      <x:c r="B311" s="23" t="s">
        <x:v>916</x:v>
      </x:c>
      <x:c r="C311" s="24" t="n">
        <x:v>0</x:v>
      </x:c>
      <x:c r="D311" s="1" t="s">
        <x:v>613</x:v>
      </x:c>
      <x:c r="E311" s="78" t="n">
        <x:f aca="0">IF(C311&lt;等级门槛!$D$14,1,MATCH(C311,等级门槛!$D$14:$D$113,1))</x:f>
        <x:v>1</x:v>
      </x:c>
      <x:c r="F311" s="79" t="n">
        <x:f aca="0">MIN(5,ROUNDUP(E311/20,0))</x:f>
        <x:v>1</x:v>
      </x:c>
      <x:c r="G311" s="24" t="n">
        <x:f aca="0">IF(E311=100,"已达Lv100",INDEX(等级门槛!$D$14:$D$113,E311+1))</x:f>
        <x:v>1500</x:v>
      </x:c>
      <x:c r="H311" s="23" t="str">
        <x:f aca="0">IF(D311="否","特殊样本，仅迁移展示；不参与档位与分布统计",IF(C311=0,"有效存量CP；CP累计字段为0，需核验迁移",IF(C311&lt;1000,"有效存量CP；低于新门槛，统一映射Lv1","")))</x:f>
        <x:v>有效存量CP；CP累计字段为0，需核验迁移</x:v>
      </x:c>
    </x:row>
    <x:row r="312" ht="19" hidden="0" customHeight="1">
      <x:c r="A312" s="1" t="n">
        <x:v>306</x:v>
      </x:c>
      <x:c r="B312" s="23" t="s">
        <x:v>917</x:v>
      </x:c>
      <x:c r="C312" s="24" t="n">
        <x:v>0</x:v>
      </x:c>
      <x:c r="D312" s="1" t="s">
        <x:v>613</x:v>
      </x:c>
      <x:c r="E312" s="78" t="n">
        <x:f aca="0">IF(C312&lt;等级门槛!$D$14,1,MATCH(C312,等级门槛!$D$14:$D$113,1))</x:f>
        <x:v>1</x:v>
      </x:c>
      <x:c r="F312" s="79" t="n">
        <x:f aca="0">MIN(5,ROUNDUP(E312/20,0))</x:f>
        <x:v>1</x:v>
      </x:c>
      <x:c r="G312" s="24" t="n">
        <x:f aca="0">IF(E312=100,"已达Lv100",INDEX(等级门槛!$D$14:$D$113,E312+1))</x:f>
        <x:v>1500</x:v>
      </x:c>
      <x:c r="H312" s="23" t="str">
        <x:f aca="0">IF(D312="否","特殊样本，仅迁移展示；不参与档位与分布统计",IF(C312=0,"有效存量CP；CP累计字段为0，需核验迁移",IF(C312&lt;1000,"有效存量CP；低于新门槛，统一映射Lv1","")))</x:f>
        <x:v>有效存量CP；CP累计字段为0，需核验迁移</x:v>
      </x:c>
    </x:row>
    <x:row r="313" ht="19" hidden="0" customHeight="1">
      <x:c r="A313" s="1" t="n">
        <x:v>307</x:v>
      </x:c>
      <x:c r="B313" s="23" t="s">
        <x:v>918</x:v>
      </x:c>
      <x:c r="C313" s="24" t="n">
        <x:v>0</x:v>
      </x:c>
      <x:c r="D313" s="1" t="s">
        <x:v>613</x:v>
      </x:c>
      <x:c r="E313" s="78" t="n">
        <x:f aca="0">IF(C313&lt;等级门槛!$D$14,1,MATCH(C313,等级门槛!$D$14:$D$113,1))</x:f>
        <x:v>1</x:v>
      </x:c>
      <x:c r="F313" s="79" t="n">
        <x:f aca="0">MIN(5,ROUNDUP(E313/20,0))</x:f>
        <x:v>1</x:v>
      </x:c>
      <x:c r="G313" s="24" t="n">
        <x:f aca="0">IF(E313=100,"已达Lv100",INDEX(等级门槛!$D$14:$D$113,E313+1))</x:f>
        <x:v>1500</x:v>
      </x:c>
      <x:c r="H313" s="23" t="str">
        <x:f aca="0">IF(D313="否","特殊样本，仅迁移展示；不参与档位与分布统计",IF(C313=0,"有效存量CP；CP累计字段为0，需核验迁移",IF(C313&lt;1000,"有效存量CP；低于新门槛，统一映射Lv1","")))</x:f>
        <x:v>有效存量CP；CP累计字段为0，需核验迁移</x:v>
      </x:c>
    </x:row>
    <x:row r="314" ht="19" hidden="0" customHeight="1">
      <x:c r="A314" s="1" t="n">
        <x:v>308</x:v>
      </x:c>
      <x:c r="B314" s="23" t="s">
        <x:v>919</x:v>
      </x:c>
      <x:c r="C314" s="24" t="n">
        <x:v>0</x:v>
      </x:c>
      <x:c r="D314" s="1" t="s">
        <x:v>613</x:v>
      </x:c>
      <x:c r="E314" s="78" t="n">
        <x:f aca="0">IF(C314&lt;等级门槛!$D$14,1,MATCH(C314,等级门槛!$D$14:$D$113,1))</x:f>
        <x:v>1</x:v>
      </x:c>
      <x:c r="F314" s="79" t="n">
        <x:f aca="0">MIN(5,ROUNDUP(E314/20,0))</x:f>
        <x:v>1</x:v>
      </x:c>
      <x:c r="G314" s="24" t="n">
        <x:f aca="0">IF(E314=100,"已达Lv100",INDEX(等级门槛!$D$14:$D$113,E314+1))</x:f>
        <x:v>1500</x:v>
      </x:c>
      <x:c r="H314" s="23" t="str">
        <x:f aca="0">IF(D314="否","特殊样本，仅迁移展示；不参与档位与分布统计",IF(C314=0,"有效存量CP；CP累计字段为0，需核验迁移",IF(C314&lt;1000,"有效存量CP；低于新门槛，统一映射Lv1","")))</x:f>
        <x:v>有效存量CP；CP累计字段为0，需核验迁移</x:v>
      </x:c>
    </x:row>
    <x:row r="315" ht="19" hidden="0" customHeight="1">
      <x:c r="A315" s="1" t="n">
        <x:v>309</x:v>
      </x:c>
      <x:c r="B315" s="23" t="s">
        <x:v>920</x:v>
      </x:c>
      <x:c r="C315" s="24" t="n">
        <x:v>0</x:v>
      </x:c>
      <x:c r="D315" s="1" t="s">
        <x:v>613</x:v>
      </x:c>
      <x:c r="E315" s="78" t="n">
        <x:f aca="0">IF(C315&lt;等级门槛!$D$14,1,MATCH(C315,等级门槛!$D$14:$D$113,1))</x:f>
        <x:v>1</x:v>
      </x:c>
      <x:c r="F315" s="79" t="n">
        <x:f aca="0">MIN(5,ROUNDUP(E315/20,0))</x:f>
        <x:v>1</x:v>
      </x:c>
      <x:c r="G315" s="24" t="n">
        <x:f aca="0">IF(E315=100,"已达Lv100",INDEX(等级门槛!$D$14:$D$113,E315+1))</x:f>
        <x:v>1500</x:v>
      </x:c>
      <x:c r="H315" s="23" t="str">
        <x:f aca="0">IF(D315="否","特殊样本，仅迁移展示；不参与档位与分布统计",IF(C315=0,"有效存量CP；CP累计字段为0，需核验迁移",IF(C315&lt;1000,"有效存量CP；低于新门槛，统一映射Lv1","")))</x:f>
        <x:v>有效存量CP；CP累计字段为0，需核验迁移</x:v>
      </x:c>
    </x:row>
    <x:row r="316" ht="19" hidden="0" customHeight="1">
      <x:c r="A316" s="1" t="n">
        <x:v>310</x:v>
      </x:c>
      <x:c r="B316" s="23" t="s">
        <x:v>921</x:v>
      </x:c>
      <x:c r="C316" s="24" t="n">
        <x:v>0</x:v>
      </x:c>
      <x:c r="D316" s="1" t="s">
        <x:v>613</x:v>
      </x:c>
      <x:c r="E316" s="78" t="n">
        <x:f aca="0">IF(C316&lt;等级门槛!$D$14,1,MATCH(C316,等级门槛!$D$14:$D$113,1))</x:f>
        <x:v>1</x:v>
      </x:c>
      <x:c r="F316" s="79" t="n">
        <x:f aca="0">MIN(5,ROUNDUP(E316/20,0))</x:f>
        <x:v>1</x:v>
      </x:c>
      <x:c r="G316" s="24" t="n">
        <x:f aca="0">IF(E316=100,"已达Lv100",INDEX(等级门槛!$D$14:$D$113,E316+1))</x:f>
        <x:v>1500</x:v>
      </x:c>
      <x:c r="H316" s="23" t="str">
        <x:f aca="0">IF(D316="否","特殊样本，仅迁移展示；不参与档位与分布统计",IF(C316=0,"有效存量CP；CP累计字段为0，需核验迁移",IF(C316&lt;1000,"有效存量CP；低于新门槛，统一映射Lv1","")))</x:f>
        <x:v>有效存量CP；CP累计字段为0，需核验迁移</x:v>
      </x:c>
    </x:row>
    <x:row r="317" ht="19" hidden="0" customHeight="1">
      <x:c r="A317" s="1" t="n">
        <x:v>311</x:v>
      </x:c>
      <x:c r="B317" s="23" t="s">
        <x:v>922</x:v>
      </x:c>
      <x:c r="C317" s="24" t="n">
        <x:v>0</x:v>
      </x:c>
      <x:c r="D317" s="1" t="s">
        <x:v>613</x:v>
      </x:c>
      <x:c r="E317" s="78" t="n">
        <x:f aca="0">IF(C317&lt;等级门槛!$D$14,1,MATCH(C317,等级门槛!$D$14:$D$113,1))</x:f>
        <x:v>1</x:v>
      </x:c>
      <x:c r="F317" s="79" t="n">
        <x:f aca="0">MIN(5,ROUNDUP(E317/20,0))</x:f>
        <x:v>1</x:v>
      </x:c>
      <x:c r="G317" s="24" t="n">
        <x:f aca="0">IF(E317=100,"已达Lv100",INDEX(等级门槛!$D$14:$D$113,E317+1))</x:f>
        <x:v>1500</x:v>
      </x:c>
      <x:c r="H317" s="23" t="str">
        <x:f aca="0">IF(D317="否","特殊样本，仅迁移展示；不参与档位与分布统计",IF(C317=0,"有效存量CP；CP累计字段为0，需核验迁移",IF(C317&lt;1000,"有效存量CP；低于新门槛，统一映射Lv1","")))</x:f>
        <x:v>有效存量CP；CP累计字段为0，需核验迁移</x:v>
      </x:c>
    </x:row>
    <x:row r="318" ht="19" hidden="0" customHeight="1">
      <x:c r="A318" s="29" t="n">
        <x:v>312</x:v>
      </x:c>
      <x:c r="B318" s="27" t="s">
        <x:v>923</x:v>
      </x:c>
      <x:c r="C318" s="28" t="n">
        <x:v>0</x:v>
      </x:c>
      <x:c r="D318" s="29" t="s">
        <x:v>613</x:v>
      </x:c>
      <x:c r="E318" s="80" t="n">
        <x:f aca="0">IF(C318&lt;等级门槛!$D$14,1,MATCH(C318,等级门槛!$D$14:$D$113,1))</x:f>
        <x:v>1</x:v>
      </x:c>
      <x:c r="F318" s="81" t="n">
        <x:f aca="0">MIN(5,ROUNDUP(E318/20,0))</x:f>
        <x:v>1</x:v>
      </x:c>
      <x:c r="G318" s="28" t="n">
        <x:f aca="0">IF(E318=100,"已达Lv100",INDEX(等级门槛!$D$14:$D$113,E318+1))</x:f>
        <x:v>1500</x:v>
      </x:c>
      <x:c r="H318" s="27" t="str">
        <x:f aca="0">IF(D318="否","特殊样本，仅迁移展示；不参与档位与分布统计",IF(C318=0,"有效存量CP；CP累计字段为0，需核验迁移",IF(C318&lt;1000,"有效存量CP；低于新门槛，统一映射Lv1","")))</x:f>
        <x:v>有效存量CP；CP累计字段为0，需核验迁移</x:v>
      </x:c>
    </x:row>
    <x:row r="319" ht="16.799999237060547" hidden="0">
      <x:c r="A319" s="1"/>
      <x:c r="B319" s="1"/>
      <x:c r="C319" s="1"/>
      <x:c r="D319" s="1"/>
      <x:c r="E319" s="1"/>
      <x:c r="F319" s="1"/>
      <x:c r="G319" s="1"/>
      <x:c r="H319" s="1"/>
    </x:row>
  </x:sheetData>
  <x:conditionalFormatting sqref="A7:H318">
    <x:cfRule type="expression" dxfId="2" priority="2" aboveAverage="0" percent="0" bottom="0" rank="0" equalAverage="0">
      <x:formula>$D7="否"</x:formula>
    </x:cfRule>
  </x:conditionalFormatting>
  <x:conditionalFormatting sqref="H7:H318">
    <x:cfRule type="containsText" dxfId="3" priority="3" aboveAverage="0" percent="0" bottom="0" operator="containsText" text="核验" rank="0" equalAverage="0">
      <x:formula>NOT(ISERROR(SEARCH("核验",H7)))</x:formula>
    </x:cfRule>
  </x:conditionalFormatting>
  <x:pageMargins left="0.7" right="0.7" top="0.75" bottom="0.75" header="0.3" footer="0.3"/>
</x:worksheet>
</file>